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그래프 분석" sheetId="1" state="visible" r:id="rId2"/>
    <sheet name="종목 기본정보" sheetId="2" state="visible" r:id="rId3"/>
    <sheet name="일자별 주가" sheetId="3" state="visible" r:id="rId4"/>
    <sheet name="일자별 시가총액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<sst xmlns="http://schemas.openxmlformats.org/spreadsheetml/2006/main" count="51" uniqueCount="37">
  <si>
    <t xml:space="preserve">S&amp;P500</t>
  </si>
  <si>
    <t xml:space="preserve">KOSPI200</t>
  </si>
  <si>
    <t xml:space="preserve">s&amp;p500 nor</t>
  </si>
  <si>
    <t xml:space="preserve">KOSPI200 nor</t>
  </si>
  <si>
    <t xml:space="preserve">회귀</t>
  </si>
  <si>
    <t xml:space="preserve">회귀 모델</t>
  </si>
  <si>
    <t xml:space="preserve">선형</t>
  </si>
  <si>
    <t xml:space="preserve">LINEST raw output</t>
  </si>
  <si>
    <t xml:space="preserve">Regression Statistics</t>
  </si>
  <si>
    <t xml:space="preserve">R^2</t>
  </si>
  <si>
    <t xml:space="preserve">표준 오류</t>
  </si>
  <si>
    <t xml:space="preserve">Count of X variables</t>
  </si>
  <si>
    <t xml:space="preserve">관찰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</si>
  <si>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</si>
  <si>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</si>
  <si>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</si>
  <si>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</si>
  <si>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</si>
  <si>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</si>
  <si>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</si>
  <si>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</si>
  <si>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전체</t>
  </si>
  <si>
    <t xml:space="preserve">Confidence level</t>
  </si>
  <si>
    <t xml:space="preserve">Coefficients</t>
  </si>
  <si>
    <t xml:space="preserve">t-Statistic</t>
  </si>
  <si>
    <t xml:space="preserve">P-값</t>
  </si>
  <si>
    <t xml:space="preserve">Predicted Y</t>
  </si>
  <si>
    <t xml:space="preserve">종목명</t>
  </si>
  <si>
    <t xml:space="preserve">A전자</t>
  </si>
  <si>
    <t xml:space="preserve">B건설</t>
  </si>
  <si>
    <t xml:space="preserve">C증권</t>
  </si>
  <si>
    <t xml:space="preserve">D화학</t>
  </si>
  <si>
    <t xml:space="preserve">E엔터</t>
  </si>
  <si>
    <t xml:space="preserve">상장주식수</t>
  </si>
  <si>
    <t xml:space="preserve">일자</t>
  </si>
  <si>
    <t xml:space="preserve">합계</t>
  </si>
  <si>
    <t xml:space="preserve">지수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</si>
</sst>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#,##0"/>
    <numFmt numFmtId="168" formatCode="0"/>
  </numFmts>
  <fonts count="6">
    <font>
      <sz val="11"/>
      <color rgb="FF000000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000000"/>
      <name val="맑은 고딕"/>
      <family val="2"/>
      <charset val="1"/>
    </font>
    <font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'그래프 분석'!$D$1</c:f>
              <c:strCache>
                <c:ptCount val="1"/>
                <c:pt idx="0">
                  <c:v>s&amp;p500 nor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'그래프 분석'!$A$2:$A$2593</c:f>
              <c:strCache>
                <c:ptCount val="2592"/>
                <c:pt idx="0">
                  <c:v>2008-01-02</c:v>
                </c:pt>
                <c:pt idx="1">
                  <c:v>2008-01-03</c:v>
                </c:pt>
                <c:pt idx="2">
                  <c:v>2008-01-04</c:v>
                </c:pt>
                <c:pt idx="3">
                  <c:v>2008-01-07</c:v>
                </c:pt>
                <c:pt idx="4">
                  <c:v>2008-01-08</c:v>
                </c:pt>
                <c:pt idx="5">
                  <c:v>2008-01-09</c:v>
                </c:pt>
                <c:pt idx="6">
                  <c:v>2008-01-10</c:v>
                </c:pt>
                <c:pt idx="7">
                  <c:v>2008-01-11</c:v>
                </c:pt>
                <c:pt idx="8">
                  <c:v>2008-01-14</c:v>
                </c:pt>
                <c:pt idx="9">
                  <c:v>2008-01-15</c:v>
                </c:pt>
                <c:pt idx="10">
                  <c:v>2008-01-16</c:v>
                </c:pt>
                <c:pt idx="11">
                  <c:v>2008-01-17</c:v>
                </c:pt>
                <c:pt idx="12">
                  <c:v>2008-01-18</c:v>
                </c:pt>
                <c:pt idx="13">
                  <c:v>2008-01-21</c:v>
                </c:pt>
                <c:pt idx="14">
                  <c:v>2008-01-22</c:v>
                </c:pt>
                <c:pt idx="15">
                  <c:v>2008-01-23</c:v>
                </c:pt>
                <c:pt idx="16">
                  <c:v>2008-01-24</c:v>
                </c:pt>
                <c:pt idx="17">
                  <c:v>2008-01-25</c:v>
                </c:pt>
                <c:pt idx="18">
                  <c:v>2008-01-28</c:v>
                </c:pt>
                <c:pt idx="19">
                  <c:v>2008-01-29</c:v>
                </c:pt>
                <c:pt idx="20">
                  <c:v>2008-01-30</c:v>
                </c:pt>
                <c:pt idx="21">
                  <c:v>2008-01-31</c:v>
                </c:pt>
                <c:pt idx="22">
                  <c:v>2008-02-01</c:v>
                </c:pt>
                <c:pt idx="23">
                  <c:v>2008-02-04</c:v>
                </c:pt>
                <c:pt idx="24">
                  <c:v>2008-02-05</c:v>
                </c:pt>
                <c:pt idx="25">
                  <c:v>2008-02-06</c:v>
                </c:pt>
                <c:pt idx="26">
                  <c:v>2008-02-07</c:v>
                </c:pt>
                <c:pt idx="27">
                  <c:v>2008-02-08</c:v>
                </c:pt>
                <c:pt idx="28">
                  <c:v>2008-02-11</c:v>
                </c:pt>
                <c:pt idx="29">
                  <c:v>2008-02-12</c:v>
                </c:pt>
                <c:pt idx="30">
                  <c:v>2008-02-13</c:v>
                </c:pt>
                <c:pt idx="31">
                  <c:v>2008-02-14</c:v>
                </c:pt>
                <c:pt idx="32">
                  <c:v>2008-02-15</c:v>
                </c:pt>
                <c:pt idx="33">
                  <c:v>2008-02-18</c:v>
                </c:pt>
                <c:pt idx="34">
                  <c:v>2008-02-19</c:v>
                </c:pt>
                <c:pt idx="35">
                  <c:v>2008-02-20</c:v>
                </c:pt>
                <c:pt idx="36">
                  <c:v>2008-02-21</c:v>
                </c:pt>
                <c:pt idx="37">
                  <c:v>2008-02-22</c:v>
                </c:pt>
                <c:pt idx="38">
                  <c:v>2008-02-25</c:v>
                </c:pt>
                <c:pt idx="39">
                  <c:v>2008-02-26</c:v>
                </c:pt>
                <c:pt idx="40">
                  <c:v>2008-02-27</c:v>
                </c:pt>
                <c:pt idx="41">
                  <c:v>2008-02-28</c:v>
                </c:pt>
                <c:pt idx="42">
                  <c:v>2008-02-29</c:v>
                </c:pt>
                <c:pt idx="43">
                  <c:v>2008-03-03</c:v>
                </c:pt>
                <c:pt idx="44">
                  <c:v>2008-03-04</c:v>
                </c:pt>
                <c:pt idx="45">
                  <c:v>2008-03-05</c:v>
                </c:pt>
                <c:pt idx="46">
                  <c:v>2008-03-06</c:v>
                </c:pt>
                <c:pt idx="47">
                  <c:v>2008-03-07</c:v>
                </c:pt>
                <c:pt idx="48">
                  <c:v>2008-03-10</c:v>
                </c:pt>
                <c:pt idx="49">
                  <c:v>2008-03-11</c:v>
                </c:pt>
                <c:pt idx="50">
                  <c:v>2008-03-12</c:v>
                </c:pt>
                <c:pt idx="51">
                  <c:v>2008-03-13</c:v>
                </c:pt>
                <c:pt idx="52">
                  <c:v>2008-03-14</c:v>
                </c:pt>
                <c:pt idx="53">
                  <c:v>2008-03-17</c:v>
                </c:pt>
                <c:pt idx="54">
                  <c:v>2008-03-18</c:v>
                </c:pt>
                <c:pt idx="55">
                  <c:v>2008-03-19</c:v>
                </c:pt>
                <c:pt idx="56">
                  <c:v>2008-03-20</c:v>
                </c:pt>
                <c:pt idx="57">
                  <c:v>2008-03-21</c:v>
                </c:pt>
                <c:pt idx="58">
                  <c:v>2008-03-24</c:v>
                </c:pt>
                <c:pt idx="59">
                  <c:v>2008-03-25</c:v>
                </c:pt>
                <c:pt idx="60">
                  <c:v>2008-03-26</c:v>
                </c:pt>
                <c:pt idx="61">
                  <c:v>2008-03-27</c:v>
                </c:pt>
                <c:pt idx="62">
                  <c:v>2008-03-28</c:v>
                </c:pt>
                <c:pt idx="63">
                  <c:v>2008-03-31</c:v>
                </c:pt>
                <c:pt idx="64">
                  <c:v>2008-04-01</c:v>
                </c:pt>
                <c:pt idx="65">
                  <c:v>2008-04-02</c:v>
                </c:pt>
                <c:pt idx="66">
                  <c:v>2008-04-03</c:v>
                </c:pt>
                <c:pt idx="67">
                  <c:v>2008-04-04</c:v>
                </c:pt>
                <c:pt idx="68">
                  <c:v>2008-04-07</c:v>
                </c:pt>
                <c:pt idx="69">
                  <c:v>2008-04-08</c:v>
                </c:pt>
                <c:pt idx="70">
                  <c:v>2008-04-09</c:v>
                </c:pt>
                <c:pt idx="71">
                  <c:v>2008-04-10</c:v>
                </c:pt>
                <c:pt idx="72">
                  <c:v>2008-04-11</c:v>
                </c:pt>
                <c:pt idx="73">
                  <c:v>2008-04-14</c:v>
                </c:pt>
                <c:pt idx="74">
                  <c:v>2008-04-15</c:v>
                </c:pt>
                <c:pt idx="75">
                  <c:v>2008-04-16</c:v>
                </c:pt>
                <c:pt idx="76">
                  <c:v>2008-04-17</c:v>
                </c:pt>
                <c:pt idx="77">
                  <c:v>2008-04-18</c:v>
                </c:pt>
                <c:pt idx="78">
                  <c:v>2008-04-21</c:v>
                </c:pt>
                <c:pt idx="79">
                  <c:v>2008-04-22</c:v>
                </c:pt>
                <c:pt idx="80">
                  <c:v>2008-04-23</c:v>
                </c:pt>
                <c:pt idx="81">
                  <c:v>2008-04-24</c:v>
                </c:pt>
                <c:pt idx="82">
                  <c:v>2008-04-25</c:v>
                </c:pt>
                <c:pt idx="83">
                  <c:v>2008-04-28</c:v>
                </c:pt>
                <c:pt idx="84">
                  <c:v>2008-04-29</c:v>
                </c:pt>
                <c:pt idx="85">
                  <c:v>2008-04-30</c:v>
                </c:pt>
                <c:pt idx="86">
                  <c:v>2008-05-01</c:v>
                </c:pt>
                <c:pt idx="87">
                  <c:v>2008-05-02</c:v>
                </c:pt>
                <c:pt idx="88">
                  <c:v>2008-05-05</c:v>
                </c:pt>
                <c:pt idx="89">
                  <c:v>2008-05-06</c:v>
                </c:pt>
                <c:pt idx="90">
                  <c:v>2008-05-07</c:v>
                </c:pt>
                <c:pt idx="91">
                  <c:v>2008-05-08</c:v>
                </c:pt>
                <c:pt idx="92">
                  <c:v>2008-05-09</c:v>
                </c:pt>
                <c:pt idx="93">
                  <c:v>2008-05-12</c:v>
                </c:pt>
                <c:pt idx="94">
                  <c:v>2008-05-13</c:v>
                </c:pt>
                <c:pt idx="95">
                  <c:v>2008-05-14</c:v>
                </c:pt>
                <c:pt idx="96">
                  <c:v>2008-05-15</c:v>
                </c:pt>
                <c:pt idx="97">
                  <c:v>2008-05-16</c:v>
                </c:pt>
                <c:pt idx="98">
                  <c:v>2008-05-19</c:v>
                </c:pt>
                <c:pt idx="99">
                  <c:v>2008-05-20</c:v>
                </c:pt>
                <c:pt idx="100">
                  <c:v>2008-05-21</c:v>
                </c:pt>
                <c:pt idx="101">
                  <c:v>2008-05-22</c:v>
                </c:pt>
                <c:pt idx="102">
                  <c:v>2008-05-23</c:v>
                </c:pt>
                <c:pt idx="103">
                  <c:v>2008-05-26</c:v>
                </c:pt>
                <c:pt idx="104">
                  <c:v>2008-05-27</c:v>
                </c:pt>
                <c:pt idx="105">
                  <c:v>2008-05-28</c:v>
                </c:pt>
                <c:pt idx="106">
                  <c:v>2008-05-29</c:v>
                </c:pt>
                <c:pt idx="107">
                  <c:v>2008-05-30</c:v>
                </c:pt>
                <c:pt idx="108">
                  <c:v>2008-06-02</c:v>
                </c:pt>
                <c:pt idx="109">
                  <c:v>2008-06-03</c:v>
                </c:pt>
                <c:pt idx="110">
                  <c:v>2008-06-04</c:v>
                </c:pt>
                <c:pt idx="111">
                  <c:v>2008-06-05</c:v>
                </c:pt>
                <c:pt idx="112">
                  <c:v>2008-06-06</c:v>
                </c:pt>
                <c:pt idx="113">
                  <c:v>2008-06-09</c:v>
                </c:pt>
                <c:pt idx="114">
                  <c:v>2008-06-10</c:v>
                </c:pt>
                <c:pt idx="115">
                  <c:v>2008-06-11</c:v>
                </c:pt>
                <c:pt idx="116">
                  <c:v>2008-06-12</c:v>
                </c:pt>
                <c:pt idx="117">
                  <c:v>2008-06-13</c:v>
                </c:pt>
                <c:pt idx="118">
                  <c:v>2008-06-16</c:v>
                </c:pt>
                <c:pt idx="119">
                  <c:v>2008-06-17</c:v>
                </c:pt>
                <c:pt idx="120">
                  <c:v>2008-06-18</c:v>
                </c:pt>
                <c:pt idx="121">
                  <c:v>2008-06-19</c:v>
                </c:pt>
                <c:pt idx="122">
                  <c:v>2008-06-20</c:v>
                </c:pt>
                <c:pt idx="123">
                  <c:v>2008-06-23</c:v>
                </c:pt>
                <c:pt idx="124">
                  <c:v>2008-06-24</c:v>
                </c:pt>
                <c:pt idx="125">
                  <c:v>2008-06-25</c:v>
                </c:pt>
                <c:pt idx="126">
                  <c:v>2008-06-26</c:v>
                </c:pt>
                <c:pt idx="127">
                  <c:v>2008-06-27</c:v>
                </c:pt>
                <c:pt idx="128">
                  <c:v>2008-06-30</c:v>
                </c:pt>
                <c:pt idx="129">
                  <c:v>2008-07-01</c:v>
                </c:pt>
                <c:pt idx="130">
                  <c:v>2008-07-02</c:v>
                </c:pt>
                <c:pt idx="131">
                  <c:v>2008-07-03</c:v>
                </c:pt>
                <c:pt idx="132">
                  <c:v>2008-07-04</c:v>
                </c:pt>
                <c:pt idx="133">
                  <c:v>2008-07-07</c:v>
                </c:pt>
                <c:pt idx="134">
                  <c:v>2008-07-08</c:v>
                </c:pt>
                <c:pt idx="135">
                  <c:v>2008-07-09</c:v>
                </c:pt>
                <c:pt idx="136">
                  <c:v>2008-07-10</c:v>
                </c:pt>
                <c:pt idx="137">
                  <c:v>2008-07-11</c:v>
                </c:pt>
                <c:pt idx="138">
                  <c:v>2008-07-14</c:v>
                </c:pt>
                <c:pt idx="139">
                  <c:v>2008-07-15</c:v>
                </c:pt>
                <c:pt idx="140">
                  <c:v>2008-07-16</c:v>
                </c:pt>
                <c:pt idx="141">
                  <c:v>2008-07-17</c:v>
                </c:pt>
                <c:pt idx="142">
                  <c:v>2008-07-18</c:v>
                </c:pt>
                <c:pt idx="143">
                  <c:v>2008-07-21</c:v>
                </c:pt>
                <c:pt idx="144">
                  <c:v>2008-07-22</c:v>
                </c:pt>
                <c:pt idx="145">
                  <c:v>2008-07-23</c:v>
                </c:pt>
                <c:pt idx="146">
                  <c:v>2008-07-24</c:v>
                </c:pt>
                <c:pt idx="147">
                  <c:v>2008-07-25</c:v>
                </c:pt>
                <c:pt idx="148">
                  <c:v>2008-07-28</c:v>
                </c:pt>
                <c:pt idx="149">
                  <c:v>2008-07-29</c:v>
                </c:pt>
                <c:pt idx="150">
                  <c:v>2008-07-30</c:v>
                </c:pt>
                <c:pt idx="151">
                  <c:v>2008-07-31</c:v>
                </c:pt>
                <c:pt idx="152">
                  <c:v>2008-08-01</c:v>
                </c:pt>
                <c:pt idx="153">
                  <c:v>2008-08-04</c:v>
                </c:pt>
                <c:pt idx="154">
                  <c:v>2008-08-05</c:v>
                </c:pt>
                <c:pt idx="155">
                  <c:v>2008-08-06</c:v>
                </c:pt>
                <c:pt idx="156">
                  <c:v>2008-08-07</c:v>
                </c:pt>
                <c:pt idx="157">
                  <c:v>2008-08-08</c:v>
                </c:pt>
                <c:pt idx="158">
                  <c:v>2008-08-11</c:v>
                </c:pt>
                <c:pt idx="159">
                  <c:v>2008-08-12</c:v>
                </c:pt>
                <c:pt idx="160">
                  <c:v>2008-08-13</c:v>
                </c:pt>
                <c:pt idx="161">
                  <c:v>2008-08-14</c:v>
                </c:pt>
                <c:pt idx="162">
                  <c:v>2008-08-15</c:v>
                </c:pt>
                <c:pt idx="163">
                  <c:v>2008-08-18</c:v>
                </c:pt>
                <c:pt idx="164">
                  <c:v>2008-08-19</c:v>
                </c:pt>
                <c:pt idx="165">
                  <c:v>2008-08-20</c:v>
                </c:pt>
                <c:pt idx="166">
                  <c:v>2008-08-21</c:v>
                </c:pt>
                <c:pt idx="167">
                  <c:v>2008-08-22</c:v>
                </c:pt>
                <c:pt idx="168">
                  <c:v>2008-08-25</c:v>
                </c:pt>
                <c:pt idx="169">
                  <c:v>2008-08-26</c:v>
                </c:pt>
                <c:pt idx="170">
                  <c:v>2008-08-27</c:v>
                </c:pt>
                <c:pt idx="171">
                  <c:v>2008-08-28</c:v>
                </c:pt>
                <c:pt idx="172">
                  <c:v>2008-08-29</c:v>
                </c:pt>
                <c:pt idx="173">
                  <c:v>2008-09-01</c:v>
                </c:pt>
                <c:pt idx="174">
                  <c:v>2008-09-02</c:v>
                </c:pt>
                <c:pt idx="175">
                  <c:v>2008-09-03</c:v>
                </c:pt>
                <c:pt idx="176">
                  <c:v>2008-09-04</c:v>
                </c:pt>
                <c:pt idx="177">
                  <c:v>2008-09-05</c:v>
                </c:pt>
                <c:pt idx="178">
                  <c:v>2008-09-08</c:v>
                </c:pt>
                <c:pt idx="179">
                  <c:v>2008-09-09</c:v>
                </c:pt>
                <c:pt idx="180">
                  <c:v>2008-09-10</c:v>
                </c:pt>
                <c:pt idx="181">
                  <c:v>2008-09-11</c:v>
                </c:pt>
                <c:pt idx="182">
                  <c:v>2008-09-12</c:v>
                </c:pt>
                <c:pt idx="183">
                  <c:v>2008-09-15</c:v>
                </c:pt>
                <c:pt idx="184">
                  <c:v>2008-09-16</c:v>
                </c:pt>
                <c:pt idx="185">
                  <c:v>2008-09-17</c:v>
                </c:pt>
                <c:pt idx="186">
                  <c:v>2008-09-18</c:v>
                </c:pt>
                <c:pt idx="187">
                  <c:v>2008-09-19</c:v>
                </c:pt>
                <c:pt idx="188">
                  <c:v>2008-09-22</c:v>
                </c:pt>
                <c:pt idx="189">
                  <c:v>2008-09-23</c:v>
                </c:pt>
                <c:pt idx="190">
                  <c:v>2008-09-24</c:v>
                </c:pt>
                <c:pt idx="191">
                  <c:v>2008-09-25</c:v>
                </c:pt>
                <c:pt idx="192">
                  <c:v>2008-09-26</c:v>
                </c:pt>
                <c:pt idx="193">
                  <c:v>2008-09-29</c:v>
                </c:pt>
                <c:pt idx="194">
                  <c:v>2008-09-30</c:v>
                </c:pt>
                <c:pt idx="195">
                  <c:v>2008-10-01</c:v>
                </c:pt>
                <c:pt idx="196">
                  <c:v>2008-10-02</c:v>
                </c:pt>
                <c:pt idx="197">
                  <c:v>2008-10-03</c:v>
                </c:pt>
                <c:pt idx="198">
                  <c:v>2008-10-06</c:v>
                </c:pt>
                <c:pt idx="199">
                  <c:v>2008-10-07</c:v>
                </c:pt>
                <c:pt idx="200">
                  <c:v>2008-10-08</c:v>
                </c:pt>
                <c:pt idx="201">
                  <c:v>2008-10-09</c:v>
                </c:pt>
                <c:pt idx="202">
                  <c:v>2008-10-10</c:v>
                </c:pt>
                <c:pt idx="203">
                  <c:v>2008-10-13</c:v>
                </c:pt>
                <c:pt idx="204">
                  <c:v>2008-10-14</c:v>
                </c:pt>
                <c:pt idx="205">
                  <c:v>2008-10-15</c:v>
                </c:pt>
                <c:pt idx="206">
                  <c:v>2008-10-16</c:v>
                </c:pt>
                <c:pt idx="207">
                  <c:v>2008-10-17</c:v>
                </c:pt>
                <c:pt idx="208">
                  <c:v>2008-10-20</c:v>
                </c:pt>
                <c:pt idx="209">
                  <c:v>2008-10-21</c:v>
                </c:pt>
                <c:pt idx="210">
                  <c:v>2008-10-22</c:v>
                </c:pt>
                <c:pt idx="211">
                  <c:v>2008-10-23</c:v>
                </c:pt>
                <c:pt idx="212">
                  <c:v>2008-10-24</c:v>
                </c:pt>
                <c:pt idx="213">
                  <c:v>2008-10-27</c:v>
                </c:pt>
                <c:pt idx="214">
                  <c:v>2008-10-28</c:v>
                </c:pt>
                <c:pt idx="215">
                  <c:v>2008-10-29</c:v>
                </c:pt>
                <c:pt idx="216">
                  <c:v>2008-10-30</c:v>
                </c:pt>
                <c:pt idx="217">
                  <c:v>2008-10-31</c:v>
                </c:pt>
                <c:pt idx="218">
                  <c:v>2008-11-03</c:v>
                </c:pt>
                <c:pt idx="219">
                  <c:v>2008-11-04</c:v>
                </c:pt>
                <c:pt idx="220">
                  <c:v>2008-11-05</c:v>
                </c:pt>
                <c:pt idx="221">
                  <c:v>2008-11-06</c:v>
                </c:pt>
                <c:pt idx="222">
                  <c:v>2008-11-07</c:v>
                </c:pt>
                <c:pt idx="223">
                  <c:v>2008-11-10</c:v>
                </c:pt>
                <c:pt idx="224">
                  <c:v>2008-11-11</c:v>
                </c:pt>
                <c:pt idx="225">
                  <c:v>2008-11-12</c:v>
                </c:pt>
                <c:pt idx="226">
                  <c:v>2008-11-13</c:v>
                </c:pt>
                <c:pt idx="227">
                  <c:v>2008-11-14</c:v>
                </c:pt>
                <c:pt idx="228">
                  <c:v>2008-11-17</c:v>
                </c:pt>
                <c:pt idx="229">
                  <c:v>2008-11-18</c:v>
                </c:pt>
                <c:pt idx="230">
                  <c:v>2008-11-19</c:v>
                </c:pt>
                <c:pt idx="231">
                  <c:v>2008-11-20</c:v>
                </c:pt>
                <c:pt idx="232">
                  <c:v>2008-11-21</c:v>
                </c:pt>
                <c:pt idx="233">
                  <c:v>2008-11-24</c:v>
                </c:pt>
                <c:pt idx="234">
                  <c:v>2008-11-25</c:v>
                </c:pt>
                <c:pt idx="235">
                  <c:v>2008-11-26</c:v>
                </c:pt>
                <c:pt idx="236">
                  <c:v>2008-11-27</c:v>
                </c:pt>
                <c:pt idx="237">
                  <c:v>2008-11-28</c:v>
                </c:pt>
                <c:pt idx="238">
                  <c:v>2008-12-01</c:v>
                </c:pt>
                <c:pt idx="239">
                  <c:v>2008-12-02</c:v>
                </c:pt>
                <c:pt idx="240">
                  <c:v>2008-12-03</c:v>
                </c:pt>
                <c:pt idx="241">
                  <c:v>2008-12-04</c:v>
                </c:pt>
                <c:pt idx="242">
                  <c:v>2008-12-05</c:v>
                </c:pt>
                <c:pt idx="243">
                  <c:v>2008-12-08</c:v>
                </c:pt>
                <c:pt idx="244">
                  <c:v>2008-12-09</c:v>
                </c:pt>
                <c:pt idx="245">
                  <c:v>2008-12-10</c:v>
                </c:pt>
                <c:pt idx="246">
                  <c:v>2008-12-11</c:v>
                </c:pt>
                <c:pt idx="247">
                  <c:v>2008-12-12</c:v>
                </c:pt>
                <c:pt idx="248">
                  <c:v>2008-12-15</c:v>
                </c:pt>
                <c:pt idx="249">
                  <c:v>2008-12-16</c:v>
                </c:pt>
                <c:pt idx="250">
                  <c:v>2008-12-17</c:v>
                </c:pt>
                <c:pt idx="251">
                  <c:v>2008-12-18</c:v>
                </c:pt>
                <c:pt idx="252">
                  <c:v>2008-12-19</c:v>
                </c:pt>
                <c:pt idx="253">
                  <c:v>2008-12-22</c:v>
                </c:pt>
                <c:pt idx="254">
                  <c:v>2008-12-23</c:v>
                </c:pt>
                <c:pt idx="255">
                  <c:v>2008-12-24</c:v>
                </c:pt>
                <c:pt idx="256">
                  <c:v>2008-12-26</c:v>
                </c:pt>
                <c:pt idx="257">
                  <c:v>2008-12-29</c:v>
                </c:pt>
                <c:pt idx="258">
                  <c:v>2008-12-30</c:v>
                </c:pt>
                <c:pt idx="259">
                  <c:v>2008-12-31</c:v>
                </c:pt>
                <c:pt idx="260">
                  <c:v>2009-01-02</c:v>
                </c:pt>
                <c:pt idx="261">
                  <c:v>2009-01-05</c:v>
                </c:pt>
                <c:pt idx="262">
                  <c:v>2009-01-06</c:v>
                </c:pt>
                <c:pt idx="263">
                  <c:v>2009-01-07</c:v>
                </c:pt>
                <c:pt idx="264">
                  <c:v>2009-01-08</c:v>
                </c:pt>
                <c:pt idx="265">
                  <c:v>2009-01-09</c:v>
                </c:pt>
                <c:pt idx="266">
                  <c:v>2009-01-12</c:v>
                </c:pt>
                <c:pt idx="267">
                  <c:v>2009-01-13</c:v>
                </c:pt>
                <c:pt idx="268">
                  <c:v>2009-01-14</c:v>
                </c:pt>
                <c:pt idx="269">
                  <c:v>2009-01-15</c:v>
                </c:pt>
                <c:pt idx="270">
                  <c:v>2009-01-16</c:v>
                </c:pt>
                <c:pt idx="271">
                  <c:v>2009-01-19</c:v>
                </c:pt>
                <c:pt idx="272">
                  <c:v>2009-01-20</c:v>
                </c:pt>
                <c:pt idx="273">
                  <c:v>2009-01-21</c:v>
                </c:pt>
                <c:pt idx="274">
                  <c:v>2009-01-22</c:v>
                </c:pt>
                <c:pt idx="275">
                  <c:v>2009-01-23</c:v>
                </c:pt>
                <c:pt idx="276">
                  <c:v>2009-01-26</c:v>
                </c:pt>
                <c:pt idx="277">
                  <c:v>2009-01-27</c:v>
                </c:pt>
                <c:pt idx="278">
                  <c:v>2009-01-28</c:v>
                </c:pt>
                <c:pt idx="279">
                  <c:v>2009-01-29</c:v>
                </c:pt>
                <c:pt idx="280">
                  <c:v>2009-01-30</c:v>
                </c:pt>
                <c:pt idx="281">
                  <c:v>2009-02-02</c:v>
                </c:pt>
                <c:pt idx="282">
                  <c:v>2009-02-03</c:v>
                </c:pt>
                <c:pt idx="283">
                  <c:v>2009-02-04</c:v>
                </c:pt>
                <c:pt idx="284">
                  <c:v>2009-02-05</c:v>
                </c:pt>
                <c:pt idx="285">
                  <c:v>2009-02-06</c:v>
                </c:pt>
                <c:pt idx="286">
                  <c:v>2009-02-09</c:v>
                </c:pt>
                <c:pt idx="287">
                  <c:v>2009-02-10</c:v>
                </c:pt>
                <c:pt idx="288">
                  <c:v>2009-02-11</c:v>
                </c:pt>
                <c:pt idx="289">
                  <c:v>2009-02-12</c:v>
                </c:pt>
                <c:pt idx="290">
                  <c:v>2009-02-13</c:v>
                </c:pt>
                <c:pt idx="291">
                  <c:v>2009-02-16</c:v>
                </c:pt>
                <c:pt idx="292">
                  <c:v>2009-02-17</c:v>
                </c:pt>
                <c:pt idx="293">
                  <c:v>2009-02-18</c:v>
                </c:pt>
                <c:pt idx="294">
                  <c:v>2009-02-19</c:v>
                </c:pt>
                <c:pt idx="295">
                  <c:v>2009-02-20</c:v>
                </c:pt>
                <c:pt idx="296">
                  <c:v>2009-02-23</c:v>
                </c:pt>
                <c:pt idx="297">
                  <c:v>2009-02-24</c:v>
                </c:pt>
                <c:pt idx="298">
                  <c:v>2009-02-25</c:v>
                </c:pt>
                <c:pt idx="299">
                  <c:v>2009-02-26</c:v>
                </c:pt>
                <c:pt idx="300">
                  <c:v>2009-02-27</c:v>
                </c:pt>
                <c:pt idx="301">
                  <c:v>2009-03-02</c:v>
                </c:pt>
                <c:pt idx="302">
                  <c:v>2009-03-03</c:v>
                </c:pt>
                <c:pt idx="303">
                  <c:v>2009-03-04</c:v>
                </c:pt>
                <c:pt idx="304">
                  <c:v>2009-03-05</c:v>
                </c:pt>
                <c:pt idx="305">
                  <c:v>2009-03-06</c:v>
                </c:pt>
                <c:pt idx="306">
                  <c:v>2009-03-09</c:v>
                </c:pt>
                <c:pt idx="307">
                  <c:v>2009-03-10</c:v>
                </c:pt>
                <c:pt idx="308">
                  <c:v>2009-03-11</c:v>
                </c:pt>
                <c:pt idx="309">
                  <c:v>2009-03-12</c:v>
                </c:pt>
                <c:pt idx="310">
                  <c:v>2009-03-13</c:v>
                </c:pt>
                <c:pt idx="311">
                  <c:v>2009-03-16</c:v>
                </c:pt>
                <c:pt idx="312">
                  <c:v>2009-03-17</c:v>
                </c:pt>
                <c:pt idx="313">
                  <c:v>2009-03-18</c:v>
                </c:pt>
                <c:pt idx="314">
                  <c:v>2009-03-19</c:v>
                </c:pt>
                <c:pt idx="315">
                  <c:v>2009-03-20</c:v>
                </c:pt>
                <c:pt idx="316">
                  <c:v>2009-03-23</c:v>
                </c:pt>
                <c:pt idx="317">
                  <c:v>2009-03-24</c:v>
                </c:pt>
                <c:pt idx="318">
                  <c:v>2009-03-25</c:v>
                </c:pt>
                <c:pt idx="319">
                  <c:v>2009-03-26</c:v>
                </c:pt>
                <c:pt idx="320">
                  <c:v>2009-03-27</c:v>
                </c:pt>
                <c:pt idx="321">
                  <c:v>2009-03-30</c:v>
                </c:pt>
                <c:pt idx="322">
                  <c:v>2009-03-31</c:v>
                </c:pt>
                <c:pt idx="323">
                  <c:v>2009-04-01</c:v>
                </c:pt>
                <c:pt idx="324">
                  <c:v>2009-04-02</c:v>
                </c:pt>
                <c:pt idx="325">
                  <c:v>2009-04-03</c:v>
                </c:pt>
                <c:pt idx="326">
                  <c:v>2009-04-06</c:v>
                </c:pt>
                <c:pt idx="327">
                  <c:v>2009-04-07</c:v>
                </c:pt>
                <c:pt idx="328">
                  <c:v>2009-04-08</c:v>
                </c:pt>
                <c:pt idx="329">
                  <c:v>2009-04-09</c:v>
                </c:pt>
                <c:pt idx="330">
                  <c:v>2009-04-10</c:v>
                </c:pt>
                <c:pt idx="331">
                  <c:v>2009-04-13</c:v>
                </c:pt>
                <c:pt idx="332">
                  <c:v>2009-04-14</c:v>
                </c:pt>
                <c:pt idx="333">
                  <c:v>2009-04-15</c:v>
                </c:pt>
                <c:pt idx="334">
                  <c:v>2009-04-16</c:v>
                </c:pt>
                <c:pt idx="335">
                  <c:v>2009-04-17</c:v>
                </c:pt>
                <c:pt idx="336">
                  <c:v>2009-04-20</c:v>
                </c:pt>
                <c:pt idx="337">
                  <c:v>2009-04-21</c:v>
                </c:pt>
                <c:pt idx="338">
                  <c:v>2009-04-22</c:v>
                </c:pt>
                <c:pt idx="339">
                  <c:v>2009-04-23</c:v>
                </c:pt>
                <c:pt idx="340">
                  <c:v>2009-04-24</c:v>
                </c:pt>
                <c:pt idx="341">
                  <c:v>2009-04-27</c:v>
                </c:pt>
                <c:pt idx="342">
                  <c:v>2009-04-28</c:v>
                </c:pt>
                <c:pt idx="343">
                  <c:v>2009-04-29</c:v>
                </c:pt>
                <c:pt idx="344">
                  <c:v>2009-04-30</c:v>
                </c:pt>
                <c:pt idx="345">
                  <c:v>2009-05-01</c:v>
                </c:pt>
                <c:pt idx="346">
                  <c:v>2009-05-04</c:v>
                </c:pt>
                <c:pt idx="347">
                  <c:v>2009-05-05</c:v>
                </c:pt>
                <c:pt idx="348">
                  <c:v>2009-05-06</c:v>
                </c:pt>
                <c:pt idx="349">
                  <c:v>2009-05-07</c:v>
                </c:pt>
                <c:pt idx="350">
                  <c:v>2009-05-08</c:v>
                </c:pt>
                <c:pt idx="351">
                  <c:v>2009-05-11</c:v>
                </c:pt>
                <c:pt idx="352">
                  <c:v>2009-05-12</c:v>
                </c:pt>
                <c:pt idx="353">
                  <c:v>2009-05-13</c:v>
                </c:pt>
                <c:pt idx="354">
                  <c:v>2009-05-14</c:v>
                </c:pt>
                <c:pt idx="355">
                  <c:v>2009-05-15</c:v>
                </c:pt>
                <c:pt idx="356">
                  <c:v>2009-05-18</c:v>
                </c:pt>
                <c:pt idx="357">
                  <c:v>2009-05-19</c:v>
                </c:pt>
                <c:pt idx="358">
                  <c:v>2009-05-20</c:v>
                </c:pt>
                <c:pt idx="359">
                  <c:v>2009-05-21</c:v>
                </c:pt>
                <c:pt idx="360">
                  <c:v>2009-05-22</c:v>
                </c:pt>
                <c:pt idx="361">
                  <c:v>2009-05-25</c:v>
                </c:pt>
                <c:pt idx="362">
                  <c:v>2009-05-26</c:v>
                </c:pt>
                <c:pt idx="363">
                  <c:v>2009-05-27</c:v>
                </c:pt>
                <c:pt idx="364">
                  <c:v>2009-05-28</c:v>
                </c:pt>
                <c:pt idx="365">
                  <c:v>2009-05-29</c:v>
                </c:pt>
                <c:pt idx="366">
                  <c:v>2009-06-01</c:v>
                </c:pt>
                <c:pt idx="367">
                  <c:v>2009-06-02</c:v>
                </c:pt>
                <c:pt idx="368">
                  <c:v>2009-06-03</c:v>
                </c:pt>
                <c:pt idx="369">
                  <c:v>2009-06-04</c:v>
                </c:pt>
                <c:pt idx="370">
                  <c:v>2009-06-05</c:v>
                </c:pt>
                <c:pt idx="371">
                  <c:v>2009-06-08</c:v>
                </c:pt>
                <c:pt idx="372">
                  <c:v>2009-06-09</c:v>
                </c:pt>
                <c:pt idx="373">
                  <c:v>2009-06-10</c:v>
                </c:pt>
                <c:pt idx="374">
                  <c:v>2009-06-11</c:v>
                </c:pt>
                <c:pt idx="375">
                  <c:v>2009-06-12</c:v>
                </c:pt>
                <c:pt idx="376">
                  <c:v>2009-06-15</c:v>
                </c:pt>
                <c:pt idx="377">
                  <c:v>2009-06-16</c:v>
                </c:pt>
                <c:pt idx="378">
                  <c:v>2009-06-17</c:v>
                </c:pt>
                <c:pt idx="379">
                  <c:v>2009-06-18</c:v>
                </c:pt>
                <c:pt idx="380">
                  <c:v>2009-06-19</c:v>
                </c:pt>
                <c:pt idx="381">
                  <c:v>2009-06-22</c:v>
                </c:pt>
                <c:pt idx="382">
                  <c:v>2009-06-23</c:v>
                </c:pt>
                <c:pt idx="383">
                  <c:v>2009-06-24</c:v>
                </c:pt>
                <c:pt idx="384">
                  <c:v>2009-06-25</c:v>
                </c:pt>
                <c:pt idx="385">
                  <c:v>2009-06-26</c:v>
                </c:pt>
                <c:pt idx="386">
                  <c:v>2009-06-29</c:v>
                </c:pt>
                <c:pt idx="387">
                  <c:v>2009-06-30</c:v>
                </c:pt>
                <c:pt idx="388">
                  <c:v>2009-07-01</c:v>
                </c:pt>
                <c:pt idx="389">
                  <c:v>2009-07-02</c:v>
                </c:pt>
                <c:pt idx="390">
                  <c:v>2009-07-03</c:v>
                </c:pt>
                <c:pt idx="391">
                  <c:v>2009-07-06</c:v>
                </c:pt>
                <c:pt idx="392">
                  <c:v>2009-07-07</c:v>
                </c:pt>
                <c:pt idx="393">
                  <c:v>2009-07-08</c:v>
                </c:pt>
                <c:pt idx="394">
                  <c:v>2009-07-09</c:v>
                </c:pt>
                <c:pt idx="395">
                  <c:v>2009-07-10</c:v>
                </c:pt>
                <c:pt idx="396">
                  <c:v>2009-07-13</c:v>
                </c:pt>
                <c:pt idx="397">
                  <c:v>2009-07-14</c:v>
                </c:pt>
                <c:pt idx="398">
                  <c:v>2009-07-15</c:v>
                </c:pt>
                <c:pt idx="399">
                  <c:v>2009-07-16</c:v>
                </c:pt>
                <c:pt idx="400">
                  <c:v>2009-07-17</c:v>
                </c:pt>
                <c:pt idx="401">
                  <c:v>2009-07-20</c:v>
                </c:pt>
                <c:pt idx="402">
                  <c:v>2009-07-21</c:v>
                </c:pt>
                <c:pt idx="403">
                  <c:v>2009-07-22</c:v>
                </c:pt>
                <c:pt idx="404">
                  <c:v>2009-07-23</c:v>
                </c:pt>
                <c:pt idx="405">
                  <c:v>2009-07-24</c:v>
                </c:pt>
                <c:pt idx="406">
                  <c:v>2009-07-27</c:v>
                </c:pt>
                <c:pt idx="407">
                  <c:v>2009-07-28</c:v>
                </c:pt>
                <c:pt idx="408">
                  <c:v>2009-07-29</c:v>
                </c:pt>
                <c:pt idx="409">
                  <c:v>2009-07-30</c:v>
                </c:pt>
                <c:pt idx="410">
                  <c:v>2009-07-31</c:v>
                </c:pt>
                <c:pt idx="411">
                  <c:v>2009-08-03</c:v>
                </c:pt>
                <c:pt idx="412">
                  <c:v>2009-08-04</c:v>
                </c:pt>
                <c:pt idx="413">
                  <c:v>2009-08-05</c:v>
                </c:pt>
                <c:pt idx="414">
                  <c:v>2009-08-06</c:v>
                </c:pt>
                <c:pt idx="415">
                  <c:v>2009-08-07</c:v>
                </c:pt>
                <c:pt idx="416">
                  <c:v>2009-08-10</c:v>
                </c:pt>
                <c:pt idx="417">
                  <c:v>2009-08-11</c:v>
                </c:pt>
                <c:pt idx="418">
                  <c:v>2009-08-12</c:v>
                </c:pt>
                <c:pt idx="419">
                  <c:v>2009-08-13</c:v>
                </c:pt>
                <c:pt idx="420">
                  <c:v>2009-08-14</c:v>
                </c:pt>
                <c:pt idx="421">
                  <c:v>2009-08-17</c:v>
                </c:pt>
                <c:pt idx="422">
                  <c:v>2009-08-18</c:v>
                </c:pt>
                <c:pt idx="423">
                  <c:v>2009-08-19</c:v>
                </c:pt>
                <c:pt idx="424">
                  <c:v>2009-08-20</c:v>
                </c:pt>
                <c:pt idx="425">
                  <c:v>2009-08-21</c:v>
                </c:pt>
                <c:pt idx="426">
                  <c:v>2009-08-24</c:v>
                </c:pt>
                <c:pt idx="427">
                  <c:v>2009-08-25</c:v>
                </c:pt>
                <c:pt idx="428">
                  <c:v>2009-08-26</c:v>
                </c:pt>
                <c:pt idx="429">
                  <c:v>2009-08-27</c:v>
                </c:pt>
                <c:pt idx="430">
                  <c:v>2009-08-28</c:v>
                </c:pt>
                <c:pt idx="431">
                  <c:v>2009-08-31</c:v>
                </c:pt>
                <c:pt idx="432">
                  <c:v>2009-09-01</c:v>
                </c:pt>
                <c:pt idx="433">
                  <c:v>2009-09-02</c:v>
                </c:pt>
                <c:pt idx="434">
                  <c:v>2009-09-03</c:v>
                </c:pt>
                <c:pt idx="435">
                  <c:v>2009-09-04</c:v>
                </c:pt>
                <c:pt idx="436">
                  <c:v>2009-09-07</c:v>
                </c:pt>
                <c:pt idx="437">
                  <c:v>2009-09-08</c:v>
                </c:pt>
                <c:pt idx="438">
                  <c:v>2009-09-09</c:v>
                </c:pt>
                <c:pt idx="439">
                  <c:v>2009-09-10</c:v>
                </c:pt>
                <c:pt idx="440">
                  <c:v>2009-09-11</c:v>
                </c:pt>
                <c:pt idx="441">
                  <c:v>2009-09-14</c:v>
                </c:pt>
                <c:pt idx="442">
                  <c:v>2009-09-15</c:v>
                </c:pt>
                <c:pt idx="443">
                  <c:v>2009-09-16</c:v>
                </c:pt>
                <c:pt idx="444">
                  <c:v>2009-09-17</c:v>
                </c:pt>
                <c:pt idx="445">
                  <c:v>2009-09-18</c:v>
                </c:pt>
                <c:pt idx="446">
                  <c:v>2009-09-21</c:v>
                </c:pt>
                <c:pt idx="447">
                  <c:v>2009-09-22</c:v>
                </c:pt>
                <c:pt idx="448">
                  <c:v>2009-09-23</c:v>
                </c:pt>
                <c:pt idx="449">
                  <c:v>2009-09-24</c:v>
                </c:pt>
                <c:pt idx="450">
                  <c:v>2009-09-25</c:v>
                </c:pt>
                <c:pt idx="451">
                  <c:v>2009-09-28</c:v>
                </c:pt>
                <c:pt idx="452">
                  <c:v>2009-09-29</c:v>
                </c:pt>
                <c:pt idx="453">
                  <c:v>2009-09-30</c:v>
                </c:pt>
                <c:pt idx="454">
                  <c:v>2009-10-01</c:v>
                </c:pt>
                <c:pt idx="455">
                  <c:v>2009-10-02</c:v>
                </c:pt>
                <c:pt idx="456">
                  <c:v>2009-10-05</c:v>
                </c:pt>
                <c:pt idx="457">
                  <c:v>2009-10-06</c:v>
                </c:pt>
                <c:pt idx="458">
                  <c:v>2009-10-07</c:v>
                </c:pt>
                <c:pt idx="459">
                  <c:v>2009-10-08</c:v>
                </c:pt>
                <c:pt idx="460">
                  <c:v>2009-10-09</c:v>
                </c:pt>
                <c:pt idx="461">
                  <c:v>2009-10-12</c:v>
                </c:pt>
                <c:pt idx="462">
                  <c:v>2009-10-13</c:v>
                </c:pt>
                <c:pt idx="463">
                  <c:v>2009-10-14</c:v>
                </c:pt>
                <c:pt idx="464">
                  <c:v>2009-10-15</c:v>
                </c:pt>
                <c:pt idx="465">
                  <c:v>2009-10-16</c:v>
                </c:pt>
                <c:pt idx="466">
                  <c:v>2009-10-19</c:v>
                </c:pt>
                <c:pt idx="467">
                  <c:v>2009-10-20</c:v>
                </c:pt>
                <c:pt idx="468">
                  <c:v>2009-10-21</c:v>
                </c:pt>
                <c:pt idx="469">
                  <c:v>2009-10-22</c:v>
                </c:pt>
                <c:pt idx="470">
                  <c:v>2009-10-23</c:v>
                </c:pt>
                <c:pt idx="471">
                  <c:v>2009-10-26</c:v>
                </c:pt>
                <c:pt idx="472">
                  <c:v>2009-10-27</c:v>
                </c:pt>
                <c:pt idx="473">
                  <c:v>2009-10-28</c:v>
                </c:pt>
                <c:pt idx="474">
                  <c:v>2009-10-29</c:v>
                </c:pt>
                <c:pt idx="475">
                  <c:v>2009-10-30</c:v>
                </c:pt>
                <c:pt idx="476">
                  <c:v>2009-11-02</c:v>
                </c:pt>
                <c:pt idx="477">
                  <c:v>2009-11-03</c:v>
                </c:pt>
                <c:pt idx="478">
                  <c:v>2009-11-04</c:v>
                </c:pt>
                <c:pt idx="479">
                  <c:v>2009-11-05</c:v>
                </c:pt>
                <c:pt idx="480">
                  <c:v>2009-11-06</c:v>
                </c:pt>
                <c:pt idx="481">
                  <c:v>2009-11-09</c:v>
                </c:pt>
                <c:pt idx="482">
                  <c:v>2009-11-10</c:v>
                </c:pt>
                <c:pt idx="483">
                  <c:v>2009-11-11</c:v>
                </c:pt>
                <c:pt idx="484">
                  <c:v>2009-11-12</c:v>
                </c:pt>
                <c:pt idx="485">
                  <c:v>2009-11-13</c:v>
                </c:pt>
                <c:pt idx="486">
                  <c:v>2009-11-16</c:v>
                </c:pt>
                <c:pt idx="487">
                  <c:v>2009-11-17</c:v>
                </c:pt>
                <c:pt idx="488">
                  <c:v>2009-11-18</c:v>
                </c:pt>
                <c:pt idx="489">
                  <c:v>2009-11-19</c:v>
                </c:pt>
                <c:pt idx="490">
                  <c:v>2009-11-20</c:v>
                </c:pt>
                <c:pt idx="491">
                  <c:v>2009-11-23</c:v>
                </c:pt>
                <c:pt idx="492">
                  <c:v>2009-11-24</c:v>
                </c:pt>
                <c:pt idx="493">
                  <c:v>2009-11-25</c:v>
                </c:pt>
                <c:pt idx="494">
                  <c:v>2009-11-26</c:v>
                </c:pt>
                <c:pt idx="495">
                  <c:v>2009-11-27</c:v>
                </c:pt>
                <c:pt idx="496">
                  <c:v>2009-11-30</c:v>
                </c:pt>
                <c:pt idx="497">
                  <c:v>2009-12-01</c:v>
                </c:pt>
                <c:pt idx="498">
                  <c:v>2009-12-02</c:v>
                </c:pt>
                <c:pt idx="499">
                  <c:v>2009-12-03</c:v>
                </c:pt>
                <c:pt idx="500">
                  <c:v>2009-12-04</c:v>
                </c:pt>
                <c:pt idx="501">
                  <c:v>2009-12-07</c:v>
                </c:pt>
                <c:pt idx="502">
                  <c:v>2009-12-08</c:v>
                </c:pt>
                <c:pt idx="503">
                  <c:v>2009-12-09</c:v>
                </c:pt>
                <c:pt idx="504">
                  <c:v>2009-12-10</c:v>
                </c:pt>
                <c:pt idx="505">
                  <c:v>2009-12-11</c:v>
                </c:pt>
                <c:pt idx="506">
                  <c:v>2009-12-14</c:v>
                </c:pt>
                <c:pt idx="507">
                  <c:v>2009-12-15</c:v>
                </c:pt>
                <c:pt idx="508">
                  <c:v>2009-12-16</c:v>
                </c:pt>
                <c:pt idx="509">
                  <c:v>2009-12-17</c:v>
                </c:pt>
                <c:pt idx="510">
                  <c:v>2009-12-18</c:v>
                </c:pt>
                <c:pt idx="511">
                  <c:v>2009-12-21</c:v>
                </c:pt>
                <c:pt idx="512">
                  <c:v>2009-12-22</c:v>
                </c:pt>
                <c:pt idx="513">
                  <c:v>2009-12-23</c:v>
                </c:pt>
                <c:pt idx="514">
                  <c:v>2009-12-24</c:v>
                </c:pt>
                <c:pt idx="515">
                  <c:v>2009-12-28</c:v>
                </c:pt>
                <c:pt idx="516">
                  <c:v>2009-12-29</c:v>
                </c:pt>
                <c:pt idx="517">
                  <c:v>2009-12-30</c:v>
                </c:pt>
                <c:pt idx="518">
                  <c:v>2009-12-31</c:v>
                </c:pt>
                <c:pt idx="519">
                  <c:v>2010-01-04</c:v>
                </c:pt>
                <c:pt idx="520">
                  <c:v>2010-01-05</c:v>
                </c:pt>
                <c:pt idx="521">
                  <c:v>2010-01-06</c:v>
                </c:pt>
                <c:pt idx="522">
                  <c:v>2010-01-07</c:v>
                </c:pt>
                <c:pt idx="523">
                  <c:v>2010-01-08</c:v>
                </c:pt>
                <c:pt idx="524">
                  <c:v>2010-01-11</c:v>
                </c:pt>
                <c:pt idx="525">
                  <c:v>2010-01-12</c:v>
                </c:pt>
                <c:pt idx="526">
                  <c:v>2010-01-13</c:v>
                </c:pt>
                <c:pt idx="527">
                  <c:v>2010-01-14</c:v>
                </c:pt>
                <c:pt idx="528">
                  <c:v>2010-01-15</c:v>
                </c:pt>
                <c:pt idx="529">
                  <c:v>2010-01-18</c:v>
                </c:pt>
                <c:pt idx="530">
                  <c:v>2010-01-19</c:v>
                </c:pt>
                <c:pt idx="531">
                  <c:v>2010-01-20</c:v>
                </c:pt>
                <c:pt idx="532">
                  <c:v>2010-01-21</c:v>
                </c:pt>
                <c:pt idx="533">
                  <c:v>2010-01-22</c:v>
                </c:pt>
                <c:pt idx="534">
                  <c:v>2010-01-25</c:v>
                </c:pt>
                <c:pt idx="535">
                  <c:v>2010-01-26</c:v>
                </c:pt>
                <c:pt idx="536">
                  <c:v>2010-01-27</c:v>
                </c:pt>
                <c:pt idx="537">
                  <c:v>2010-01-28</c:v>
                </c:pt>
                <c:pt idx="538">
                  <c:v>2010-01-29</c:v>
                </c:pt>
                <c:pt idx="539">
                  <c:v>2010-02-01</c:v>
                </c:pt>
                <c:pt idx="540">
                  <c:v>2010-02-02</c:v>
                </c:pt>
                <c:pt idx="541">
                  <c:v>2010-02-03</c:v>
                </c:pt>
                <c:pt idx="542">
                  <c:v>2010-02-04</c:v>
                </c:pt>
                <c:pt idx="543">
                  <c:v>2010-02-05</c:v>
                </c:pt>
                <c:pt idx="544">
                  <c:v>2010-02-08</c:v>
                </c:pt>
                <c:pt idx="545">
                  <c:v>2010-02-09</c:v>
                </c:pt>
                <c:pt idx="546">
                  <c:v>2010-02-10</c:v>
                </c:pt>
                <c:pt idx="547">
                  <c:v>2010-02-11</c:v>
                </c:pt>
                <c:pt idx="548">
                  <c:v>2010-02-12</c:v>
                </c:pt>
                <c:pt idx="549">
                  <c:v>2010-02-16</c:v>
                </c:pt>
                <c:pt idx="550">
                  <c:v>2010-02-17</c:v>
                </c:pt>
                <c:pt idx="551">
                  <c:v>2010-02-18</c:v>
                </c:pt>
                <c:pt idx="552">
                  <c:v>2010-02-19</c:v>
                </c:pt>
                <c:pt idx="553">
                  <c:v>2010-02-22</c:v>
                </c:pt>
                <c:pt idx="554">
                  <c:v>2010-02-23</c:v>
                </c:pt>
                <c:pt idx="555">
                  <c:v>2010-02-24</c:v>
                </c:pt>
                <c:pt idx="556">
                  <c:v>2010-02-25</c:v>
                </c:pt>
                <c:pt idx="557">
                  <c:v>2010-02-26</c:v>
                </c:pt>
                <c:pt idx="558">
                  <c:v>2010-03-01</c:v>
                </c:pt>
                <c:pt idx="559">
                  <c:v>2010-03-02</c:v>
                </c:pt>
                <c:pt idx="560">
                  <c:v>2010-03-03</c:v>
                </c:pt>
                <c:pt idx="561">
                  <c:v>2010-03-04</c:v>
                </c:pt>
                <c:pt idx="562">
                  <c:v>2010-03-05</c:v>
                </c:pt>
                <c:pt idx="563">
                  <c:v>2010-03-08</c:v>
                </c:pt>
                <c:pt idx="564">
                  <c:v>2010-03-09</c:v>
                </c:pt>
                <c:pt idx="565">
                  <c:v>2010-03-10</c:v>
                </c:pt>
                <c:pt idx="566">
                  <c:v>2010-03-11</c:v>
                </c:pt>
                <c:pt idx="567">
                  <c:v>2010-03-12</c:v>
                </c:pt>
                <c:pt idx="568">
                  <c:v>2010-03-15</c:v>
                </c:pt>
                <c:pt idx="569">
                  <c:v>2010-03-16</c:v>
                </c:pt>
                <c:pt idx="570">
                  <c:v>2010-03-17</c:v>
                </c:pt>
                <c:pt idx="571">
                  <c:v>2010-03-18</c:v>
                </c:pt>
                <c:pt idx="572">
                  <c:v>2010-03-19</c:v>
                </c:pt>
                <c:pt idx="573">
                  <c:v>2010-03-22</c:v>
                </c:pt>
                <c:pt idx="574">
                  <c:v>2010-03-23</c:v>
                </c:pt>
                <c:pt idx="575">
                  <c:v>2010-03-24</c:v>
                </c:pt>
                <c:pt idx="576">
                  <c:v>2010-03-25</c:v>
                </c:pt>
                <c:pt idx="577">
                  <c:v>2010-03-26</c:v>
                </c:pt>
                <c:pt idx="578">
                  <c:v>2010-03-29</c:v>
                </c:pt>
                <c:pt idx="579">
                  <c:v>2010-03-30</c:v>
                </c:pt>
                <c:pt idx="580">
                  <c:v>2010-03-31</c:v>
                </c:pt>
                <c:pt idx="581">
                  <c:v>2010-04-01</c:v>
                </c:pt>
                <c:pt idx="582">
                  <c:v>2010-04-02</c:v>
                </c:pt>
                <c:pt idx="583">
                  <c:v>2010-04-05</c:v>
                </c:pt>
                <c:pt idx="584">
                  <c:v>2010-04-06</c:v>
                </c:pt>
                <c:pt idx="585">
                  <c:v>2010-04-07</c:v>
                </c:pt>
                <c:pt idx="586">
                  <c:v>2010-04-08</c:v>
                </c:pt>
                <c:pt idx="587">
                  <c:v>2010-04-09</c:v>
                </c:pt>
                <c:pt idx="588">
                  <c:v>2010-04-12</c:v>
                </c:pt>
                <c:pt idx="589">
                  <c:v>2010-04-13</c:v>
                </c:pt>
                <c:pt idx="590">
                  <c:v>2010-04-14</c:v>
                </c:pt>
                <c:pt idx="591">
                  <c:v>2010-04-15</c:v>
                </c:pt>
                <c:pt idx="592">
                  <c:v>2010-04-16</c:v>
                </c:pt>
                <c:pt idx="593">
                  <c:v>2010-04-19</c:v>
                </c:pt>
                <c:pt idx="594">
                  <c:v>2010-04-20</c:v>
                </c:pt>
                <c:pt idx="595">
                  <c:v>2010-04-21</c:v>
                </c:pt>
                <c:pt idx="596">
                  <c:v>2010-04-22</c:v>
                </c:pt>
                <c:pt idx="597">
                  <c:v>2010-04-23</c:v>
                </c:pt>
                <c:pt idx="598">
                  <c:v>2010-04-26</c:v>
                </c:pt>
                <c:pt idx="599">
                  <c:v>2010-04-27</c:v>
                </c:pt>
                <c:pt idx="600">
                  <c:v>2010-04-28</c:v>
                </c:pt>
                <c:pt idx="601">
                  <c:v>2010-04-29</c:v>
                </c:pt>
                <c:pt idx="602">
                  <c:v>2010-04-30</c:v>
                </c:pt>
                <c:pt idx="603">
                  <c:v>2010-05-03</c:v>
                </c:pt>
                <c:pt idx="604">
                  <c:v>2010-05-04</c:v>
                </c:pt>
                <c:pt idx="605">
                  <c:v>2010-05-05</c:v>
                </c:pt>
                <c:pt idx="606">
                  <c:v>2010-05-06</c:v>
                </c:pt>
                <c:pt idx="607">
                  <c:v>2010-05-07</c:v>
                </c:pt>
                <c:pt idx="608">
                  <c:v>2010-05-10</c:v>
                </c:pt>
                <c:pt idx="609">
                  <c:v>2010-05-11</c:v>
                </c:pt>
                <c:pt idx="610">
                  <c:v>2010-05-12</c:v>
                </c:pt>
                <c:pt idx="611">
                  <c:v>2010-05-13</c:v>
                </c:pt>
                <c:pt idx="612">
                  <c:v>2010-05-14</c:v>
                </c:pt>
                <c:pt idx="613">
                  <c:v>2010-05-17</c:v>
                </c:pt>
                <c:pt idx="614">
                  <c:v>2010-05-18</c:v>
                </c:pt>
                <c:pt idx="615">
                  <c:v>2010-05-19</c:v>
                </c:pt>
                <c:pt idx="616">
                  <c:v>2010-05-20</c:v>
                </c:pt>
                <c:pt idx="617">
                  <c:v>2010-05-21</c:v>
                </c:pt>
                <c:pt idx="618">
                  <c:v>2010-05-24</c:v>
                </c:pt>
                <c:pt idx="619">
                  <c:v>2010-05-25</c:v>
                </c:pt>
                <c:pt idx="620">
                  <c:v>2010-05-26</c:v>
                </c:pt>
                <c:pt idx="621">
                  <c:v>2010-05-27</c:v>
                </c:pt>
                <c:pt idx="622">
                  <c:v>2010-05-28</c:v>
                </c:pt>
                <c:pt idx="623">
                  <c:v>2010-05-31</c:v>
                </c:pt>
                <c:pt idx="624">
                  <c:v>2010-06-01</c:v>
                </c:pt>
                <c:pt idx="625">
                  <c:v>2010-06-02</c:v>
                </c:pt>
                <c:pt idx="626">
                  <c:v>2010-06-03</c:v>
                </c:pt>
                <c:pt idx="627">
                  <c:v>2010-06-04</c:v>
                </c:pt>
                <c:pt idx="628">
                  <c:v>2010-06-07</c:v>
                </c:pt>
                <c:pt idx="629">
                  <c:v>2010-06-08</c:v>
                </c:pt>
                <c:pt idx="630">
                  <c:v>2010-06-09</c:v>
                </c:pt>
                <c:pt idx="631">
                  <c:v>2010-06-10</c:v>
                </c:pt>
                <c:pt idx="632">
                  <c:v>2010-06-11</c:v>
                </c:pt>
                <c:pt idx="633">
                  <c:v>2010-06-14</c:v>
                </c:pt>
                <c:pt idx="634">
                  <c:v>2010-06-15</c:v>
                </c:pt>
                <c:pt idx="635">
                  <c:v>2010-06-16</c:v>
                </c:pt>
                <c:pt idx="636">
                  <c:v>2010-06-17</c:v>
                </c:pt>
                <c:pt idx="637">
                  <c:v>2010-06-18</c:v>
                </c:pt>
                <c:pt idx="638">
                  <c:v>2010-06-21</c:v>
                </c:pt>
                <c:pt idx="639">
                  <c:v>2010-06-22</c:v>
                </c:pt>
                <c:pt idx="640">
                  <c:v>2010-06-23</c:v>
                </c:pt>
                <c:pt idx="641">
                  <c:v>2010-06-24</c:v>
                </c:pt>
                <c:pt idx="642">
                  <c:v>2010-06-25</c:v>
                </c:pt>
                <c:pt idx="643">
                  <c:v>2010-06-28</c:v>
                </c:pt>
                <c:pt idx="644">
                  <c:v>2010-06-29</c:v>
                </c:pt>
                <c:pt idx="645">
                  <c:v>2010-06-30</c:v>
                </c:pt>
                <c:pt idx="646">
                  <c:v>2010-07-01</c:v>
                </c:pt>
                <c:pt idx="647">
                  <c:v>2010-07-02</c:v>
                </c:pt>
                <c:pt idx="648">
                  <c:v>2010-07-05</c:v>
                </c:pt>
                <c:pt idx="649">
                  <c:v>2010-07-06</c:v>
                </c:pt>
                <c:pt idx="650">
                  <c:v>2010-07-07</c:v>
                </c:pt>
                <c:pt idx="651">
                  <c:v>2010-07-08</c:v>
                </c:pt>
                <c:pt idx="652">
                  <c:v>2010-07-09</c:v>
                </c:pt>
                <c:pt idx="653">
                  <c:v>2010-07-12</c:v>
                </c:pt>
                <c:pt idx="654">
                  <c:v>2010-07-13</c:v>
                </c:pt>
                <c:pt idx="655">
                  <c:v>2010-07-14</c:v>
                </c:pt>
                <c:pt idx="656">
                  <c:v>2010-07-15</c:v>
                </c:pt>
                <c:pt idx="657">
                  <c:v>2010-07-16</c:v>
                </c:pt>
                <c:pt idx="658">
                  <c:v>2010-07-19</c:v>
                </c:pt>
                <c:pt idx="659">
                  <c:v>2010-07-20</c:v>
                </c:pt>
                <c:pt idx="660">
                  <c:v>2010-07-21</c:v>
                </c:pt>
                <c:pt idx="661">
                  <c:v>2010-07-22</c:v>
                </c:pt>
                <c:pt idx="662">
                  <c:v>2010-07-23</c:v>
                </c:pt>
                <c:pt idx="663">
                  <c:v>2010-07-26</c:v>
                </c:pt>
                <c:pt idx="664">
                  <c:v>2010-07-27</c:v>
                </c:pt>
                <c:pt idx="665">
                  <c:v>2010-07-28</c:v>
                </c:pt>
                <c:pt idx="666">
                  <c:v>2010-07-29</c:v>
                </c:pt>
                <c:pt idx="667">
                  <c:v>2010-07-30</c:v>
                </c:pt>
                <c:pt idx="668">
                  <c:v>2010-08-02</c:v>
                </c:pt>
                <c:pt idx="669">
                  <c:v>2010-08-03</c:v>
                </c:pt>
                <c:pt idx="670">
                  <c:v>2010-08-04</c:v>
                </c:pt>
                <c:pt idx="671">
                  <c:v>2010-08-05</c:v>
                </c:pt>
                <c:pt idx="672">
                  <c:v>2010-08-06</c:v>
                </c:pt>
                <c:pt idx="673">
                  <c:v>2010-08-09</c:v>
                </c:pt>
                <c:pt idx="674">
                  <c:v>2010-08-10</c:v>
                </c:pt>
                <c:pt idx="675">
                  <c:v>2010-08-11</c:v>
                </c:pt>
                <c:pt idx="676">
                  <c:v>2010-08-12</c:v>
                </c:pt>
                <c:pt idx="677">
                  <c:v>2010-08-13</c:v>
                </c:pt>
                <c:pt idx="678">
                  <c:v>2010-08-16</c:v>
                </c:pt>
                <c:pt idx="679">
                  <c:v>2010-08-17</c:v>
                </c:pt>
                <c:pt idx="680">
                  <c:v>2010-08-18</c:v>
                </c:pt>
                <c:pt idx="681">
                  <c:v>2010-08-19</c:v>
                </c:pt>
                <c:pt idx="682">
                  <c:v>2010-08-20</c:v>
                </c:pt>
                <c:pt idx="683">
                  <c:v>2010-08-23</c:v>
                </c:pt>
                <c:pt idx="684">
                  <c:v>2010-08-24</c:v>
                </c:pt>
                <c:pt idx="685">
                  <c:v>2010-08-25</c:v>
                </c:pt>
                <c:pt idx="686">
                  <c:v>2010-08-26</c:v>
                </c:pt>
                <c:pt idx="687">
                  <c:v>2010-08-27</c:v>
                </c:pt>
                <c:pt idx="688">
                  <c:v>2010-08-30</c:v>
                </c:pt>
                <c:pt idx="689">
                  <c:v>2010-08-31</c:v>
                </c:pt>
                <c:pt idx="690">
                  <c:v>2010-09-01</c:v>
                </c:pt>
                <c:pt idx="691">
                  <c:v>2010-09-02</c:v>
                </c:pt>
                <c:pt idx="692">
                  <c:v>2010-09-03</c:v>
                </c:pt>
                <c:pt idx="693">
                  <c:v>2010-09-06</c:v>
                </c:pt>
                <c:pt idx="694">
                  <c:v>2010-09-07</c:v>
                </c:pt>
                <c:pt idx="695">
                  <c:v>2010-09-08</c:v>
                </c:pt>
                <c:pt idx="696">
                  <c:v>2010-09-09</c:v>
                </c:pt>
                <c:pt idx="697">
                  <c:v>2010-09-10</c:v>
                </c:pt>
                <c:pt idx="698">
                  <c:v>2010-09-13</c:v>
                </c:pt>
                <c:pt idx="699">
                  <c:v>2010-09-14</c:v>
                </c:pt>
                <c:pt idx="700">
                  <c:v>2010-09-15</c:v>
                </c:pt>
                <c:pt idx="701">
                  <c:v>2010-09-16</c:v>
                </c:pt>
                <c:pt idx="702">
                  <c:v>2010-09-17</c:v>
                </c:pt>
                <c:pt idx="703">
                  <c:v>2010-09-20</c:v>
                </c:pt>
                <c:pt idx="704">
                  <c:v>2010-09-21</c:v>
                </c:pt>
                <c:pt idx="705">
                  <c:v>2010-09-22</c:v>
                </c:pt>
                <c:pt idx="706">
                  <c:v>2010-09-23</c:v>
                </c:pt>
                <c:pt idx="707">
                  <c:v>2010-09-24</c:v>
                </c:pt>
                <c:pt idx="708">
                  <c:v>2010-09-27</c:v>
                </c:pt>
                <c:pt idx="709">
                  <c:v>2010-09-28</c:v>
                </c:pt>
                <c:pt idx="710">
                  <c:v>2010-09-29</c:v>
                </c:pt>
                <c:pt idx="711">
                  <c:v>2010-09-30</c:v>
                </c:pt>
                <c:pt idx="712">
                  <c:v>2010-10-01</c:v>
                </c:pt>
                <c:pt idx="713">
                  <c:v>2010-10-04</c:v>
                </c:pt>
                <c:pt idx="714">
                  <c:v>2010-10-05</c:v>
                </c:pt>
                <c:pt idx="715">
                  <c:v>2010-10-06</c:v>
                </c:pt>
                <c:pt idx="716">
                  <c:v>2010-10-07</c:v>
                </c:pt>
                <c:pt idx="717">
                  <c:v>2010-10-08</c:v>
                </c:pt>
                <c:pt idx="718">
                  <c:v>2010-10-11</c:v>
                </c:pt>
                <c:pt idx="719">
                  <c:v>2010-10-12</c:v>
                </c:pt>
                <c:pt idx="720">
                  <c:v>2010-10-13</c:v>
                </c:pt>
                <c:pt idx="721">
                  <c:v>2010-10-14</c:v>
                </c:pt>
                <c:pt idx="722">
                  <c:v>2010-10-15</c:v>
                </c:pt>
                <c:pt idx="723">
                  <c:v>2010-10-18</c:v>
                </c:pt>
                <c:pt idx="724">
                  <c:v>2010-10-19</c:v>
                </c:pt>
                <c:pt idx="725">
                  <c:v>2010-10-20</c:v>
                </c:pt>
                <c:pt idx="726">
                  <c:v>2010-10-21</c:v>
                </c:pt>
                <c:pt idx="727">
                  <c:v>2010-10-22</c:v>
                </c:pt>
                <c:pt idx="728">
                  <c:v>2010-10-25</c:v>
                </c:pt>
                <c:pt idx="729">
                  <c:v>2010-10-26</c:v>
                </c:pt>
                <c:pt idx="730">
                  <c:v>2010-10-27</c:v>
                </c:pt>
                <c:pt idx="731">
                  <c:v>2010-10-28</c:v>
                </c:pt>
                <c:pt idx="732">
                  <c:v>2010-10-29</c:v>
                </c:pt>
                <c:pt idx="733">
                  <c:v>2010-11-01</c:v>
                </c:pt>
                <c:pt idx="734">
                  <c:v>2010-11-02</c:v>
                </c:pt>
                <c:pt idx="735">
                  <c:v>2010-11-03</c:v>
                </c:pt>
                <c:pt idx="736">
                  <c:v>2010-11-04</c:v>
                </c:pt>
                <c:pt idx="737">
                  <c:v>2010-11-05</c:v>
                </c:pt>
                <c:pt idx="738">
                  <c:v>2010-11-08</c:v>
                </c:pt>
                <c:pt idx="739">
                  <c:v>2010-11-09</c:v>
                </c:pt>
                <c:pt idx="740">
                  <c:v>2010-11-10</c:v>
                </c:pt>
                <c:pt idx="741">
                  <c:v>2010-11-11</c:v>
                </c:pt>
                <c:pt idx="742">
                  <c:v>2010-11-12</c:v>
                </c:pt>
                <c:pt idx="743">
                  <c:v>2010-11-15</c:v>
                </c:pt>
                <c:pt idx="744">
                  <c:v>2010-11-16</c:v>
                </c:pt>
                <c:pt idx="745">
                  <c:v>2010-11-17</c:v>
                </c:pt>
                <c:pt idx="746">
                  <c:v>2010-11-18</c:v>
                </c:pt>
                <c:pt idx="747">
                  <c:v>2010-11-19</c:v>
                </c:pt>
                <c:pt idx="748">
                  <c:v>2010-11-22</c:v>
                </c:pt>
                <c:pt idx="749">
                  <c:v>2010-11-23</c:v>
                </c:pt>
                <c:pt idx="750">
                  <c:v>2010-11-24</c:v>
                </c:pt>
                <c:pt idx="751">
                  <c:v>2010-11-25</c:v>
                </c:pt>
                <c:pt idx="752">
                  <c:v>2010-11-26</c:v>
                </c:pt>
                <c:pt idx="753">
                  <c:v>2010-11-29</c:v>
                </c:pt>
                <c:pt idx="754">
                  <c:v>2010-11-30</c:v>
                </c:pt>
                <c:pt idx="755">
                  <c:v>2010-12-01</c:v>
                </c:pt>
                <c:pt idx="756">
                  <c:v>2010-12-02</c:v>
                </c:pt>
                <c:pt idx="757">
                  <c:v>2010-12-03</c:v>
                </c:pt>
                <c:pt idx="758">
                  <c:v>2010-12-06</c:v>
                </c:pt>
                <c:pt idx="759">
                  <c:v>2010-12-07</c:v>
                </c:pt>
                <c:pt idx="760">
                  <c:v>2010-12-08</c:v>
                </c:pt>
                <c:pt idx="761">
                  <c:v>2010-12-09</c:v>
                </c:pt>
                <c:pt idx="762">
                  <c:v>2010-12-10</c:v>
                </c:pt>
                <c:pt idx="763">
                  <c:v>2010-12-13</c:v>
                </c:pt>
                <c:pt idx="764">
                  <c:v>2010-12-14</c:v>
                </c:pt>
                <c:pt idx="765">
                  <c:v>2010-12-15</c:v>
                </c:pt>
                <c:pt idx="766">
                  <c:v>2010-12-16</c:v>
                </c:pt>
                <c:pt idx="767">
                  <c:v>2010-12-17</c:v>
                </c:pt>
                <c:pt idx="768">
                  <c:v>2010-12-20</c:v>
                </c:pt>
                <c:pt idx="769">
                  <c:v>2010-12-21</c:v>
                </c:pt>
                <c:pt idx="770">
                  <c:v>2010-12-22</c:v>
                </c:pt>
                <c:pt idx="771">
                  <c:v>2010-12-23</c:v>
                </c:pt>
                <c:pt idx="772">
                  <c:v>2010-12-24</c:v>
                </c:pt>
                <c:pt idx="773">
                  <c:v>2010-12-27</c:v>
                </c:pt>
                <c:pt idx="774">
                  <c:v>2010-12-28</c:v>
                </c:pt>
                <c:pt idx="775">
                  <c:v>2010-12-29</c:v>
                </c:pt>
                <c:pt idx="776">
                  <c:v>2010-12-30</c:v>
                </c:pt>
                <c:pt idx="777">
                  <c:v>2010-12-31</c:v>
                </c:pt>
                <c:pt idx="778">
                  <c:v>2011-01-03</c:v>
                </c:pt>
                <c:pt idx="779">
                  <c:v>2011-01-04</c:v>
                </c:pt>
                <c:pt idx="780">
                  <c:v>2011-01-05</c:v>
                </c:pt>
                <c:pt idx="781">
                  <c:v>2011-01-06</c:v>
                </c:pt>
                <c:pt idx="782">
                  <c:v>2011-01-07</c:v>
                </c:pt>
                <c:pt idx="783">
                  <c:v>2011-01-10</c:v>
                </c:pt>
                <c:pt idx="784">
                  <c:v>2011-01-11</c:v>
                </c:pt>
                <c:pt idx="785">
                  <c:v>2011-01-12</c:v>
                </c:pt>
                <c:pt idx="786">
                  <c:v>2011-01-13</c:v>
                </c:pt>
                <c:pt idx="787">
                  <c:v>2011-01-14</c:v>
                </c:pt>
                <c:pt idx="788">
                  <c:v>2011-01-17</c:v>
                </c:pt>
                <c:pt idx="789">
                  <c:v>2011-01-18</c:v>
                </c:pt>
                <c:pt idx="790">
                  <c:v>2011-01-19</c:v>
                </c:pt>
                <c:pt idx="791">
                  <c:v>2011-01-20</c:v>
                </c:pt>
                <c:pt idx="792">
                  <c:v>2011-01-21</c:v>
                </c:pt>
                <c:pt idx="793">
                  <c:v>2011-01-24</c:v>
                </c:pt>
                <c:pt idx="794">
                  <c:v>2011-01-25</c:v>
                </c:pt>
                <c:pt idx="795">
                  <c:v>2011-01-26</c:v>
                </c:pt>
                <c:pt idx="796">
                  <c:v>2011-01-27</c:v>
                </c:pt>
                <c:pt idx="797">
                  <c:v>2011-01-28</c:v>
                </c:pt>
                <c:pt idx="798">
                  <c:v>2011-01-31</c:v>
                </c:pt>
                <c:pt idx="799">
                  <c:v>2011-02-01</c:v>
                </c:pt>
                <c:pt idx="800">
                  <c:v>2011-02-02</c:v>
                </c:pt>
                <c:pt idx="801">
                  <c:v>2011-02-03</c:v>
                </c:pt>
                <c:pt idx="802">
                  <c:v>2011-02-04</c:v>
                </c:pt>
                <c:pt idx="803">
                  <c:v>2011-02-07</c:v>
                </c:pt>
                <c:pt idx="804">
                  <c:v>2011-02-08</c:v>
                </c:pt>
                <c:pt idx="805">
                  <c:v>2011-02-09</c:v>
                </c:pt>
                <c:pt idx="806">
                  <c:v>2011-02-10</c:v>
                </c:pt>
                <c:pt idx="807">
                  <c:v>2011-02-11</c:v>
                </c:pt>
                <c:pt idx="808">
                  <c:v>2011-02-14</c:v>
                </c:pt>
                <c:pt idx="809">
                  <c:v>2011-02-15</c:v>
                </c:pt>
                <c:pt idx="810">
                  <c:v>2011-02-16</c:v>
                </c:pt>
                <c:pt idx="811">
                  <c:v>2011-02-17</c:v>
                </c:pt>
                <c:pt idx="812">
                  <c:v>2011-02-18</c:v>
                </c:pt>
                <c:pt idx="813">
                  <c:v>2011-02-21</c:v>
                </c:pt>
                <c:pt idx="814">
                  <c:v>2011-02-22</c:v>
                </c:pt>
                <c:pt idx="815">
                  <c:v>2011-02-23</c:v>
                </c:pt>
                <c:pt idx="816">
                  <c:v>2011-02-24</c:v>
                </c:pt>
                <c:pt idx="817">
                  <c:v>2011-02-25</c:v>
                </c:pt>
                <c:pt idx="818">
                  <c:v>2011-02-28</c:v>
                </c:pt>
                <c:pt idx="819">
                  <c:v>2011-03-01</c:v>
                </c:pt>
                <c:pt idx="820">
                  <c:v>2011-03-02</c:v>
                </c:pt>
                <c:pt idx="821">
                  <c:v>2011-03-03</c:v>
                </c:pt>
                <c:pt idx="822">
                  <c:v>2011-03-04</c:v>
                </c:pt>
                <c:pt idx="823">
                  <c:v>2011-03-07</c:v>
                </c:pt>
                <c:pt idx="824">
                  <c:v>2011-03-08</c:v>
                </c:pt>
                <c:pt idx="825">
                  <c:v>2011-03-09</c:v>
                </c:pt>
                <c:pt idx="826">
                  <c:v>2011-03-10</c:v>
                </c:pt>
                <c:pt idx="827">
                  <c:v>2011-03-11</c:v>
                </c:pt>
                <c:pt idx="828">
                  <c:v>2011-03-14</c:v>
                </c:pt>
                <c:pt idx="829">
                  <c:v>2011-03-15</c:v>
                </c:pt>
                <c:pt idx="830">
                  <c:v>2011-03-16</c:v>
                </c:pt>
                <c:pt idx="831">
                  <c:v>2011-03-17</c:v>
                </c:pt>
                <c:pt idx="832">
                  <c:v>2011-03-18</c:v>
                </c:pt>
                <c:pt idx="833">
                  <c:v>2011-03-21</c:v>
                </c:pt>
                <c:pt idx="834">
                  <c:v>2011-03-22</c:v>
                </c:pt>
                <c:pt idx="835">
                  <c:v>2011-03-23</c:v>
                </c:pt>
                <c:pt idx="836">
                  <c:v>2011-03-24</c:v>
                </c:pt>
                <c:pt idx="837">
                  <c:v>2011-03-25</c:v>
                </c:pt>
                <c:pt idx="838">
                  <c:v>2011-03-28</c:v>
                </c:pt>
                <c:pt idx="839">
                  <c:v>2011-03-29</c:v>
                </c:pt>
                <c:pt idx="840">
                  <c:v>2011-03-30</c:v>
                </c:pt>
                <c:pt idx="841">
                  <c:v>2011-03-31</c:v>
                </c:pt>
                <c:pt idx="842">
                  <c:v>2011-04-01</c:v>
                </c:pt>
                <c:pt idx="843">
                  <c:v>2011-04-04</c:v>
                </c:pt>
                <c:pt idx="844">
                  <c:v>2011-04-05</c:v>
                </c:pt>
                <c:pt idx="845">
                  <c:v>2011-04-06</c:v>
                </c:pt>
                <c:pt idx="846">
                  <c:v>2011-04-07</c:v>
                </c:pt>
                <c:pt idx="847">
                  <c:v>2011-04-08</c:v>
                </c:pt>
                <c:pt idx="848">
                  <c:v>2011-04-11</c:v>
                </c:pt>
                <c:pt idx="849">
                  <c:v>2011-04-12</c:v>
                </c:pt>
                <c:pt idx="850">
                  <c:v>2011-04-13</c:v>
                </c:pt>
                <c:pt idx="851">
                  <c:v>2011-04-14</c:v>
                </c:pt>
                <c:pt idx="852">
                  <c:v>2011-04-15</c:v>
                </c:pt>
                <c:pt idx="853">
                  <c:v>2011-04-18</c:v>
                </c:pt>
                <c:pt idx="854">
                  <c:v>2011-04-19</c:v>
                </c:pt>
                <c:pt idx="855">
                  <c:v>2011-04-20</c:v>
                </c:pt>
                <c:pt idx="856">
                  <c:v>2011-04-21</c:v>
                </c:pt>
                <c:pt idx="857">
                  <c:v>2011-04-22</c:v>
                </c:pt>
                <c:pt idx="858">
                  <c:v>2011-04-25</c:v>
                </c:pt>
                <c:pt idx="859">
                  <c:v>2011-04-26</c:v>
                </c:pt>
                <c:pt idx="860">
                  <c:v>2011-04-27</c:v>
                </c:pt>
                <c:pt idx="861">
                  <c:v>2011-04-28</c:v>
                </c:pt>
                <c:pt idx="862">
                  <c:v>2011-04-29</c:v>
                </c:pt>
                <c:pt idx="863">
                  <c:v>2011-05-02</c:v>
                </c:pt>
                <c:pt idx="864">
                  <c:v>2011-05-03</c:v>
                </c:pt>
                <c:pt idx="865">
                  <c:v>2011-05-04</c:v>
                </c:pt>
                <c:pt idx="866">
                  <c:v>2011-05-05</c:v>
                </c:pt>
                <c:pt idx="867">
                  <c:v>2011-05-06</c:v>
                </c:pt>
                <c:pt idx="868">
                  <c:v>2011-05-09</c:v>
                </c:pt>
                <c:pt idx="869">
                  <c:v>2011-05-10</c:v>
                </c:pt>
                <c:pt idx="870">
                  <c:v>2011-05-11</c:v>
                </c:pt>
                <c:pt idx="871">
                  <c:v>2011-05-12</c:v>
                </c:pt>
                <c:pt idx="872">
                  <c:v>2011-05-13</c:v>
                </c:pt>
                <c:pt idx="873">
                  <c:v>2011-05-16</c:v>
                </c:pt>
                <c:pt idx="874">
                  <c:v>2011-05-17</c:v>
                </c:pt>
                <c:pt idx="875">
                  <c:v>2011-05-18</c:v>
                </c:pt>
                <c:pt idx="876">
                  <c:v>2011-05-19</c:v>
                </c:pt>
                <c:pt idx="877">
                  <c:v>2011-05-20</c:v>
                </c:pt>
                <c:pt idx="878">
                  <c:v>2011-05-23</c:v>
                </c:pt>
                <c:pt idx="879">
                  <c:v>2011-05-24</c:v>
                </c:pt>
                <c:pt idx="880">
                  <c:v>2011-05-25</c:v>
                </c:pt>
                <c:pt idx="881">
                  <c:v>2011-05-26</c:v>
                </c:pt>
                <c:pt idx="882">
                  <c:v>2011-05-27</c:v>
                </c:pt>
                <c:pt idx="883">
                  <c:v>2011-05-30</c:v>
                </c:pt>
                <c:pt idx="884">
                  <c:v>2011-05-31</c:v>
                </c:pt>
                <c:pt idx="885">
                  <c:v>2011-06-01</c:v>
                </c:pt>
                <c:pt idx="886">
                  <c:v>2011-06-02</c:v>
                </c:pt>
                <c:pt idx="887">
                  <c:v>2011-06-03</c:v>
                </c:pt>
                <c:pt idx="888">
                  <c:v>2011-06-06</c:v>
                </c:pt>
                <c:pt idx="889">
                  <c:v>2011-06-07</c:v>
                </c:pt>
                <c:pt idx="890">
                  <c:v>2011-06-08</c:v>
                </c:pt>
                <c:pt idx="891">
                  <c:v>2011-06-09</c:v>
                </c:pt>
                <c:pt idx="892">
                  <c:v>2011-06-10</c:v>
                </c:pt>
                <c:pt idx="893">
                  <c:v>2011-06-13</c:v>
                </c:pt>
                <c:pt idx="894">
                  <c:v>2011-06-14</c:v>
                </c:pt>
                <c:pt idx="895">
                  <c:v>2011-06-15</c:v>
                </c:pt>
                <c:pt idx="896">
                  <c:v>2011-06-16</c:v>
                </c:pt>
                <c:pt idx="897">
                  <c:v>2011-06-17</c:v>
                </c:pt>
                <c:pt idx="898">
                  <c:v>2011-06-20</c:v>
                </c:pt>
                <c:pt idx="899">
                  <c:v>2011-06-21</c:v>
                </c:pt>
                <c:pt idx="900">
                  <c:v>2011-06-22</c:v>
                </c:pt>
                <c:pt idx="901">
                  <c:v>2011-06-23</c:v>
                </c:pt>
                <c:pt idx="902">
                  <c:v>2011-06-24</c:v>
                </c:pt>
                <c:pt idx="903">
                  <c:v>2011-06-27</c:v>
                </c:pt>
                <c:pt idx="904">
                  <c:v>2011-06-28</c:v>
                </c:pt>
                <c:pt idx="905">
                  <c:v>2011-06-29</c:v>
                </c:pt>
                <c:pt idx="906">
                  <c:v>2011-06-30</c:v>
                </c:pt>
                <c:pt idx="907">
                  <c:v>2011-07-01</c:v>
                </c:pt>
                <c:pt idx="908">
                  <c:v>2011-07-04</c:v>
                </c:pt>
                <c:pt idx="909">
                  <c:v>2011-07-05</c:v>
                </c:pt>
                <c:pt idx="910">
                  <c:v>2011-07-06</c:v>
                </c:pt>
                <c:pt idx="911">
                  <c:v>2011-07-07</c:v>
                </c:pt>
                <c:pt idx="912">
                  <c:v>2011-07-08</c:v>
                </c:pt>
                <c:pt idx="913">
                  <c:v>2011-07-11</c:v>
                </c:pt>
                <c:pt idx="914">
                  <c:v>2011-07-12</c:v>
                </c:pt>
                <c:pt idx="915">
                  <c:v>2011-07-13</c:v>
                </c:pt>
                <c:pt idx="916">
                  <c:v>2011-07-14</c:v>
                </c:pt>
                <c:pt idx="917">
                  <c:v>2011-07-15</c:v>
                </c:pt>
                <c:pt idx="918">
                  <c:v>2011-07-18</c:v>
                </c:pt>
                <c:pt idx="919">
                  <c:v>2011-07-19</c:v>
                </c:pt>
                <c:pt idx="920">
                  <c:v>2011-07-20</c:v>
                </c:pt>
                <c:pt idx="921">
                  <c:v>2011-07-21</c:v>
                </c:pt>
                <c:pt idx="922">
                  <c:v>2011-07-22</c:v>
                </c:pt>
                <c:pt idx="923">
                  <c:v>2011-07-25</c:v>
                </c:pt>
                <c:pt idx="924">
                  <c:v>2011-07-26</c:v>
                </c:pt>
                <c:pt idx="925">
                  <c:v>2011-07-27</c:v>
                </c:pt>
                <c:pt idx="926">
                  <c:v>2011-07-28</c:v>
                </c:pt>
                <c:pt idx="927">
                  <c:v>2011-07-29</c:v>
                </c:pt>
                <c:pt idx="928">
                  <c:v>2011-08-01</c:v>
                </c:pt>
                <c:pt idx="929">
                  <c:v>2011-08-02</c:v>
                </c:pt>
                <c:pt idx="930">
                  <c:v>2011-08-03</c:v>
                </c:pt>
                <c:pt idx="931">
                  <c:v>2011-08-04</c:v>
                </c:pt>
                <c:pt idx="932">
                  <c:v>2011-08-05</c:v>
                </c:pt>
                <c:pt idx="933">
                  <c:v>2011-08-08</c:v>
                </c:pt>
                <c:pt idx="934">
                  <c:v>2011-08-09</c:v>
                </c:pt>
                <c:pt idx="935">
                  <c:v>2011-08-10</c:v>
                </c:pt>
                <c:pt idx="936">
                  <c:v>2011-08-11</c:v>
                </c:pt>
                <c:pt idx="937">
                  <c:v>2011-08-12</c:v>
                </c:pt>
                <c:pt idx="938">
                  <c:v>2011-08-15</c:v>
                </c:pt>
                <c:pt idx="939">
                  <c:v>2011-08-16</c:v>
                </c:pt>
                <c:pt idx="940">
                  <c:v>2011-08-17</c:v>
                </c:pt>
                <c:pt idx="941">
                  <c:v>2011-08-18</c:v>
                </c:pt>
                <c:pt idx="942">
                  <c:v>2011-08-19</c:v>
                </c:pt>
                <c:pt idx="943">
                  <c:v>2011-08-22</c:v>
                </c:pt>
                <c:pt idx="944">
                  <c:v>2011-08-23</c:v>
                </c:pt>
                <c:pt idx="945">
                  <c:v>2011-08-24</c:v>
                </c:pt>
                <c:pt idx="946">
                  <c:v>2011-08-25</c:v>
                </c:pt>
                <c:pt idx="947">
                  <c:v>2011-08-26</c:v>
                </c:pt>
                <c:pt idx="948">
                  <c:v>2011-08-29</c:v>
                </c:pt>
                <c:pt idx="949">
                  <c:v>2011-08-30</c:v>
                </c:pt>
                <c:pt idx="950">
                  <c:v>2011-08-31</c:v>
                </c:pt>
                <c:pt idx="951">
                  <c:v>2011-09-01</c:v>
                </c:pt>
                <c:pt idx="952">
                  <c:v>2011-09-02</c:v>
                </c:pt>
                <c:pt idx="953">
                  <c:v>2011-09-05</c:v>
                </c:pt>
                <c:pt idx="954">
                  <c:v>2011-09-06</c:v>
                </c:pt>
                <c:pt idx="955">
                  <c:v>2011-09-07</c:v>
                </c:pt>
                <c:pt idx="956">
                  <c:v>2011-09-08</c:v>
                </c:pt>
                <c:pt idx="957">
                  <c:v>2011-09-09</c:v>
                </c:pt>
                <c:pt idx="958">
                  <c:v>2011-09-12</c:v>
                </c:pt>
                <c:pt idx="959">
                  <c:v>2011-09-13</c:v>
                </c:pt>
                <c:pt idx="960">
                  <c:v>2011-09-14</c:v>
                </c:pt>
                <c:pt idx="961">
                  <c:v>2011-09-15</c:v>
                </c:pt>
                <c:pt idx="962">
                  <c:v>2011-09-16</c:v>
                </c:pt>
                <c:pt idx="963">
                  <c:v>2011-09-19</c:v>
                </c:pt>
                <c:pt idx="964">
                  <c:v>2011-09-20</c:v>
                </c:pt>
                <c:pt idx="965">
                  <c:v>2011-09-21</c:v>
                </c:pt>
                <c:pt idx="966">
                  <c:v>2011-09-22</c:v>
                </c:pt>
                <c:pt idx="967">
                  <c:v>2011-09-23</c:v>
                </c:pt>
                <c:pt idx="968">
                  <c:v>2011-09-26</c:v>
                </c:pt>
                <c:pt idx="969">
                  <c:v>2011-09-27</c:v>
                </c:pt>
                <c:pt idx="970">
                  <c:v>2011-09-28</c:v>
                </c:pt>
                <c:pt idx="971">
                  <c:v>2011-09-29</c:v>
                </c:pt>
                <c:pt idx="972">
                  <c:v>2011-09-30</c:v>
                </c:pt>
                <c:pt idx="973">
                  <c:v>2011-10-03</c:v>
                </c:pt>
                <c:pt idx="974">
                  <c:v>2011-10-04</c:v>
                </c:pt>
                <c:pt idx="975">
                  <c:v>2011-10-05</c:v>
                </c:pt>
                <c:pt idx="976">
                  <c:v>2011-10-06</c:v>
                </c:pt>
                <c:pt idx="977">
                  <c:v>2011-10-07</c:v>
                </c:pt>
                <c:pt idx="978">
                  <c:v>2011-10-10</c:v>
                </c:pt>
                <c:pt idx="979">
                  <c:v>2011-10-11</c:v>
                </c:pt>
                <c:pt idx="980">
                  <c:v>2011-10-12</c:v>
                </c:pt>
                <c:pt idx="981">
                  <c:v>2011-10-13</c:v>
                </c:pt>
                <c:pt idx="982">
                  <c:v>2011-10-14</c:v>
                </c:pt>
                <c:pt idx="983">
                  <c:v>2011-10-17</c:v>
                </c:pt>
                <c:pt idx="984">
                  <c:v>2011-10-18</c:v>
                </c:pt>
                <c:pt idx="985">
                  <c:v>2011-10-19</c:v>
                </c:pt>
                <c:pt idx="986">
                  <c:v>2011-10-20</c:v>
                </c:pt>
                <c:pt idx="987">
                  <c:v>2011-10-21</c:v>
                </c:pt>
                <c:pt idx="988">
                  <c:v>2011-10-24</c:v>
                </c:pt>
                <c:pt idx="989">
                  <c:v>2011-10-25</c:v>
                </c:pt>
                <c:pt idx="990">
                  <c:v>2011-10-26</c:v>
                </c:pt>
                <c:pt idx="991">
                  <c:v>2011-10-27</c:v>
                </c:pt>
                <c:pt idx="992">
                  <c:v>2011-10-28</c:v>
                </c:pt>
                <c:pt idx="993">
                  <c:v>2011-10-31</c:v>
                </c:pt>
                <c:pt idx="994">
                  <c:v>2011-11-01</c:v>
                </c:pt>
                <c:pt idx="995">
                  <c:v>2011-11-02</c:v>
                </c:pt>
                <c:pt idx="996">
                  <c:v>2011-11-03</c:v>
                </c:pt>
                <c:pt idx="997">
                  <c:v>2011-11-04</c:v>
                </c:pt>
                <c:pt idx="998">
                  <c:v>2011-11-07</c:v>
                </c:pt>
                <c:pt idx="999">
                  <c:v>2011-11-08</c:v>
                </c:pt>
                <c:pt idx="1000">
                  <c:v>2011-11-09</c:v>
                </c:pt>
                <c:pt idx="1001">
                  <c:v>2011-11-10</c:v>
                </c:pt>
                <c:pt idx="1002">
                  <c:v>2011-11-11</c:v>
                </c:pt>
                <c:pt idx="1003">
                  <c:v>2011-11-14</c:v>
                </c:pt>
                <c:pt idx="1004">
                  <c:v>2011-11-15</c:v>
                </c:pt>
                <c:pt idx="1005">
                  <c:v>2011-11-16</c:v>
                </c:pt>
                <c:pt idx="1006">
                  <c:v>2011-11-17</c:v>
                </c:pt>
                <c:pt idx="1007">
                  <c:v>2011-11-18</c:v>
                </c:pt>
                <c:pt idx="1008">
                  <c:v>2011-11-21</c:v>
                </c:pt>
                <c:pt idx="1009">
                  <c:v>2011-11-22</c:v>
                </c:pt>
                <c:pt idx="1010">
                  <c:v>2011-11-23</c:v>
                </c:pt>
                <c:pt idx="1011">
                  <c:v>2011-11-24</c:v>
                </c:pt>
                <c:pt idx="1012">
                  <c:v>2011-11-25</c:v>
                </c:pt>
                <c:pt idx="1013">
                  <c:v>2011-11-28</c:v>
                </c:pt>
                <c:pt idx="1014">
                  <c:v>2011-11-29</c:v>
                </c:pt>
                <c:pt idx="1015">
                  <c:v>2011-11-30</c:v>
                </c:pt>
                <c:pt idx="1016">
                  <c:v>2011-12-01</c:v>
                </c:pt>
                <c:pt idx="1017">
                  <c:v>2011-12-02</c:v>
                </c:pt>
                <c:pt idx="1018">
                  <c:v>2011-12-05</c:v>
                </c:pt>
                <c:pt idx="1019">
                  <c:v>2011-12-06</c:v>
                </c:pt>
                <c:pt idx="1020">
                  <c:v>2011-12-07</c:v>
                </c:pt>
                <c:pt idx="1021">
                  <c:v>2011-12-08</c:v>
                </c:pt>
                <c:pt idx="1022">
                  <c:v>2011-12-09</c:v>
                </c:pt>
                <c:pt idx="1023">
                  <c:v>2011-12-12</c:v>
                </c:pt>
                <c:pt idx="1024">
                  <c:v>2011-12-13</c:v>
                </c:pt>
                <c:pt idx="1025">
                  <c:v>2011-12-14</c:v>
                </c:pt>
                <c:pt idx="1026">
                  <c:v>2011-12-15</c:v>
                </c:pt>
                <c:pt idx="1027">
                  <c:v>2011-12-16</c:v>
                </c:pt>
                <c:pt idx="1028">
                  <c:v>2011-12-19</c:v>
                </c:pt>
                <c:pt idx="1029">
                  <c:v>2011-12-20</c:v>
                </c:pt>
                <c:pt idx="1030">
                  <c:v>2011-12-21</c:v>
                </c:pt>
                <c:pt idx="1031">
                  <c:v>2011-12-22</c:v>
                </c:pt>
                <c:pt idx="1032">
                  <c:v>2011-12-23</c:v>
                </c:pt>
                <c:pt idx="1033">
                  <c:v>2011-12-26</c:v>
                </c:pt>
                <c:pt idx="1034">
                  <c:v>2011-12-27</c:v>
                </c:pt>
                <c:pt idx="1035">
                  <c:v>2011-12-28</c:v>
                </c:pt>
                <c:pt idx="1036">
                  <c:v>2011-12-29</c:v>
                </c:pt>
                <c:pt idx="1037">
                  <c:v>2011-12-30</c:v>
                </c:pt>
                <c:pt idx="1038">
                  <c:v>2012-01-02</c:v>
                </c:pt>
                <c:pt idx="1039">
                  <c:v>2012-01-03</c:v>
                </c:pt>
                <c:pt idx="1040">
                  <c:v>2012-01-04</c:v>
                </c:pt>
                <c:pt idx="1041">
                  <c:v>2012-01-05</c:v>
                </c:pt>
                <c:pt idx="1042">
                  <c:v>2012-01-06</c:v>
                </c:pt>
                <c:pt idx="1043">
                  <c:v>2012-01-09</c:v>
                </c:pt>
                <c:pt idx="1044">
                  <c:v>2012-01-10</c:v>
                </c:pt>
                <c:pt idx="1045">
                  <c:v>2012-01-11</c:v>
                </c:pt>
                <c:pt idx="1046">
                  <c:v>2012-01-12</c:v>
                </c:pt>
                <c:pt idx="1047">
                  <c:v>2012-01-13</c:v>
                </c:pt>
                <c:pt idx="1048">
                  <c:v>2012-01-16</c:v>
                </c:pt>
                <c:pt idx="1049">
                  <c:v>2012-01-17</c:v>
                </c:pt>
                <c:pt idx="1050">
                  <c:v>2012-01-18</c:v>
                </c:pt>
                <c:pt idx="1051">
                  <c:v>2012-01-19</c:v>
                </c:pt>
                <c:pt idx="1052">
                  <c:v>2012-01-20</c:v>
                </c:pt>
                <c:pt idx="1053">
                  <c:v>2012-01-23</c:v>
                </c:pt>
                <c:pt idx="1054">
                  <c:v>2012-01-24</c:v>
                </c:pt>
                <c:pt idx="1055">
                  <c:v>2012-01-25</c:v>
                </c:pt>
                <c:pt idx="1056">
                  <c:v>2012-01-26</c:v>
                </c:pt>
                <c:pt idx="1057">
                  <c:v>2012-01-27</c:v>
                </c:pt>
                <c:pt idx="1058">
                  <c:v>2012-01-30</c:v>
                </c:pt>
                <c:pt idx="1059">
                  <c:v>2012-01-31</c:v>
                </c:pt>
                <c:pt idx="1060">
                  <c:v>2012-02-01</c:v>
                </c:pt>
                <c:pt idx="1061">
                  <c:v>2012-02-02</c:v>
                </c:pt>
                <c:pt idx="1062">
                  <c:v>2012-02-03</c:v>
                </c:pt>
                <c:pt idx="1063">
                  <c:v>2012-02-06</c:v>
                </c:pt>
                <c:pt idx="1064">
                  <c:v>2012-02-07</c:v>
                </c:pt>
                <c:pt idx="1065">
                  <c:v>2012-02-08</c:v>
                </c:pt>
                <c:pt idx="1066">
                  <c:v>2012-02-09</c:v>
                </c:pt>
                <c:pt idx="1067">
                  <c:v>2012-02-10</c:v>
                </c:pt>
                <c:pt idx="1068">
                  <c:v>2012-02-13</c:v>
                </c:pt>
                <c:pt idx="1069">
                  <c:v>2012-02-14</c:v>
                </c:pt>
                <c:pt idx="1070">
                  <c:v>2012-02-15</c:v>
                </c:pt>
                <c:pt idx="1071">
                  <c:v>2012-02-16</c:v>
                </c:pt>
                <c:pt idx="1072">
                  <c:v>2012-02-17</c:v>
                </c:pt>
                <c:pt idx="1073">
                  <c:v>2012-02-20</c:v>
                </c:pt>
                <c:pt idx="1074">
                  <c:v>2012-02-21</c:v>
                </c:pt>
                <c:pt idx="1075">
                  <c:v>2012-02-22</c:v>
                </c:pt>
                <c:pt idx="1076">
                  <c:v>2012-02-23</c:v>
                </c:pt>
                <c:pt idx="1077">
                  <c:v>2012-02-24</c:v>
                </c:pt>
                <c:pt idx="1078">
                  <c:v>2012-02-27</c:v>
                </c:pt>
                <c:pt idx="1079">
                  <c:v>2012-02-28</c:v>
                </c:pt>
                <c:pt idx="1080">
                  <c:v>2012-02-29</c:v>
                </c:pt>
                <c:pt idx="1081">
                  <c:v>2012-03-01</c:v>
                </c:pt>
                <c:pt idx="1082">
                  <c:v>2012-03-02</c:v>
                </c:pt>
                <c:pt idx="1083">
                  <c:v>2012-03-05</c:v>
                </c:pt>
                <c:pt idx="1084">
                  <c:v>2012-03-06</c:v>
                </c:pt>
                <c:pt idx="1085">
                  <c:v>2012-03-07</c:v>
                </c:pt>
                <c:pt idx="1086">
                  <c:v>2012-03-08</c:v>
                </c:pt>
                <c:pt idx="1087">
                  <c:v>2012-03-09</c:v>
                </c:pt>
                <c:pt idx="1088">
                  <c:v>2012-03-12</c:v>
                </c:pt>
                <c:pt idx="1089">
                  <c:v>2012-03-13</c:v>
                </c:pt>
                <c:pt idx="1090">
                  <c:v>2012-03-14</c:v>
                </c:pt>
                <c:pt idx="1091">
                  <c:v>2012-03-15</c:v>
                </c:pt>
                <c:pt idx="1092">
                  <c:v>2012-03-16</c:v>
                </c:pt>
                <c:pt idx="1093">
                  <c:v>2012-03-19</c:v>
                </c:pt>
                <c:pt idx="1094">
                  <c:v>2012-03-20</c:v>
                </c:pt>
                <c:pt idx="1095">
                  <c:v>2012-03-21</c:v>
                </c:pt>
                <c:pt idx="1096">
                  <c:v>2012-03-22</c:v>
                </c:pt>
                <c:pt idx="1097">
                  <c:v>2012-03-23</c:v>
                </c:pt>
                <c:pt idx="1098">
                  <c:v>2012-03-26</c:v>
                </c:pt>
                <c:pt idx="1099">
                  <c:v>2012-03-27</c:v>
                </c:pt>
                <c:pt idx="1100">
                  <c:v>2012-03-28</c:v>
                </c:pt>
                <c:pt idx="1101">
                  <c:v>2012-03-29</c:v>
                </c:pt>
                <c:pt idx="1102">
                  <c:v>2012-03-30</c:v>
                </c:pt>
                <c:pt idx="1103">
                  <c:v>2012-04-02</c:v>
                </c:pt>
                <c:pt idx="1104">
                  <c:v>2012-04-03</c:v>
                </c:pt>
                <c:pt idx="1105">
                  <c:v>2012-04-04</c:v>
                </c:pt>
                <c:pt idx="1106">
                  <c:v>2012-04-05</c:v>
                </c:pt>
                <c:pt idx="1107">
                  <c:v>2012-04-06</c:v>
                </c:pt>
                <c:pt idx="1108">
                  <c:v>2012-04-09</c:v>
                </c:pt>
                <c:pt idx="1109">
                  <c:v>2012-04-10</c:v>
                </c:pt>
                <c:pt idx="1110">
                  <c:v>2012-04-11</c:v>
                </c:pt>
                <c:pt idx="1111">
                  <c:v>2012-04-12</c:v>
                </c:pt>
                <c:pt idx="1112">
                  <c:v>2012-04-13</c:v>
                </c:pt>
                <c:pt idx="1113">
                  <c:v>2012-04-16</c:v>
                </c:pt>
                <c:pt idx="1114">
                  <c:v>2012-04-17</c:v>
                </c:pt>
                <c:pt idx="1115">
                  <c:v>2012-04-18</c:v>
                </c:pt>
                <c:pt idx="1116">
                  <c:v>2012-04-19</c:v>
                </c:pt>
                <c:pt idx="1117">
                  <c:v>2012-04-20</c:v>
                </c:pt>
                <c:pt idx="1118">
                  <c:v>2012-04-23</c:v>
                </c:pt>
                <c:pt idx="1119">
                  <c:v>2012-04-24</c:v>
                </c:pt>
                <c:pt idx="1120">
                  <c:v>2012-04-25</c:v>
                </c:pt>
                <c:pt idx="1121">
                  <c:v>2012-04-26</c:v>
                </c:pt>
                <c:pt idx="1122">
                  <c:v>2012-04-27</c:v>
                </c:pt>
                <c:pt idx="1123">
                  <c:v>2012-04-30</c:v>
                </c:pt>
                <c:pt idx="1124">
                  <c:v>2012-05-01</c:v>
                </c:pt>
                <c:pt idx="1125">
                  <c:v>2012-05-02</c:v>
                </c:pt>
                <c:pt idx="1126">
                  <c:v>2012-05-03</c:v>
                </c:pt>
                <c:pt idx="1127">
                  <c:v>2012-05-04</c:v>
                </c:pt>
                <c:pt idx="1128">
                  <c:v>2012-05-07</c:v>
                </c:pt>
                <c:pt idx="1129">
                  <c:v>2012-05-08</c:v>
                </c:pt>
                <c:pt idx="1130">
                  <c:v>2012-05-09</c:v>
                </c:pt>
                <c:pt idx="1131">
                  <c:v>2012-05-10</c:v>
                </c:pt>
                <c:pt idx="1132">
                  <c:v>2012-05-11</c:v>
                </c:pt>
                <c:pt idx="1133">
                  <c:v>2012-05-14</c:v>
                </c:pt>
                <c:pt idx="1134">
                  <c:v>2012-05-15</c:v>
                </c:pt>
                <c:pt idx="1135">
                  <c:v>2012-05-16</c:v>
                </c:pt>
                <c:pt idx="1136">
                  <c:v>2012-05-17</c:v>
                </c:pt>
                <c:pt idx="1137">
                  <c:v>2012-05-18</c:v>
                </c:pt>
                <c:pt idx="1138">
                  <c:v>2012-05-21</c:v>
                </c:pt>
                <c:pt idx="1139">
                  <c:v>2012-05-22</c:v>
                </c:pt>
                <c:pt idx="1140">
                  <c:v>2012-05-23</c:v>
                </c:pt>
                <c:pt idx="1141">
                  <c:v>2012-05-24</c:v>
                </c:pt>
                <c:pt idx="1142">
                  <c:v>2012-05-25</c:v>
                </c:pt>
                <c:pt idx="1143">
                  <c:v>2012-05-29</c:v>
                </c:pt>
                <c:pt idx="1144">
                  <c:v>2012-05-30</c:v>
                </c:pt>
                <c:pt idx="1145">
                  <c:v>2012-05-31</c:v>
                </c:pt>
                <c:pt idx="1146">
                  <c:v>2012-06-01</c:v>
                </c:pt>
                <c:pt idx="1147">
                  <c:v>2012-06-04</c:v>
                </c:pt>
                <c:pt idx="1148">
                  <c:v>2012-06-05</c:v>
                </c:pt>
                <c:pt idx="1149">
                  <c:v>2012-06-06</c:v>
                </c:pt>
                <c:pt idx="1150">
                  <c:v>2012-06-07</c:v>
                </c:pt>
                <c:pt idx="1151">
                  <c:v>2012-06-08</c:v>
                </c:pt>
                <c:pt idx="1152">
                  <c:v>2012-06-11</c:v>
                </c:pt>
                <c:pt idx="1153">
                  <c:v>2012-06-12</c:v>
                </c:pt>
                <c:pt idx="1154">
                  <c:v>2012-06-13</c:v>
                </c:pt>
                <c:pt idx="1155">
                  <c:v>2012-06-14</c:v>
                </c:pt>
                <c:pt idx="1156">
                  <c:v>2012-06-15</c:v>
                </c:pt>
                <c:pt idx="1157">
                  <c:v>2012-06-18</c:v>
                </c:pt>
                <c:pt idx="1158">
                  <c:v>2012-06-19</c:v>
                </c:pt>
                <c:pt idx="1159">
                  <c:v>2012-06-20</c:v>
                </c:pt>
                <c:pt idx="1160">
                  <c:v>2012-06-21</c:v>
                </c:pt>
                <c:pt idx="1161">
                  <c:v>2012-06-22</c:v>
                </c:pt>
                <c:pt idx="1162">
                  <c:v>2012-06-25</c:v>
                </c:pt>
                <c:pt idx="1163">
                  <c:v>2012-06-26</c:v>
                </c:pt>
                <c:pt idx="1164">
                  <c:v>2012-06-27</c:v>
                </c:pt>
                <c:pt idx="1165">
                  <c:v>2012-06-28</c:v>
                </c:pt>
                <c:pt idx="1166">
                  <c:v>2012-06-29</c:v>
                </c:pt>
                <c:pt idx="1167">
                  <c:v>2012-07-02</c:v>
                </c:pt>
                <c:pt idx="1168">
                  <c:v>2012-07-03</c:v>
                </c:pt>
                <c:pt idx="1169">
                  <c:v>2012-07-04</c:v>
                </c:pt>
                <c:pt idx="1170">
                  <c:v>2012-07-05</c:v>
                </c:pt>
                <c:pt idx="1171">
                  <c:v>2012-07-06</c:v>
                </c:pt>
                <c:pt idx="1172">
                  <c:v>2012-07-09</c:v>
                </c:pt>
                <c:pt idx="1173">
                  <c:v>2012-07-10</c:v>
                </c:pt>
                <c:pt idx="1174">
                  <c:v>2012-07-11</c:v>
                </c:pt>
                <c:pt idx="1175">
                  <c:v>2012-07-12</c:v>
                </c:pt>
                <c:pt idx="1176">
                  <c:v>2012-07-13</c:v>
                </c:pt>
                <c:pt idx="1177">
                  <c:v>2012-07-16</c:v>
                </c:pt>
                <c:pt idx="1178">
                  <c:v>2012-07-17</c:v>
                </c:pt>
                <c:pt idx="1179">
                  <c:v>2012-07-18</c:v>
                </c:pt>
                <c:pt idx="1180">
                  <c:v>2012-07-19</c:v>
                </c:pt>
                <c:pt idx="1181">
                  <c:v>2012-07-20</c:v>
                </c:pt>
                <c:pt idx="1182">
                  <c:v>2012-07-23</c:v>
                </c:pt>
                <c:pt idx="1183">
                  <c:v>2012-07-24</c:v>
                </c:pt>
                <c:pt idx="1184">
                  <c:v>2012-07-25</c:v>
                </c:pt>
                <c:pt idx="1185">
                  <c:v>2012-07-26</c:v>
                </c:pt>
                <c:pt idx="1186">
                  <c:v>2012-07-27</c:v>
                </c:pt>
                <c:pt idx="1187">
                  <c:v>2012-07-30</c:v>
                </c:pt>
                <c:pt idx="1188">
                  <c:v>2012-07-31</c:v>
                </c:pt>
                <c:pt idx="1189">
                  <c:v>2012-08-01</c:v>
                </c:pt>
                <c:pt idx="1190">
                  <c:v>2012-08-02</c:v>
                </c:pt>
                <c:pt idx="1191">
                  <c:v>2012-08-03</c:v>
                </c:pt>
                <c:pt idx="1192">
                  <c:v>2012-08-06</c:v>
                </c:pt>
                <c:pt idx="1193">
                  <c:v>2012-08-07</c:v>
                </c:pt>
                <c:pt idx="1194">
                  <c:v>2012-08-08</c:v>
                </c:pt>
                <c:pt idx="1195">
                  <c:v>2012-08-09</c:v>
                </c:pt>
                <c:pt idx="1196">
                  <c:v>2012-08-10</c:v>
                </c:pt>
                <c:pt idx="1197">
                  <c:v>2012-08-13</c:v>
                </c:pt>
                <c:pt idx="1198">
                  <c:v>2012-08-14</c:v>
                </c:pt>
                <c:pt idx="1199">
                  <c:v>2012-08-15</c:v>
                </c:pt>
                <c:pt idx="1200">
                  <c:v>2012-08-16</c:v>
                </c:pt>
                <c:pt idx="1201">
                  <c:v>2012-08-17</c:v>
                </c:pt>
                <c:pt idx="1202">
                  <c:v>2012-08-20</c:v>
                </c:pt>
                <c:pt idx="1203">
                  <c:v>2012-08-21</c:v>
                </c:pt>
                <c:pt idx="1204">
                  <c:v>2012-08-22</c:v>
                </c:pt>
                <c:pt idx="1205">
                  <c:v>2012-08-23</c:v>
                </c:pt>
                <c:pt idx="1206">
                  <c:v>2012-08-24</c:v>
                </c:pt>
                <c:pt idx="1207">
                  <c:v>2012-08-27</c:v>
                </c:pt>
                <c:pt idx="1208">
                  <c:v>2012-08-28</c:v>
                </c:pt>
                <c:pt idx="1209">
                  <c:v>2012-08-29</c:v>
                </c:pt>
                <c:pt idx="1210">
                  <c:v>2012-08-30</c:v>
                </c:pt>
                <c:pt idx="1211">
                  <c:v>2012-08-31</c:v>
                </c:pt>
                <c:pt idx="1212">
                  <c:v>2012-09-03</c:v>
                </c:pt>
                <c:pt idx="1213">
                  <c:v>2012-09-04</c:v>
                </c:pt>
                <c:pt idx="1214">
                  <c:v>2012-09-05</c:v>
                </c:pt>
                <c:pt idx="1215">
                  <c:v>2012-09-06</c:v>
                </c:pt>
                <c:pt idx="1216">
                  <c:v>2012-09-07</c:v>
                </c:pt>
                <c:pt idx="1217">
                  <c:v>2012-09-10</c:v>
                </c:pt>
                <c:pt idx="1218">
                  <c:v>2012-09-11</c:v>
                </c:pt>
                <c:pt idx="1219">
                  <c:v>2012-09-12</c:v>
                </c:pt>
                <c:pt idx="1220">
                  <c:v>2012-09-13</c:v>
                </c:pt>
                <c:pt idx="1221">
                  <c:v>2012-09-14</c:v>
                </c:pt>
                <c:pt idx="1222">
                  <c:v>2012-09-17</c:v>
                </c:pt>
                <c:pt idx="1223">
                  <c:v>2012-09-18</c:v>
                </c:pt>
                <c:pt idx="1224">
                  <c:v>2012-09-19</c:v>
                </c:pt>
                <c:pt idx="1225">
                  <c:v>2012-09-20</c:v>
                </c:pt>
                <c:pt idx="1226">
                  <c:v>2012-09-21</c:v>
                </c:pt>
                <c:pt idx="1227">
                  <c:v>2012-09-24</c:v>
                </c:pt>
                <c:pt idx="1228">
                  <c:v>2012-09-25</c:v>
                </c:pt>
                <c:pt idx="1229">
                  <c:v>2012-09-26</c:v>
                </c:pt>
                <c:pt idx="1230">
                  <c:v>2012-09-27</c:v>
                </c:pt>
                <c:pt idx="1231">
                  <c:v>2012-09-28</c:v>
                </c:pt>
                <c:pt idx="1232">
                  <c:v>2012-10-01</c:v>
                </c:pt>
                <c:pt idx="1233">
                  <c:v>2012-10-02</c:v>
                </c:pt>
                <c:pt idx="1234">
                  <c:v>2012-10-03</c:v>
                </c:pt>
                <c:pt idx="1235">
                  <c:v>2012-10-04</c:v>
                </c:pt>
                <c:pt idx="1236">
                  <c:v>2012-10-05</c:v>
                </c:pt>
                <c:pt idx="1237">
                  <c:v>2012-10-08</c:v>
                </c:pt>
                <c:pt idx="1238">
                  <c:v>2012-10-09</c:v>
                </c:pt>
                <c:pt idx="1239">
                  <c:v>2012-10-10</c:v>
                </c:pt>
                <c:pt idx="1240">
                  <c:v>2012-10-11</c:v>
                </c:pt>
                <c:pt idx="1241">
                  <c:v>2012-10-12</c:v>
                </c:pt>
                <c:pt idx="1242">
                  <c:v>2012-10-15</c:v>
                </c:pt>
                <c:pt idx="1243">
                  <c:v>2012-10-16</c:v>
                </c:pt>
                <c:pt idx="1244">
                  <c:v>2012-10-17</c:v>
                </c:pt>
                <c:pt idx="1245">
                  <c:v>2012-10-18</c:v>
                </c:pt>
                <c:pt idx="1246">
                  <c:v>2012-10-19</c:v>
                </c:pt>
                <c:pt idx="1247">
                  <c:v>2012-10-22</c:v>
                </c:pt>
                <c:pt idx="1248">
                  <c:v>2012-10-23</c:v>
                </c:pt>
                <c:pt idx="1249">
                  <c:v>2012-10-24</c:v>
                </c:pt>
                <c:pt idx="1250">
                  <c:v>2012-10-25</c:v>
                </c:pt>
                <c:pt idx="1251">
                  <c:v>2012-10-26</c:v>
                </c:pt>
                <c:pt idx="1252">
                  <c:v>2012-10-29</c:v>
                </c:pt>
                <c:pt idx="1253">
                  <c:v>2012-10-30</c:v>
                </c:pt>
                <c:pt idx="1254">
                  <c:v>2012-10-31</c:v>
                </c:pt>
                <c:pt idx="1255">
                  <c:v>2012-11-01</c:v>
                </c:pt>
                <c:pt idx="1256">
                  <c:v>2012-11-02</c:v>
                </c:pt>
                <c:pt idx="1257">
                  <c:v>2012-11-05</c:v>
                </c:pt>
                <c:pt idx="1258">
                  <c:v>2012-11-06</c:v>
                </c:pt>
                <c:pt idx="1259">
                  <c:v>2012-11-07</c:v>
                </c:pt>
                <c:pt idx="1260">
                  <c:v>2012-11-08</c:v>
                </c:pt>
                <c:pt idx="1261">
                  <c:v>2012-11-09</c:v>
                </c:pt>
                <c:pt idx="1262">
                  <c:v>2012-11-12</c:v>
                </c:pt>
                <c:pt idx="1263">
                  <c:v>2012-11-13</c:v>
                </c:pt>
                <c:pt idx="1264">
                  <c:v>2012-11-14</c:v>
                </c:pt>
                <c:pt idx="1265">
                  <c:v>2012-11-15</c:v>
                </c:pt>
                <c:pt idx="1266">
                  <c:v>2012-11-16</c:v>
                </c:pt>
                <c:pt idx="1267">
                  <c:v>2012-11-19</c:v>
                </c:pt>
                <c:pt idx="1268">
                  <c:v>2012-11-20</c:v>
                </c:pt>
                <c:pt idx="1269">
                  <c:v>2012-11-21</c:v>
                </c:pt>
                <c:pt idx="1270">
                  <c:v>2012-11-22</c:v>
                </c:pt>
                <c:pt idx="1271">
                  <c:v>2012-11-23</c:v>
                </c:pt>
                <c:pt idx="1272">
                  <c:v>2012-11-26</c:v>
                </c:pt>
                <c:pt idx="1273">
                  <c:v>2012-11-27</c:v>
                </c:pt>
                <c:pt idx="1274">
                  <c:v>2012-11-28</c:v>
                </c:pt>
                <c:pt idx="1275">
                  <c:v>2012-11-29</c:v>
                </c:pt>
                <c:pt idx="1276">
                  <c:v>2012-11-30</c:v>
                </c:pt>
                <c:pt idx="1277">
                  <c:v>2012-12-03</c:v>
                </c:pt>
                <c:pt idx="1278">
                  <c:v>2012-12-04</c:v>
                </c:pt>
                <c:pt idx="1279">
                  <c:v>2012-12-05</c:v>
                </c:pt>
                <c:pt idx="1280">
                  <c:v>2012-12-06</c:v>
                </c:pt>
                <c:pt idx="1281">
                  <c:v>2012-12-07</c:v>
                </c:pt>
                <c:pt idx="1282">
                  <c:v>2012-12-10</c:v>
                </c:pt>
                <c:pt idx="1283">
                  <c:v>2012-12-11</c:v>
                </c:pt>
                <c:pt idx="1284">
                  <c:v>2012-12-12</c:v>
                </c:pt>
                <c:pt idx="1285">
                  <c:v>2012-12-13</c:v>
                </c:pt>
                <c:pt idx="1286">
                  <c:v>2012-12-14</c:v>
                </c:pt>
                <c:pt idx="1287">
                  <c:v>2012-12-17</c:v>
                </c:pt>
                <c:pt idx="1288">
                  <c:v>2012-12-18</c:v>
                </c:pt>
                <c:pt idx="1289">
                  <c:v>2012-12-19</c:v>
                </c:pt>
                <c:pt idx="1290">
                  <c:v>2012-12-20</c:v>
                </c:pt>
                <c:pt idx="1291">
                  <c:v>2012-12-21</c:v>
                </c:pt>
                <c:pt idx="1292">
                  <c:v>2012-12-24</c:v>
                </c:pt>
                <c:pt idx="1293">
                  <c:v>2012-12-26</c:v>
                </c:pt>
                <c:pt idx="1294">
                  <c:v>2012-12-27</c:v>
                </c:pt>
                <c:pt idx="1295">
                  <c:v>2012-12-28</c:v>
                </c:pt>
                <c:pt idx="1296">
                  <c:v>2012-12-31</c:v>
                </c:pt>
                <c:pt idx="1297">
                  <c:v>2013-01-02</c:v>
                </c:pt>
                <c:pt idx="1298">
                  <c:v>2013-01-03</c:v>
                </c:pt>
                <c:pt idx="1299">
                  <c:v>2013-01-04</c:v>
                </c:pt>
                <c:pt idx="1300">
                  <c:v>2013-01-07</c:v>
                </c:pt>
                <c:pt idx="1301">
                  <c:v>2013-01-08</c:v>
                </c:pt>
                <c:pt idx="1302">
                  <c:v>2013-01-09</c:v>
                </c:pt>
                <c:pt idx="1303">
                  <c:v>2013-01-10</c:v>
                </c:pt>
                <c:pt idx="1304">
                  <c:v>2013-01-11</c:v>
                </c:pt>
                <c:pt idx="1305">
                  <c:v>2013-01-14</c:v>
                </c:pt>
                <c:pt idx="1306">
                  <c:v>2013-01-15</c:v>
                </c:pt>
                <c:pt idx="1307">
                  <c:v>2013-01-16</c:v>
                </c:pt>
                <c:pt idx="1308">
                  <c:v>2013-01-17</c:v>
                </c:pt>
                <c:pt idx="1309">
                  <c:v>2013-01-18</c:v>
                </c:pt>
                <c:pt idx="1310">
                  <c:v>2013-01-21</c:v>
                </c:pt>
                <c:pt idx="1311">
                  <c:v>2013-01-22</c:v>
                </c:pt>
                <c:pt idx="1312">
                  <c:v>2013-01-23</c:v>
                </c:pt>
                <c:pt idx="1313">
                  <c:v>2013-01-24</c:v>
                </c:pt>
                <c:pt idx="1314">
                  <c:v>2013-01-25</c:v>
                </c:pt>
                <c:pt idx="1315">
                  <c:v>2013-01-28</c:v>
                </c:pt>
                <c:pt idx="1316">
                  <c:v>2013-01-29</c:v>
                </c:pt>
                <c:pt idx="1317">
                  <c:v>2013-01-30</c:v>
                </c:pt>
                <c:pt idx="1318">
                  <c:v>2013-01-31</c:v>
                </c:pt>
                <c:pt idx="1319">
                  <c:v>2013-02-01</c:v>
                </c:pt>
                <c:pt idx="1320">
                  <c:v>2013-02-04</c:v>
                </c:pt>
                <c:pt idx="1321">
                  <c:v>2013-02-05</c:v>
                </c:pt>
                <c:pt idx="1322">
                  <c:v>2013-02-06</c:v>
                </c:pt>
                <c:pt idx="1323">
                  <c:v>2013-02-07</c:v>
                </c:pt>
                <c:pt idx="1324">
                  <c:v>2013-02-08</c:v>
                </c:pt>
                <c:pt idx="1325">
                  <c:v>2013-02-11</c:v>
                </c:pt>
                <c:pt idx="1326">
                  <c:v>2013-02-12</c:v>
                </c:pt>
                <c:pt idx="1327">
                  <c:v>2013-02-13</c:v>
                </c:pt>
                <c:pt idx="1328">
                  <c:v>2013-02-14</c:v>
                </c:pt>
                <c:pt idx="1329">
                  <c:v>2013-02-15</c:v>
                </c:pt>
                <c:pt idx="1330">
                  <c:v>2013-02-18</c:v>
                </c:pt>
                <c:pt idx="1331">
                  <c:v>2013-02-19</c:v>
                </c:pt>
                <c:pt idx="1332">
                  <c:v>2013-02-20</c:v>
                </c:pt>
                <c:pt idx="1333">
                  <c:v>2013-02-21</c:v>
                </c:pt>
                <c:pt idx="1334">
                  <c:v>2013-02-22</c:v>
                </c:pt>
                <c:pt idx="1335">
                  <c:v>2013-02-25</c:v>
                </c:pt>
                <c:pt idx="1336">
                  <c:v>2013-02-26</c:v>
                </c:pt>
                <c:pt idx="1337">
                  <c:v>2013-02-27</c:v>
                </c:pt>
                <c:pt idx="1338">
                  <c:v>2013-02-28</c:v>
                </c:pt>
                <c:pt idx="1339">
                  <c:v>2013-03-01</c:v>
                </c:pt>
                <c:pt idx="1340">
                  <c:v>2013-03-04</c:v>
                </c:pt>
                <c:pt idx="1341">
                  <c:v>2013-03-05</c:v>
                </c:pt>
                <c:pt idx="1342">
                  <c:v>2013-03-06</c:v>
                </c:pt>
                <c:pt idx="1343">
                  <c:v>2013-03-07</c:v>
                </c:pt>
                <c:pt idx="1344">
                  <c:v>2013-03-08</c:v>
                </c:pt>
                <c:pt idx="1345">
                  <c:v>2013-03-11</c:v>
                </c:pt>
                <c:pt idx="1346">
                  <c:v>2013-03-12</c:v>
                </c:pt>
                <c:pt idx="1347">
                  <c:v>2013-03-13</c:v>
                </c:pt>
                <c:pt idx="1348">
                  <c:v>2013-03-14</c:v>
                </c:pt>
                <c:pt idx="1349">
                  <c:v>2013-03-15</c:v>
                </c:pt>
                <c:pt idx="1350">
                  <c:v>2013-03-18</c:v>
                </c:pt>
                <c:pt idx="1351">
                  <c:v>2013-03-19</c:v>
                </c:pt>
                <c:pt idx="1352">
                  <c:v>2013-03-20</c:v>
                </c:pt>
                <c:pt idx="1353">
                  <c:v>2013-03-21</c:v>
                </c:pt>
                <c:pt idx="1354">
                  <c:v>2013-03-22</c:v>
                </c:pt>
                <c:pt idx="1355">
                  <c:v>2013-03-25</c:v>
                </c:pt>
                <c:pt idx="1356">
                  <c:v>2013-03-26</c:v>
                </c:pt>
                <c:pt idx="1357">
                  <c:v>2013-03-27</c:v>
                </c:pt>
                <c:pt idx="1358">
                  <c:v>2013-03-28</c:v>
                </c:pt>
                <c:pt idx="1359">
                  <c:v>2013-03-29</c:v>
                </c:pt>
                <c:pt idx="1360">
                  <c:v>2013-04-01</c:v>
                </c:pt>
                <c:pt idx="1361">
                  <c:v>2013-04-02</c:v>
                </c:pt>
                <c:pt idx="1362">
                  <c:v>2013-04-03</c:v>
                </c:pt>
                <c:pt idx="1363">
                  <c:v>2013-04-04</c:v>
                </c:pt>
                <c:pt idx="1364">
                  <c:v>2013-04-05</c:v>
                </c:pt>
                <c:pt idx="1365">
                  <c:v>2013-04-08</c:v>
                </c:pt>
                <c:pt idx="1366">
                  <c:v>2013-04-09</c:v>
                </c:pt>
                <c:pt idx="1367">
                  <c:v>2013-04-10</c:v>
                </c:pt>
                <c:pt idx="1368">
                  <c:v>2013-04-11</c:v>
                </c:pt>
                <c:pt idx="1369">
                  <c:v>2013-04-12</c:v>
                </c:pt>
                <c:pt idx="1370">
                  <c:v>2013-04-15</c:v>
                </c:pt>
                <c:pt idx="1371">
                  <c:v>2013-04-16</c:v>
                </c:pt>
                <c:pt idx="1372">
                  <c:v>2013-04-17</c:v>
                </c:pt>
                <c:pt idx="1373">
                  <c:v>2013-04-18</c:v>
                </c:pt>
                <c:pt idx="1374">
                  <c:v>2013-04-19</c:v>
                </c:pt>
                <c:pt idx="1375">
                  <c:v>2013-04-22</c:v>
                </c:pt>
                <c:pt idx="1376">
                  <c:v>2013-04-23</c:v>
                </c:pt>
                <c:pt idx="1377">
                  <c:v>2013-04-24</c:v>
                </c:pt>
                <c:pt idx="1378">
                  <c:v>2013-04-25</c:v>
                </c:pt>
                <c:pt idx="1379">
                  <c:v>2013-04-26</c:v>
                </c:pt>
                <c:pt idx="1380">
                  <c:v>2013-04-29</c:v>
                </c:pt>
                <c:pt idx="1381">
                  <c:v>2013-04-30</c:v>
                </c:pt>
                <c:pt idx="1382">
                  <c:v>2013-05-01</c:v>
                </c:pt>
                <c:pt idx="1383">
                  <c:v>2013-05-02</c:v>
                </c:pt>
                <c:pt idx="1384">
                  <c:v>2013-05-03</c:v>
                </c:pt>
                <c:pt idx="1385">
                  <c:v>2013-05-06</c:v>
                </c:pt>
                <c:pt idx="1386">
                  <c:v>2013-05-07</c:v>
                </c:pt>
                <c:pt idx="1387">
                  <c:v>2013-05-08</c:v>
                </c:pt>
                <c:pt idx="1388">
                  <c:v>2013-05-09</c:v>
                </c:pt>
                <c:pt idx="1389">
                  <c:v>2013-05-10</c:v>
                </c:pt>
                <c:pt idx="1390">
                  <c:v>2013-05-13</c:v>
                </c:pt>
                <c:pt idx="1391">
                  <c:v>2013-05-14</c:v>
                </c:pt>
                <c:pt idx="1392">
                  <c:v>2013-05-15</c:v>
                </c:pt>
                <c:pt idx="1393">
                  <c:v>2013-05-16</c:v>
                </c:pt>
                <c:pt idx="1394">
                  <c:v>2013-05-17</c:v>
                </c:pt>
                <c:pt idx="1395">
                  <c:v>2013-05-20</c:v>
                </c:pt>
                <c:pt idx="1396">
                  <c:v>2013-05-21</c:v>
                </c:pt>
                <c:pt idx="1397">
                  <c:v>2013-05-22</c:v>
                </c:pt>
                <c:pt idx="1398">
                  <c:v>2013-05-23</c:v>
                </c:pt>
                <c:pt idx="1399">
                  <c:v>2013-05-24</c:v>
                </c:pt>
                <c:pt idx="1400">
                  <c:v>2013-05-27</c:v>
                </c:pt>
                <c:pt idx="1401">
                  <c:v>2013-05-28</c:v>
                </c:pt>
                <c:pt idx="1402">
                  <c:v>2013-05-29</c:v>
                </c:pt>
                <c:pt idx="1403">
                  <c:v>2013-05-30</c:v>
                </c:pt>
                <c:pt idx="1404">
                  <c:v>2013-05-31</c:v>
                </c:pt>
                <c:pt idx="1405">
                  <c:v>2013-06-03</c:v>
                </c:pt>
                <c:pt idx="1406">
                  <c:v>2013-06-04</c:v>
                </c:pt>
                <c:pt idx="1407">
                  <c:v>2013-06-05</c:v>
                </c:pt>
                <c:pt idx="1408">
                  <c:v>2013-06-06</c:v>
                </c:pt>
                <c:pt idx="1409">
                  <c:v>2013-06-07</c:v>
                </c:pt>
                <c:pt idx="1410">
                  <c:v>2013-06-10</c:v>
                </c:pt>
                <c:pt idx="1411">
                  <c:v>2013-06-11</c:v>
                </c:pt>
                <c:pt idx="1412">
                  <c:v>2013-06-12</c:v>
                </c:pt>
                <c:pt idx="1413">
                  <c:v>2013-06-13</c:v>
                </c:pt>
                <c:pt idx="1414">
                  <c:v>2013-06-14</c:v>
                </c:pt>
                <c:pt idx="1415">
                  <c:v>2013-06-17</c:v>
                </c:pt>
                <c:pt idx="1416">
                  <c:v>2013-06-18</c:v>
                </c:pt>
                <c:pt idx="1417">
                  <c:v>2013-06-19</c:v>
                </c:pt>
                <c:pt idx="1418">
                  <c:v>2013-06-20</c:v>
                </c:pt>
                <c:pt idx="1419">
                  <c:v>2013-06-21</c:v>
                </c:pt>
                <c:pt idx="1420">
                  <c:v>2013-06-24</c:v>
                </c:pt>
                <c:pt idx="1421">
                  <c:v>2013-06-25</c:v>
                </c:pt>
                <c:pt idx="1422">
                  <c:v>2013-06-26</c:v>
                </c:pt>
                <c:pt idx="1423">
                  <c:v>2013-06-27</c:v>
                </c:pt>
                <c:pt idx="1424">
                  <c:v>2013-06-28</c:v>
                </c:pt>
                <c:pt idx="1425">
                  <c:v>2013-07-01</c:v>
                </c:pt>
                <c:pt idx="1426">
                  <c:v>2013-07-02</c:v>
                </c:pt>
                <c:pt idx="1427">
                  <c:v>2013-07-03</c:v>
                </c:pt>
                <c:pt idx="1428">
                  <c:v>2013-07-04</c:v>
                </c:pt>
                <c:pt idx="1429">
                  <c:v>2013-07-05</c:v>
                </c:pt>
                <c:pt idx="1430">
                  <c:v>2013-07-08</c:v>
                </c:pt>
                <c:pt idx="1431">
                  <c:v>2013-07-09</c:v>
                </c:pt>
                <c:pt idx="1432">
                  <c:v>2013-07-10</c:v>
                </c:pt>
                <c:pt idx="1433">
                  <c:v>2013-07-11</c:v>
                </c:pt>
                <c:pt idx="1434">
                  <c:v>2013-07-12</c:v>
                </c:pt>
                <c:pt idx="1435">
                  <c:v>2013-07-15</c:v>
                </c:pt>
                <c:pt idx="1436">
                  <c:v>2013-07-16</c:v>
                </c:pt>
                <c:pt idx="1437">
                  <c:v>2013-07-17</c:v>
                </c:pt>
                <c:pt idx="1438">
                  <c:v>2013-07-18</c:v>
                </c:pt>
                <c:pt idx="1439">
                  <c:v>2013-07-19</c:v>
                </c:pt>
                <c:pt idx="1440">
                  <c:v>2013-07-22</c:v>
                </c:pt>
                <c:pt idx="1441">
                  <c:v>2013-07-23</c:v>
                </c:pt>
                <c:pt idx="1442">
                  <c:v>2013-07-24</c:v>
                </c:pt>
                <c:pt idx="1443">
                  <c:v>2013-07-25</c:v>
                </c:pt>
                <c:pt idx="1444">
                  <c:v>2013-07-26</c:v>
                </c:pt>
                <c:pt idx="1445">
                  <c:v>2013-07-29</c:v>
                </c:pt>
                <c:pt idx="1446">
                  <c:v>2013-07-30</c:v>
                </c:pt>
                <c:pt idx="1447">
                  <c:v>2013-07-31</c:v>
                </c:pt>
                <c:pt idx="1448">
                  <c:v>2013-08-01</c:v>
                </c:pt>
                <c:pt idx="1449">
                  <c:v>2013-08-02</c:v>
                </c:pt>
                <c:pt idx="1450">
                  <c:v>2013-08-05</c:v>
                </c:pt>
                <c:pt idx="1451">
                  <c:v>2013-08-06</c:v>
                </c:pt>
                <c:pt idx="1452">
                  <c:v>2013-08-07</c:v>
                </c:pt>
                <c:pt idx="1453">
                  <c:v>2013-08-08</c:v>
                </c:pt>
                <c:pt idx="1454">
                  <c:v>2013-08-09</c:v>
                </c:pt>
                <c:pt idx="1455">
                  <c:v>2013-08-12</c:v>
                </c:pt>
                <c:pt idx="1456">
                  <c:v>2013-08-13</c:v>
                </c:pt>
                <c:pt idx="1457">
                  <c:v>2013-08-14</c:v>
                </c:pt>
                <c:pt idx="1458">
                  <c:v>2013-08-15</c:v>
                </c:pt>
                <c:pt idx="1459">
                  <c:v>2013-08-16</c:v>
                </c:pt>
                <c:pt idx="1460">
                  <c:v>2013-08-19</c:v>
                </c:pt>
                <c:pt idx="1461">
                  <c:v>2013-08-20</c:v>
                </c:pt>
                <c:pt idx="1462">
                  <c:v>2013-08-21</c:v>
                </c:pt>
                <c:pt idx="1463">
                  <c:v>2013-08-22</c:v>
                </c:pt>
                <c:pt idx="1464">
                  <c:v>2013-08-23</c:v>
                </c:pt>
                <c:pt idx="1465">
                  <c:v>2013-08-26</c:v>
                </c:pt>
                <c:pt idx="1466">
                  <c:v>2013-08-27</c:v>
                </c:pt>
                <c:pt idx="1467">
                  <c:v>2013-08-28</c:v>
                </c:pt>
                <c:pt idx="1468">
                  <c:v>2013-08-29</c:v>
                </c:pt>
                <c:pt idx="1469">
                  <c:v>2013-08-30</c:v>
                </c:pt>
                <c:pt idx="1470">
                  <c:v>2013-09-02</c:v>
                </c:pt>
                <c:pt idx="1471">
                  <c:v>2013-09-03</c:v>
                </c:pt>
                <c:pt idx="1472">
                  <c:v>2013-09-04</c:v>
                </c:pt>
                <c:pt idx="1473">
                  <c:v>2013-09-05</c:v>
                </c:pt>
                <c:pt idx="1474">
                  <c:v>2013-09-06</c:v>
                </c:pt>
                <c:pt idx="1475">
                  <c:v>2013-09-09</c:v>
                </c:pt>
                <c:pt idx="1476">
                  <c:v>2013-09-10</c:v>
                </c:pt>
                <c:pt idx="1477">
                  <c:v>2013-09-11</c:v>
                </c:pt>
                <c:pt idx="1478">
                  <c:v>2013-09-12</c:v>
                </c:pt>
                <c:pt idx="1479">
                  <c:v>2013-09-13</c:v>
                </c:pt>
                <c:pt idx="1480">
                  <c:v>2013-09-16</c:v>
                </c:pt>
                <c:pt idx="1481">
                  <c:v>2013-09-17</c:v>
                </c:pt>
                <c:pt idx="1482">
                  <c:v>2013-09-18</c:v>
                </c:pt>
                <c:pt idx="1483">
                  <c:v>2013-09-19</c:v>
                </c:pt>
                <c:pt idx="1484">
                  <c:v>2013-09-20</c:v>
                </c:pt>
                <c:pt idx="1485">
                  <c:v>2013-09-23</c:v>
                </c:pt>
                <c:pt idx="1486">
                  <c:v>2013-09-24</c:v>
                </c:pt>
                <c:pt idx="1487">
                  <c:v>2013-09-25</c:v>
                </c:pt>
                <c:pt idx="1488">
                  <c:v>2013-09-26</c:v>
                </c:pt>
                <c:pt idx="1489">
                  <c:v>2013-09-27</c:v>
                </c:pt>
                <c:pt idx="1490">
                  <c:v>2013-09-30</c:v>
                </c:pt>
                <c:pt idx="1491">
                  <c:v>2013-10-01</c:v>
                </c:pt>
                <c:pt idx="1492">
                  <c:v>2013-10-02</c:v>
                </c:pt>
                <c:pt idx="1493">
                  <c:v>2013-10-03</c:v>
                </c:pt>
                <c:pt idx="1494">
                  <c:v>2013-10-04</c:v>
                </c:pt>
                <c:pt idx="1495">
                  <c:v>2013-10-07</c:v>
                </c:pt>
                <c:pt idx="1496">
                  <c:v>2013-10-08</c:v>
                </c:pt>
                <c:pt idx="1497">
                  <c:v>2013-10-09</c:v>
                </c:pt>
                <c:pt idx="1498">
                  <c:v>2013-10-10</c:v>
                </c:pt>
                <c:pt idx="1499">
                  <c:v>2013-10-11</c:v>
                </c:pt>
                <c:pt idx="1500">
                  <c:v>2013-10-14</c:v>
                </c:pt>
                <c:pt idx="1501">
                  <c:v>2013-10-15</c:v>
                </c:pt>
                <c:pt idx="1502">
                  <c:v>2013-10-16</c:v>
                </c:pt>
                <c:pt idx="1503">
                  <c:v>2013-10-17</c:v>
                </c:pt>
                <c:pt idx="1504">
                  <c:v>2013-10-18</c:v>
                </c:pt>
                <c:pt idx="1505">
                  <c:v>2013-10-21</c:v>
                </c:pt>
                <c:pt idx="1506">
                  <c:v>2013-10-22</c:v>
                </c:pt>
                <c:pt idx="1507">
                  <c:v>2013-10-23</c:v>
                </c:pt>
                <c:pt idx="1508">
                  <c:v>2013-10-24</c:v>
                </c:pt>
                <c:pt idx="1509">
                  <c:v>2013-10-25</c:v>
                </c:pt>
                <c:pt idx="1510">
                  <c:v>2013-10-28</c:v>
                </c:pt>
                <c:pt idx="1511">
                  <c:v>2013-10-29</c:v>
                </c:pt>
                <c:pt idx="1512">
                  <c:v>2013-10-30</c:v>
                </c:pt>
                <c:pt idx="1513">
                  <c:v>2013-10-31</c:v>
                </c:pt>
                <c:pt idx="1514">
                  <c:v>2013-11-01</c:v>
                </c:pt>
                <c:pt idx="1515">
                  <c:v>2013-11-04</c:v>
                </c:pt>
                <c:pt idx="1516">
                  <c:v>2013-11-05</c:v>
                </c:pt>
                <c:pt idx="1517">
                  <c:v>2013-11-06</c:v>
                </c:pt>
                <c:pt idx="1518">
                  <c:v>2013-11-07</c:v>
                </c:pt>
                <c:pt idx="1519">
                  <c:v>2013-11-08</c:v>
                </c:pt>
                <c:pt idx="1520">
                  <c:v>2013-11-11</c:v>
                </c:pt>
                <c:pt idx="1521">
                  <c:v>2013-11-12</c:v>
                </c:pt>
                <c:pt idx="1522">
                  <c:v>2013-11-13</c:v>
                </c:pt>
                <c:pt idx="1523">
                  <c:v>2013-11-14</c:v>
                </c:pt>
                <c:pt idx="1524">
                  <c:v>2013-11-15</c:v>
                </c:pt>
                <c:pt idx="1525">
                  <c:v>2013-11-18</c:v>
                </c:pt>
                <c:pt idx="1526">
                  <c:v>2013-11-19</c:v>
                </c:pt>
                <c:pt idx="1527">
                  <c:v>2013-11-20</c:v>
                </c:pt>
                <c:pt idx="1528">
                  <c:v>2013-11-21</c:v>
                </c:pt>
                <c:pt idx="1529">
                  <c:v>2013-11-22</c:v>
                </c:pt>
                <c:pt idx="1530">
                  <c:v>2013-11-25</c:v>
                </c:pt>
                <c:pt idx="1531">
                  <c:v>2013-11-26</c:v>
                </c:pt>
                <c:pt idx="1532">
                  <c:v>2013-11-27</c:v>
                </c:pt>
                <c:pt idx="1533">
                  <c:v>2013-11-28</c:v>
                </c:pt>
                <c:pt idx="1534">
                  <c:v>2013-11-29</c:v>
                </c:pt>
                <c:pt idx="1535">
                  <c:v>2013-12-02</c:v>
                </c:pt>
                <c:pt idx="1536">
                  <c:v>2013-12-03</c:v>
                </c:pt>
                <c:pt idx="1537">
                  <c:v>2013-12-04</c:v>
                </c:pt>
                <c:pt idx="1538">
                  <c:v>2013-12-05</c:v>
                </c:pt>
                <c:pt idx="1539">
                  <c:v>2013-12-06</c:v>
                </c:pt>
                <c:pt idx="1540">
                  <c:v>2013-12-09</c:v>
                </c:pt>
                <c:pt idx="1541">
                  <c:v>2013-12-10</c:v>
                </c:pt>
                <c:pt idx="1542">
                  <c:v>2013-12-11</c:v>
                </c:pt>
                <c:pt idx="1543">
                  <c:v>2013-12-12</c:v>
                </c:pt>
                <c:pt idx="1544">
                  <c:v>2013-12-13</c:v>
                </c:pt>
                <c:pt idx="1545">
                  <c:v>2013-12-16</c:v>
                </c:pt>
                <c:pt idx="1546">
                  <c:v>2013-12-17</c:v>
                </c:pt>
                <c:pt idx="1547">
                  <c:v>2013-12-18</c:v>
                </c:pt>
                <c:pt idx="1548">
                  <c:v>2013-12-19</c:v>
                </c:pt>
                <c:pt idx="1549">
                  <c:v>2013-12-20</c:v>
                </c:pt>
                <c:pt idx="1550">
                  <c:v>2013-12-23</c:v>
                </c:pt>
                <c:pt idx="1551">
                  <c:v>2013-12-24</c:v>
                </c:pt>
                <c:pt idx="1552">
                  <c:v>2013-12-26</c:v>
                </c:pt>
                <c:pt idx="1553">
                  <c:v>2013-12-27</c:v>
                </c:pt>
                <c:pt idx="1554">
                  <c:v>2013-12-30</c:v>
                </c:pt>
                <c:pt idx="1555">
                  <c:v>2013-12-31</c:v>
                </c:pt>
                <c:pt idx="1556">
                  <c:v>2014-01-02</c:v>
                </c:pt>
                <c:pt idx="1557">
                  <c:v>2014-01-03</c:v>
                </c:pt>
                <c:pt idx="1558">
                  <c:v>2014-01-06</c:v>
                </c:pt>
                <c:pt idx="1559">
                  <c:v>2014-01-07</c:v>
                </c:pt>
                <c:pt idx="1560">
                  <c:v>2014-01-08</c:v>
                </c:pt>
                <c:pt idx="1561">
                  <c:v>2014-01-09</c:v>
                </c:pt>
                <c:pt idx="1562">
                  <c:v>2014-01-10</c:v>
                </c:pt>
                <c:pt idx="1563">
                  <c:v>2014-01-13</c:v>
                </c:pt>
                <c:pt idx="1564">
                  <c:v>2014-01-14</c:v>
                </c:pt>
                <c:pt idx="1565">
                  <c:v>2014-01-15</c:v>
                </c:pt>
                <c:pt idx="1566">
                  <c:v>2014-01-16</c:v>
                </c:pt>
                <c:pt idx="1567">
                  <c:v>2014-01-17</c:v>
                </c:pt>
                <c:pt idx="1568">
                  <c:v>2014-01-20</c:v>
                </c:pt>
                <c:pt idx="1569">
                  <c:v>2014-01-21</c:v>
                </c:pt>
                <c:pt idx="1570">
                  <c:v>2014-01-22</c:v>
                </c:pt>
                <c:pt idx="1571">
                  <c:v>2014-01-23</c:v>
                </c:pt>
                <c:pt idx="1572">
                  <c:v>2014-01-24</c:v>
                </c:pt>
                <c:pt idx="1573">
                  <c:v>2014-01-27</c:v>
                </c:pt>
                <c:pt idx="1574">
                  <c:v>2014-01-28</c:v>
                </c:pt>
                <c:pt idx="1575">
                  <c:v>2014-01-29</c:v>
                </c:pt>
                <c:pt idx="1576">
                  <c:v>2014-01-30</c:v>
                </c:pt>
                <c:pt idx="1577">
                  <c:v>2014-01-31</c:v>
                </c:pt>
                <c:pt idx="1578">
                  <c:v>2014-02-03</c:v>
                </c:pt>
                <c:pt idx="1579">
                  <c:v>2014-02-04</c:v>
                </c:pt>
                <c:pt idx="1580">
                  <c:v>2014-02-05</c:v>
                </c:pt>
                <c:pt idx="1581">
                  <c:v>2014-02-06</c:v>
                </c:pt>
                <c:pt idx="1582">
                  <c:v>2014-02-07</c:v>
                </c:pt>
                <c:pt idx="1583">
                  <c:v>2014-02-10</c:v>
                </c:pt>
                <c:pt idx="1584">
                  <c:v>2014-02-11</c:v>
                </c:pt>
                <c:pt idx="1585">
                  <c:v>2014-02-12</c:v>
                </c:pt>
                <c:pt idx="1586">
                  <c:v>2014-02-13</c:v>
                </c:pt>
                <c:pt idx="1587">
                  <c:v>2014-02-14</c:v>
                </c:pt>
                <c:pt idx="1588">
                  <c:v>2014-02-17</c:v>
                </c:pt>
                <c:pt idx="1589">
                  <c:v>2014-02-18</c:v>
                </c:pt>
                <c:pt idx="1590">
                  <c:v>2014-02-19</c:v>
                </c:pt>
                <c:pt idx="1591">
                  <c:v>2014-02-20</c:v>
                </c:pt>
                <c:pt idx="1592">
                  <c:v>2014-02-21</c:v>
                </c:pt>
                <c:pt idx="1593">
                  <c:v>2014-02-24</c:v>
                </c:pt>
                <c:pt idx="1594">
                  <c:v>2014-02-25</c:v>
                </c:pt>
                <c:pt idx="1595">
                  <c:v>2014-02-26</c:v>
                </c:pt>
                <c:pt idx="1596">
                  <c:v>2014-02-27</c:v>
                </c:pt>
                <c:pt idx="1597">
                  <c:v>2014-02-28</c:v>
                </c:pt>
                <c:pt idx="1598">
                  <c:v>2014-03-03</c:v>
                </c:pt>
                <c:pt idx="1599">
                  <c:v>2014-03-04</c:v>
                </c:pt>
                <c:pt idx="1600">
                  <c:v>2014-03-05</c:v>
                </c:pt>
                <c:pt idx="1601">
                  <c:v>2014-03-06</c:v>
                </c:pt>
                <c:pt idx="1602">
                  <c:v>2014-03-07</c:v>
                </c:pt>
                <c:pt idx="1603">
                  <c:v>2014-03-10</c:v>
                </c:pt>
                <c:pt idx="1604">
                  <c:v>2014-03-11</c:v>
                </c:pt>
                <c:pt idx="1605">
                  <c:v>2014-03-12</c:v>
                </c:pt>
                <c:pt idx="1606">
                  <c:v>2014-03-13</c:v>
                </c:pt>
                <c:pt idx="1607">
                  <c:v>2014-03-14</c:v>
                </c:pt>
                <c:pt idx="1608">
                  <c:v>2014-03-17</c:v>
                </c:pt>
                <c:pt idx="1609">
                  <c:v>2014-03-18</c:v>
                </c:pt>
                <c:pt idx="1610">
                  <c:v>2014-03-19</c:v>
                </c:pt>
                <c:pt idx="1611">
                  <c:v>2014-03-20</c:v>
                </c:pt>
                <c:pt idx="1612">
                  <c:v>2014-03-21</c:v>
                </c:pt>
                <c:pt idx="1613">
                  <c:v>2014-03-24</c:v>
                </c:pt>
                <c:pt idx="1614">
                  <c:v>2014-03-25</c:v>
                </c:pt>
                <c:pt idx="1615">
                  <c:v>2014-03-26</c:v>
                </c:pt>
                <c:pt idx="1616">
                  <c:v>2014-03-27</c:v>
                </c:pt>
                <c:pt idx="1617">
                  <c:v>2014-03-28</c:v>
                </c:pt>
                <c:pt idx="1618">
                  <c:v>2014-03-31</c:v>
                </c:pt>
                <c:pt idx="1619">
                  <c:v>2014-04-01</c:v>
                </c:pt>
                <c:pt idx="1620">
                  <c:v>2014-04-02</c:v>
                </c:pt>
                <c:pt idx="1621">
                  <c:v>2014-04-03</c:v>
                </c:pt>
                <c:pt idx="1622">
                  <c:v>2014-04-04</c:v>
                </c:pt>
                <c:pt idx="1623">
                  <c:v>2014-04-07</c:v>
                </c:pt>
                <c:pt idx="1624">
                  <c:v>2014-04-08</c:v>
                </c:pt>
                <c:pt idx="1625">
                  <c:v>2014-04-09</c:v>
                </c:pt>
                <c:pt idx="1626">
                  <c:v>2014-04-10</c:v>
                </c:pt>
                <c:pt idx="1627">
                  <c:v>2014-04-11</c:v>
                </c:pt>
                <c:pt idx="1628">
                  <c:v>2014-04-14</c:v>
                </c:pt>
                <c:pt idx="1629">
                  <c:v>2014-04-15</c:v>
                </c:pt>
                <c:pt idx="1630">
                  <c:v>2014-04-16</c:v>
                </c:pt>
                <c:pt idx="1631">
                  <c:v>2014-04-17</c:v>
                </c:pt>
                <c:pt idx="1632">
                  <c:v>2014-04-18</c:v>
                </c:pt>
                <c:pt idx="1633">
                  <c:v>2014-04-21</c:v>
                </c:pt>
                <c:pt idx="1634">
                  <c:v>2014-04-22</c:v>
                </c:pt>
                <c:pt idx="1635">
                  <c:v>2014-04-23</c:v>
                </c:pt>
                <c:pt idx="1636">
                  <c:v>2014-04-24</c:v>
                </c:pt>
                <c:pt idx="1637">
                  <c:v>2014-04-25</c:v>
                </c:pt>
                <c:pt idx="1638">
                  <c:v>2014-04-28</c:v>
                </c:pt>
                <c:pt idx="1639">
                  <c:v>2014-04-29</c:v>
                </c:pt>
                <c:pt idx="1640">
                  <c:v>2014-04-30</c:v>
                </c:pt>
                <c:pt idx="1641">
                  <c:v>2014-05-01</c:v>
                </c:pt>
                <c:pt idx="1642">
                  <c:v>2014-05-02</c:v>
                </c:pt>
                <c:pt idx="1643">
                  <c:v>2014-05-05</c:v>
                </c:pt>
                <c:pt idx="1644">
                  <c:v>2014-05-06</c:v>
                </c:pt>
                <c:pt idx="1645">
                  <c:v>2014-05-07</c:v>
                </c:pt>
                <c:pt idx="1646">
                  <c:v>2014-05-08</c:v>
                </c:pt>
                <c:pt idx="1647">
                  <c:v>2014-05-09</c:v>
                </c:pt>
                <c:pt idx="1648">
                  <c:v>2014-05-12</c:v>
                </c:pt>
                <c:pt idx="1649">
                  <c:v>2014-05-13</c:v>
                </c:pt>
                <c:pt idx="1650">
                  <c:v>2014-05-14</c:v>
                </c:pt>
                <c:pt idx="1651">
                  <c:v>2014-05-15</c:v>
                </c:pt>
                <c:pt idx="1652">
                  <c:v>2014-05-16</c:v>
                </c:pt>
                <c:pt idx="1653">
                  <c:v>2014-05-19</c:v>
                </c:pt>
                <c:pt idx="1654">
                  <c:v>2014-05-20</c:v>
                </c:pt>
                <c:pt idx="1655">
                  <c:v>2014-05-21</c:v>
                </c:pt>
                <c:pt idx="1656">
                  <c:v>2014-05-22</c:v>
                </c:pt>
                <c:pt idx="1657">
                  <c:v>2014-05-23</c:v>
                </c:pt>
                <c:pt idx="1658">
                  <c:v>2014-05-26</c:v>
                </c:pt>
                <c:pt idx="1659">
                  <c:v>2014-05-27</c:v>
                </c:pt>
                <c:pt idx="1660">
                  <c:v>2014-05-28</c:v>
                </c:pt>
                <c:pt idx="1661">
                  <c:v>2014-05-29</c:v>
                </c:pt>
                <c:pt idx="1662">
                  <c:v>2014-05-30</c:v>
                </c:pt>
                <c:pt idx="1663">
                  <c:v>2014-06-02</c:v>
                </c:pt>
                <c:pt idx="1664">
                  <c:v>2014-06-03</c:v>
                </c:pt>
                <c:pt idx="1665">
                  <c:v>2014-06-04</c:v>
                </c:pt>
                <c:pt idx="1666">
                  <c:v>2014-06-05</c:v>
                </c:pt>
                <c:pt idx="1667">
                  <c:v>2014-06-06</c:v>
                </c:pt>
                <c:pt idx="1668">
                  <c:v>2014-06-09</c:v>
                </c:pt>
                <c:pt idx="1669">
                  <c:v>2014-06-10</c:v>
                </c:pt>
                <c:pt idx="1670">
                  <c:v>2014-06-11</c:v>
                </c:pt>
                <c:pt idx="1671">
                  <c:v>2014-06-12</c:v>
                </c:pt>
                <c:pt idx="1672">
                  <c:v>2014-06-13</c:v>
                </c:pt>
                <c:pt idx="1673">
                  <c:v>2014-06-16</c:v>
                </c:pt>
                <c:pt idx="1674">
                  <c:v>2014-06-17</c:v>
                </c:pt>
                <c:pt idx="1675">
                  <c:v>2014-06-18</c:v>
                </c:pt>
                <c:pt idx="1676">
                  <c:v>2014-06-19</c:v>
                </c:pt>
                <c:pt idx="1677">
                  <c:v>2014-06-20</c:v>
                </c:pt>
                <c:pt idx="1678">
                  <c:v>2014-06-23</c:v>
                </c:pt>
                <c:pt idx="1679">
                  <c:v>2014-06-24</c:v>
                </c:pt>
                <c:pt idx="1680">
                  <c:v>2014-06-25</c:v>
                </c:pt>
                <c:pt idx="1681">
                  <c:v>2014-06-26</c:v>
                </c:pt>
                <c:pt idx="1682">
                  <c:v>2014-06-27</c:v>
                </c:pt>
                <c:pt idx="1683">
                  <c:v>2014-06-30</c:v>
                </c:pt>
                <c:pt idx="1684">
                  <c:v>2014-07-01</c:v>
                </c:pt>
                <c:pt idx="1685">
                  <c:v>2014-07-02</c:v>
                </c:pt>
                <c:pt idx="1686">
                  <c:v>2014-07-03</c:v>
                </c:pt>
                <c:pt idx="1687">
                  <c:v>2014-07-04</c:v>
                </c:pt>
                <c:pt idx="1688">
                  <c:v>2014-07-07</c:v>
                </c:pt>
                <c:pt idx="1689">
                  <c:v>2014-07-08</c:v>
                </c:pt>
                <c:pt idx="1690">
                  <c:v>2014-07-09</c:v>
                </c:pt>
                <c:pt idx="1691">
                  <c:v>2014-07-10</c:v>
                </c:pt>
                <c:pt idx="1692">
                  <c:v>2014-07-11</c:v>
                </c:pt>
                <c:pt idx="1693">
                  <c:v>2014-07-14</c:v>
                </c:pt>
                <c:pt idx="1694">
                  <c:v>2014-07-15</c:v>
                </c:pt>
                <c:pt idx="1695">
                  <c:v>2014-07-16</c:v>
                </c:pt>
                <c:pt idx="1696">
                  <c:v>2014-07-17</c:v>
                </c:pt>
                <c:pt idx="1697">
                  <c:v>2014-07-18</c:v>
                </c:pt>
                <c:pt idx="1698">
                  <c:v>2014-07-21</c:v>
                </c:pt>
                <c:pt idx="1699">
                  <c:v>2014-07-22</c:v>
                </c:pt>
                <c:pt idx="1700">
                  <c:v>2014-07-23</c:v>
                </c:pt>
                <c:pt idx="1701">
                  <c:v>2014-07-24</c:v>
                </c:pt>
                <c:pt idx="1702">
                  <c:v>2014-07-25</c:v>
                </c:pt>
                <c:pt idx="1703">
                  <c:v>2014-07-28</c:v>
                </c:pt>
                <c:pt idx="1704">
                  <c:v>2014-07-29</c:v>
                </c:pt>
                <c:pt idx="1705">
                  <c:v>2014-07-30</c:v>
                </c:pt>
                <c:pt idx="1706">
                  <c:v>2014-07-31</c:v>
                </c:pt>
                <c:pt idx="1707">
                  <c:v>2014-08-01</c:v>
                </c:pt>
                <c:pt idx="1708">
                  <c:v>2014-08-04</c:v>
                </c:pt>
                <c:pt idx="1709">
                  <c:v>2014-08-05</c:v>
                </c:pt>
                <c:pt idx="1710">
                  <c:v>2014-08-06</c:v>
                </c:pt>
                <c:pt idx="1711">
                  <c:v>2014-08-07</c:v>
                </c:pt>
                <c:pt idx="1712">
                  <c:v>2014-08-08</c:v>
                </c:pt>
                <c:pt idx="1713">
                  <c:v>2014-08-11</c:v>
                </c:pt>
                <c:pt idx="1714">
                  <c:v>2014-08-12</c:v>
                </c:pt>
                <c:pt idx="1715">
                  <c:v>2014-08-13</c:v>
                </c:pt>
                <c:pt idx="1716">
                  <c:v>2014-08-14</c:v>
                </c:pt>
                <c:pt idx="1717">
                  <c:v>2014-08-15</c:v>
                </c:pt>
                <c:pt idx="1718">
                  <c:v>2014-08-18</c:v>
                </c:pt>
                <c:pt idx="1719">
                  <c:v>2014-08-19</c:v>
                </c:pt>
                <c:pt idx="1720">
                  <c:v>2014-08-20</c:v>
                </c:pt>
                <c:pt idx="1721">
                  <c:v>2014-08-21</c:v>
                </c:pt>
                <c:pt idx="1722">
                  <c:v>2014-08-22</c:v>
                </c:pt>
                <c:pt idx="1723">
                  <c:v>2014-08-25</c:v>
                </c:pt>
                <c:pt idx="1724">
                  <c:v>2014-08-26</c:v>
                </c:pt>
                <c:pt idx="1725">
                  <c:v>2014-08-27</c:v>
                </c:pt>
                <c:pt idx="1726">
                  <c:v>2014-08-28</c:v>
                </c:pt>
                <c:pt idx="1727">
                  <c:v>2014-08-29</c:v>
                </c:pt>
                <c:pt idx="1728">
                  <c:v>2014-09-01</c:v>
                </c:pt>
                <c:pt idx="1729">
                  <c:v>2014-09-02</c:v>
                </c:pt>
                <c:pt idx="1730">
                  <c:v>2014-09-03</c:v>
                </c:pt>
                <c:pt idx="1731">
                  <c:v>2014-09-04</c:v>
                </c:pt>
                <c:pt idx="1732">
                  <c:v>2014-09-05</c:v>
                </c:pt>
                <c:pt idx="1733">
                  <c:v>2014-09-08</c:v>
                </c:pt>
                <c:pt idx="1734">
                  <c:v>2014-09-09</c:v>
                </c:pt>
                <c:pt idx="1735">
                  <c:v>2014-09-10</c:v>
                </c:pt>
                <c:pt idx="1736">
                  <c:v>2014-09-11</c:v>
                </c:pt>
                <c:pt idx="1737">
                  <c:v>2014-09-12</c:v>
                </c:pt>
                <c:pt idx="1738">
                  <c:v>2014-09-15</c:v>
                </c:pt>
                <c:pt idx="1739">
                  <c:v>2014-09-16</c:v>
                </c:pt>
                <c:pt idx="1740">
                  <c:v>2014-09-17</c:v>
                </c:pt>
                <c:pt idx="1741">
                  <c:v>2014-09-18</c:v>
                </c:pt>
                <c:pt idx="1742">
                  <c:v>2014-09-19</c:v>
                </c:pt>
                <c:pt idx="1743">
                  <c:v>2014-09-22</c:v>
                </c:pt>
                <c:pt idx="1744">
                  <c:v>2014-09-23</c:v>
                </c:pt>
                <c:pt idx="1745">
                  <c:v>2014-09-24</c:v>
                </c:pt>
                <c:pt idx="1746">
                  <c:v>2014-09-25</c:v>
                </c:pt>
                <c:pt idx="1747">
                  <c:v>2014-09-26</c:v>
                </c:pt>
                <c:pt idx="1748">
                  <c:v>2014-09-29</c:v>
                </c:pt>
                <c:pt idx="1749">
                  <c:v>2014-09-30</c:v>
                </c:pt>
                <c:pt idx="1750">
                  <c:v>2014-10-01</c:v>
                </c:pt>
                <c:pt idx="1751">
                  <c:v>2014-10-02</c:v>
                </c:pt>
                <c:pt idx="1752">
                  <c:v>2014-10-03</c:v>
                </c:pt>
                <c:pt idx="1753">
                  <c:v>2014-10-06</c:v>
                </c:pt>
                <c:pt idx="1754">
                  <c:v>2014-10-07</c:v>
                </c:pt>
                <c:pt idx="1755">
                  <c:v>2014-10-08</c:v>
                </c:pt>
                <c:pt idx="1756">
                  <c:v>2014-10-09</c:v>
                </c:pt>
                <c:pt idx="1757">
                  <c:v>2014-10-10</c:v>
                </c:pt>
                <c:pt idx="1758">
                  <c:v>2014-10-13</c:v>
                </c:pt>
                <c:pt idx="1759">
                  <c:v>2014-10-14</c:v>
                </c:pt>
                <c:pt idx="1760">
                  <c:v>2014-10-15</c:v>
                </c:pt>
                <c:pt idx="1761">
                  <c:v>2014-10-16</c:v>
                </c:pt>
                <c:pt idx="1762">
                  <c:v>2014-10-17</c:v>
                </c:pt>
                <c:pt idx="1763">
                  <c:v>2014-10-20</c:v>
                </c:pt>
                <c:pt idx="1764">
                  <c:v>2014-10-21</c:v>
                </c:pt>
                <c:pt idx="1765">
                  <c:v>2014-10-22</c:v>
                </c:pt>
                <c:pt idx="1766">
                  <c:v>2014-10-23</c:v>
                </c:pt>
                <c:pt idx="1767">
                  <c:v>2014-10-24</c:v>
                </c:pt>
                <c:pt idx="1768">
                  <c:v>2014-10-27</c:v>
                </c:pt>
                <c:pt idx="1769">
                  <c:v>2014-10-28</c:v>
                </c:pt>
                <c:pt idx="1770">
                  <c:v>2014-10-29</c:v>
                </c:pt>
                <c:pt idx="1771">
                  <c:v>2014-10-30</c:v>
                </c:pt>
                <c:pt idx="1772">
                  <c:v>2014-10-31</c:v>
                </c:pt>
                <c:pt idx="1773">
                  <c:v>2014-11-03</c:v>
                </c:pt>
                <c:pt idx="1774">
                  <c:v>2014-11-04</c:v>
                </c:pt>
                <c:pt idx="1775">
                  <c:v>2014-11-05</c:v>
                </c:pt>
                <c:pt idx="1776">
                  <c:v>2014-11-06</c:v>
                </c:pt>
                <c:pt idx="1777">
                  <c:v>2014-11-07</c:v>
                </c:pt>
                <c:pt idx="1778">
                  <c:v>2014-11-10</c:v>
                </c:pt>
                <c:pt idx="1779">
                  <c:v>2014-11-11</c:v>
                </c:pt>
                <c:pt idx="1780">
                  <c:v>2014-11-12</c:v>
                </c:pt>
                <c:pt idx="1781">
                  <c:v>2014-11-13</c:v>
                </c:pt>
                <c:pt idx="1782">
                  <c:v>2014-11-14</c:v>
                </c:pt>
                <c:pt idx="1783">
                  <c:v>2014-11-17</c:v>
                </c:pt>
                <c:pt idx="1784">
                  <c:v>2014-11-18</c:v>
                </c:pt>
                <c:pt idx="1785">
                  <c:v>2014-11-19</c:v>
                </c:pt>
                <c:pt idx="1786">
                  <c:v>2014-11-20</c:v>
                </c:pt>
                <c:pt idx="1787">
                  <c:v>2014-11-21</c:v>
                </c:pt>
                <c:pt idx="1788">
                  <c:v>2014-11-24</c:v>
                </c:pt>
                <c:pt idx="1789">
                  <c:v>2014-11-25</c:v>
                </c:pt>
                <c:pt idx="1790">
                  <c:v>2014-11-26</c:v>
                </c:pt>
                <c:pt idx="1791">
                  <c:v>2014-11-27</c:v>
                </c:pt>
                <c:pt idx="1792">
                  <c:v>2014-11-28</c:v>
                </c:pt>
                <c:pt idx="1793">
                  <c:v>2014-12-01</c:v>
                </c:pt>
                <c:pt idx="1794">
                  <c:v>2014-12-02</c:v>
                </c:pt>
                <c:pt idx="1795">
                  <c:v>2014-12-03</c:v>
                </c:pt>
                <c:pt idx="1796">
                  <c:v>2014-12-04</c:v>
                </c:pt>
                <c:pt idx="1797">
                  <c:v>2014-12-05</c:v>
                </c:pt>
                <c:pt idx="1798">
                  <c:v>2014-12-08</c:v>
                </c:pt>
                <c:pt idx="1799">
                  <c:v>2014-12-09</c:v>
                </c:pt>
                <c:pt idx="1800">
                  <c:v>2014-12-10</c:v>
                </c:pt>
                <c:pt idx="1801">
                  <c:v>2014-12-11</c:v>
                </c:pt>
                <c:pt idx="1802">
                  <c:v>2014-12-12</c:v>
                </c:pt>
                <c:pt idx="1803">
                  <c:v>2014-12-15</c:v>
                </c:pt>
                <c:pt idx="1804">
                  <c:v>2014-12-16</c:v>
                </c:pt>
                <c:pt idx="1805">
                  <c:v>2014-12-17</c:v>
                </c:pt>
                <c:pt idx="1806">
                  <c:v>2014-12-18</c:v>
                </c:pt>
                <c:pt idx="1807">
                  <c:v>2014-12-19</c:v>
                </c:pt>
                <c:pt idx="1808">
                  <c:v>2014-12-22</c:v>
                </c:pt>
                <c:pt idx="1809">
                  <c:v>2014-12-23</c:v>
                </c:pt>
                <c:pt idx="1810">
                  <c:v>2014-12-24</c:v>
                </c:pt>
                <c:pt idx="1811">
                  <c:v>2014-12-26</c:v>
                </c:pt>
                <c:pt idx="1812">
                  <c:v>2014-12-29</c:v>
                </c:pt>
                <c:pt idx="1813">
                  <c:v>2014-12-30</c:v>
                </c:pt>
                <c:pt idx="1814">
                  <c:v>2014-12-31</c:v>
                </c:pt>
                <c:pt idx="1815">
                  <c:v>2015-01-02</c:v>
                </c:pt>
                <c:pt idx="1816">
                  <c:v>2015-01-05</c:v>
                </c:pt>
                <c:pt idx="1817">
                  <c:v>2015-01-06</c:v>
                </c:pt>
                <c:pt idx="1818">
                  <c:v>2015-01-07</c:v>
                </c:pt>
                <c:pt idx="1819">
                  <c:v>2015-01-08</c:v>
                </c:pt>
                <c:pt idx="1820">
                  <c:v>2015-01-09</c:v>
                </c:pt>
                <c:pt idx="1821">
                  <c:v>2015-01-12</c:v>
                </c:pt>
                <c:pt idx="1822">
                  <c:v>2015-01-13</c:v>
                </c:pt>
                <c:pt idx="1823">
                  <c:v>2015-01-14</c:v>
                </c:pt>
                <c:pt idx="1824">
                  <c:v>2015-01-15</c:v>
                </c:pt>
                <c:pt idx="1825">
                  <c:v>2015-01-16</c:v>
                </c:pt>
                <c:pt idx="1826">
                  <c:v>2015-01-19</c:v>
                </c:pt>
                <c:pt idx="1827">
                  <c:v>2015-01-20</c:v>
                </c:pt>
                <c:pt idx="1828">
                  <c:v>2015-01-21</c:v>
                </c:pt>
                <c:pt idx="1829">
                  <c:v>2015-01-22</c:v>
                </c:pt>
                <c:pt idx="1830">
                  <c:v>2015-01-23</c:v>
                </c:pt>
                <c:pt idx="1831">
                  <c:v>2015-01-26</c:v>
                </c:pt>
                <c:pt idx="1832">
                  <c:v>2015-01-27</c:v>
                </c:pt>
                <c:pt idx="1833">
                  <c:v>2015-01-28</c:v>
                </c:pt>
                <c:pt idx="1834">
                  <c:v>2015-01-29</c:v>
                </c:pt>
                <c:pt idx="1835">
                  <c:v>2015-01-30</c:v>
                </c:pt>
                <c:pt idx="1836">
                  <c:v>2015-02-02</c:v>
                </c:pt>
                <c:pt idx="1837">
                  <c:v>2015-02-03</c:v>
                </c:pt>
                <c:pt idx="1838">
                  <c:v>2015-02-04</c:v>
                </c:pt>
                <c:pt idx="1839">
                  <c:v>2015-02-05</c:v>
                </c:pt>
                <c:pt idx="1840">
                  <c:v>2015-02-06</c:v>
                </c:pt>
                <c:pt idx="1841">
                  <c:v>2015-02-09</c:v>
                </c:pt>
                <c:pt idx="1842">
                  <c:v>2015-02-10</c:v>
                </c:pt>
                <c:pt idx="1843">
                  <c:v>2015-02-11</c:v>
                </c:pt>
                <c:pt idx="1844">
                  <c:v>2015-02-12</c:v>
                </c:pt>
                <c:pt idx="1845">
                  <c:v>2015-02-13</c:v>
                </c:pt>
                <c:pt idx="1846">
                  <c:v>2015-02-16</c:v>
                </c:pt>
                <c:pt idx="1847">
                  <c:v>2015-02-17</c:v>
                </c:pt>
                <c:pt idx="1848">
                  <c:v>2015-02-18</c:v>
                </c:pt>
                <c:pt idx="1849">
                  <c:v>2015-02-19</c:v>
                </c:pt>
                <c:pt idx="1850">
                  <c:v>2015-02-20</c:v>
                </c:pt>
                <c:pt idx="1851">
                  <c:v>2015-02-23</c:v>
                </c:pt>
                <c:pt idx="1852">
                  <c:v>2015-02-24</c:v>
                </c:pt>
                <c:pt idx="1853">
                  <c:v>2015-02-25</c:v>
                </c:pt>
                <c:pt idx="1854">
                  <c:v>2015-02-26</c:v>
                </c:pt>
                <c:pt idx="1855">
                  <c:v>2015-02-27</c:v>
                </c:pt>
                <c:pt idx="1856">
                  <c:v>2015-03-02</c:v>
                </c:pt>
                <c:pt idx="1857">
                  <c:v>2015-03-03</c:v>
                </c:pt>
                <c:pt idx="1858">
                  <c:v>2015-03-04</c:v>
                </c:pt>
                <c:pt idx="1859">
                  <c:v>2015-03-05</c:v>
                </c:pt>
                <c:pt idx="1860">
                  <c:v>2015-03-06</c:v>
                </c:pt>
                <c:pt idx="1861">
                  <c:v>2015-03-09</c:v>
                </c:pt>
                <c:pt idx="1862">
                  <c:v>2015-03-10</c:v>
                </c:pt>
                <c:pt idx="1863">
                  <c:v>2015-03-11</c:v>
                </c:pt>
                <c:pt idx="1864">
                  <c:v>2015-03-12</c:v>
                </c:pt>
                <c:pt idx="1865">
                  <c:v>2015-03-13</c:v>
                </c:pt>
                <c:pt idx="1866">
                  <c:v>2015-03-16</c:v>
                </c:pt>
                <c:pt idx="1867">
                  <c:v>2015-03-17</c:v>
                </c:pt>
                <c:pt idx="1868">
                  <c:v>2015-03-18</c:v>
                </c:pt>
                <c:pt idx="1869">
                  <c:v>2015-03-19</c:v>
                </c:pt>
                <c:pt idx="1870">
                  <c:v>2015-03-20</c:v>
                </c:pt>
                <c:pt idx="1871">
                  <c:v>2015-03-23</c:v>
                </c:pt>
                <c:pt idx="1872">
                  <c:v>2015-03-24</c:v>
                </c:pt>
                <c:pt idx="1873">
                  <c:v>2015-03-25</c:v>
                </c:pt>
                <c:pt idx="1874">
                  <c:v>2015-03-26</c:v>
                </c:pt>
                <c:pt idx="1875">
                  <c:v>2015-03-27</c:v>
                </c:pt>
                <c:pt idx="1876">
                  <c:v>2015-03-30</c:v>
                </c:pt>
                <c:pt idx="1877">
                  <c:v>2015-03-31</c:v>
                </c:pt>
                <c:pt idx="1878">
                  <c:v>2015-04-01</c:v>
                </c:pt>
                <c:pt idx="1879">
                  <c:v>2015-04-02</c:v>
                </c:pt>
                <c:pt idx="1880">
                  <c:v>2015-04-03</c:v>
                </c:pt>
                <c:pt idx="1881">
                  <c:v>2015-04-06</c:v>
                </c:pt>
                <c:pt idx="1882">
                  <c:v>2015-04-07</c:v>
                </c:pt>
                <c:pt idx="1883">
                  <c:v>2015-04-08</c:v>
                </c:pt>
                <c:pt idx="1884">
                  <c:v>2015-04-09</c:v>
                </c:pt>
                <c:pt idx="1885">
                  <c:v>2015-04-10</c:v>
                </c:pt>
                <c:pt idx="1886">
                  <c:v>2015-04-13</c:v>
                </c:pt>
                <c:pt idx="1887">
                  <c:v>2015-04-14</c:v>
                </c:pt>
                <c:pt idx="1888">
                  <c:v>2015-04-15</c:v>
                </c:pt>
                <c:pt idx="1889">
                  <c:v>2015-04-16</c:v>
                </c:pt>
                <c:pt idx="1890">
                  <c:v>2015-04-17</c:v>
                </c:pt>
                <c:pt idx="1891">
                  <c:v>2015-04-20</c:v>
                </c:pt>
                <c:pt idx="1892">
                  <c:v>2015-04-21</c:v>
                </c:pt>
                <c:pt idx="1893">
                  <c:v>2015-04-22</c:v>
                </c:pt>
                <c:pt idx="1894">
                  <c:v>2015-04-23</c:v>
                </c:pt>
                <c:pt idx="1895">
                  <c:v>2015-04-24</c:v>
                </c:pt>
                <c:pt idx="1896">
                  <c:v>2015-04-27</c:v>
                </c:pt>
                <c:pt idx="1897">
                  <c:v>2015-04-28</c:v>
                </c:pt>
                <c:pt idx="1898">
                  <c:v>2015-04-29</c:v>
                </c:pt>
                <c:pt idx="1899">
                  <c:v>2015-04-30</c:v>
                </c:pt>
                <c:pt idx="1900">
                  <c:v>2015-05-01</c:v>
                </c:pt>
                <c:pt idx="1901">
                  <c:v>2015-05-04</c:v>
                </c:pt>
                <c:pt idx="1902">
                  <c:v>2015-05-05</c:v>
                </c:pt>
                <c:pt idx="1903">
                  <c:v>2015-05-06</c:v>
                </c:pt>
                <c:pt idx="1904">
                  <c:v>2015-05-07</c:v>
                </c:pt>
                <c:pt idx="1905">
                  <c:v>2015-05-08</c:v>
                </c:pt>
                <c:pt idx="1906">
                  <c:v>2015-05-11</c:v>
                </c:pt>
                <c:pt idx="1907">
                  <c:v>2015-05-12</c:v>
                </c:pt>
                <c:pt idx="1908">
                  <c:v>2015-05-13</c:v>
                </c:pt>
                <c:pt idx="1909">
                  <c:v>2015-05-14</c:v>
                </c:pt>
                <c:pt idx="1910">
                  <c:v>2015-05-15</c:v>
                </c:pt>
                <c:pt idx="1911">
                  <c:v>2015-05-18</c:v>
                </c:pt>
                <c:pt idx="1912">
                  <c:v>2015-05-19</c:v>
                </c:pt>
                <c:pt idx="1913">
                  <c:v>2015-05-20</c:v>
                </c:pt>
                <c:pt idx="1914">
                  <c:v>2015-05-21</c:v>
                </c:pt>
                <c:pt idx="1915">
                  <c:v>2015-05-22</c:v>
                </c:pt>
                <c:pt idx="1916">
                  <c:v>2015-05-26</c:v>
                </c:pt>
                <c:pt idx="1917">
                  <c:v>2015-05-27</c:v>
                </c:pt>
                <c:pt idx="1918">
                  <c:v>2015-05-28</c:v>
                </c:pt>
                <c:pt idx="1919">
                  <c:v>2015-05-29</c:v>
                </c:pt>
                <c:pt idx="1920">
                  <c:v>2015-06-01</c:v>
                </c:pt>
                <c:pt idx="1921">
                  <c:v>2015-06-02</c:v>
                </c:pt>
                <c:pt idx="1922">
                  <c:v>2015-06-03</c:v>
                </c:pt>
                <c:pt idx="1923">
                  <c:v>2015-06-04</c:v>
                </c:pt>
                <c:pt idx="1924">
                  <c:v>2015-06-05</c:v>
                </c:pt>
                <c:pt idx="1925">
                  <c:v>2015-06-08</c:v>
                </c:pt>
                <c:pt idx="1926">
                  <c:v>2015-06-09</c:v>
                </c:pt>
                <c:pt idx="1927">
                  <c:v>2015-06-10</c:v>
                </c:pt>
                <c:pt idx="1928">
                  <c:v>2015-06-11</c:v>
                </c:pt>
                <c:pt idx="1929">
                  <c:v>2015-06-12</c:v>
                </c:pt>
                <c:pt idx="1930">
                  <c:v>2015-06-15</c:v>
                </c:pt>
                <c:pt idx="1931">
                  <c:v>2015-06-16</c:v>
                </c:pt>
                <c:pt idx="1932">
                  <c:v>2015-06-17</c:v>
                </c:pt>
                <c:pt idx="1933">
                  <c:v>2015-06-18</c:v>
                </c:pt>
                <c:pt idx="1934">
                  <c:v>2015-06-19</c:v>
                </c:pt>
                <c:pt idx="1935">
                  <c:v>2015-06-22</c:v>
                </c:pt>
                <c:pt idx="1936">
                  <c:v>2015-06-23</c:v>
                </c:pt>
                <c:pt idx="1937">
                  <c:v>2015-06-24</c:v>
                </c:pt>
                <c:pt idx="1938">
                  <c:v>2015-06-25</c:v>
                </c:pt>
                <c:pt idx="1939">
                  <c:v>2015-06-26</c:v>
                </c:pt>
                <c:pt idx="1940">
                  <c:v>2015-06-29</c:v>
                </c:pt>
                <c:pt idx="1941">
                  <c:v>2015-06-30</c:v>
                </c:pt>
                <c:pt idx="1942">
                  <c:v>2015-07-01</c:v>
                </c:pt>
                <c:pt idx="1943">
                  <c:v>2015-07-02</c:v>
                </c:pt>
                <c:pt idx="1944">
                  <c:v>2015-07-03</c:v>
                </c:pt>
                <c:pt idx="1945">
                  <c:v>2015-07-06</c:v>
                </c:pt>
                <c:pt idx="1946">
                  <c:v>2015-07-07</c:v>
                </c:pt>
                <c:pt idx="1947">
                  <c:v>2015-07-08</c:v>
                </c:pt>
                <c:pt idx="1948">
                  <c:v>2015-07-09</c:v>
                </c:pt>
                <c:pt idx="1949">
                  <c:v>2015-07-10</c:v>
                </c:pt>
                <c:pt idx="1950">
                  <c:v>2015-07-13</c:v>
                </c:pt>
                <c:pt idx="1951">
                  <c:v>2015-07-14</c:v>
                </c:pt>
                <c:pt idx="1952">
                  <c:v>2015-07-15</c:v>
                </c:pt>
                <c:pt idx="1953">
                  <c:v>2015-07-16</c:v>
                </c:pt>
                <c:pt idx="1954">
                  <c:v>2015-07-17</c:v>
                </c:pt>
                <c:pt idx="1955">
                  <c:v>2015-07-20</c:v>
                </c:pt>
                <c:pt idx="1956">
                  <c:v>2015-07-21</c:v>
                </c:pt>
                <c:pt idx="1957">
                  <c:v>2015-07-22</c:v>
                </c:pt>
                <c:pt idx="1958">
                  <c:v>2015-07-23</c:v>
                </c:pt>
                <c:pt idx="1959">
                  <c:v>2015-07-24</c:v>
                </c:pt>
                <c:pt idx="1960">
                  <c:v>2015-07-27</c:v>
                </c:pt>
                <c:pt idx="1961">
                  <c:v>2015-07-28</c:v>
                </c:pt>
                <c:pt idx="1962">
                  <c:v>2015-07-29</c:v>
                </c:pt>
                <c:pt idx="1963">
                  <c:v>2015-07-30</c:v>
                </c:pt>
                <c:pt idx="1964">
                  <c:v>2015-07-31</c:v>
                </c:pt>
                <c:pt idx="1965">
                  <c:v>2015-08-03</c:v>
                </c:pt>
                <c:pt idx="1966">
                  <c:v>2015-08-04</c:v>
                </c:pt>
                <c:pt idx="1967">
                  <c:v>2015-08-05</c:v>
                </c:pt>
                <c:pt idx="1968">
                  <c:v>2015-08-06</c:v>
                </c:pt>
                <c:pt idx="1969">
                  <c:v>2015-08-07</c:v>
                </c:pt>
                <c:pt idx="1970">
                  <c:v>2015-08-10</c:v>
                </c:pt>
                <c:pt idx="1971">
                  <c:v>2015-08-11</c:v>
                </c:pt>
                <c:pt idx="1972">
                  <c:v>2015-08-12</c:v>
                </c:pt>
                <c:pt idx="1973">
                  <c:v>2015-08-13</c:v>
                </c:pt>
                <c:pt idx="1974">
                  <c:v>2015-08-14</c:v>
                </c:pt>
                <c:pt idx="1975">
                  <c:v>2015-08-17</c:v>
                </c:pt>
                <c:pt idx="1976">
                  <c:v>2015-08-18</c:v>
                </c:pt>
                <c:pt idx="1977">
                  <c:v>2015-08-19</c:v>
                </c:pt>
                <c:pt idx="1978">
                  <c:v>2015-08-20</c:v>
                </c:pt>
                <c:pt idx="1979">
                  <c:v>2015-08-21</c:v>
                </c:pt>
                <c:pt idx="1980">
                  <c:v>2015-08-24</c:v>
                </c:pt>
                <c:pt idx="1981">
                  <c:v>2015-08-25</c:v>
                </c:pt>
                <c:pt idx="1982">
                  <c:v>2015-08-26</c:v>
                </c:pt>
                <c:pt idx="1983">
                  <c:v>2015-08-27</c:v>
                </c:pt>
                <c:pt idx="1984">
                  <c:v>2015-08-28</c:v>
                </c:pt>
                <c:pt idx="1985">
                  <c:v>2015-08-31</c:v>
                </c:pt>
                <c:pt idx="1986">
                  <c:v>2015-09-01</c:v>
                </c:pt>
                <c:pt idx="1987">
                  <c:v>2015-09-02</c:v>
                </c:pt>
                <c:pt idx="1988">
                  <c:v>2015-09-03</c:v>
                </c:pt>
                <c:pt idx="1989">
                  <c:v>2015-09-04</c:v>
                </c:pt>
                <c:pt idx="1990">
                  <c:v>2015-09-07</c:v>
                </c:pt>
                <c:pt idx="1991">
                  <c:v>2015-09-08</c:v>
                </c:pt>
                <c:pt idx="1992">
                  <c:v>2015-09-09</c:v>
                </c:pt>
                <c:pt idx="1993">
                  <c:v>2015-09-10</c:v>
                </c:pt>
                <c:pt idx="1994">
                  <c:v>2015-09-11</c:v>
                </c:pt>
                <c:pt idx="1995">
                  <c:v>2015-09-14</c:v>
                </c:pt>
                <c:pt idx="1996">
                  <c:v>2015-09-15</c:v>
                </c:pt>
                <c:pt idx="1997">
                  <c:v>2015-09-16</c:v>
                </c:pt>
                <c:pt idx="1998">
                  <c:v>2015-09-17</c:v>
                </c:pt>
                <c:pt idx="1999">
                  <c:v>2015-09-18</c:v>
                </c:pt>
                <c:pt idx="2000">
                  <c:v>2015-09-21</c:v>
                </c:pt>
                <c:pt idx="2001">
                  <c:v>2015-09-22</c:v>
                </c:pt>
                <c:pt idx="2002">
                  <c:v>2015-09-23</c:v>
                </c:pt>
                <c:pt idx="2003">
                  <c:v>2015-09-24</c:v>
                </c:pt>
                <c:pt idx="2004">
                  <c:v>2015-09-25</c:v>
                </c:pt>
                <c:pt idx="2005">
                  <c:v>2015-09-28</c:v>
                </c:pt>
                <c:pt idx="2006">
                  <c:v>2015-09-29</c:v>
                </c:pt>
                <c:pt idx="2007">
                  <c:v>2015-09-30</c:v>
                </c:pt>
                <c:pt idx="2008">
                  <c:v>2015-10-01</c:v>
                </c:pt>
                <c:pt idx="2009">
                  <c:v>2015-10-02</c:v>
                </c:pt>
                <c:pt idx="2010">
                  <c:v>2015-10-05</c:v>
                </c:pt>
                <c:pt idx="2011">
                  <c:v>2015-10-06</c:v>
                </c:pt>
                <c:pt idx="2012">
                  <c:v>2015-10-07</c:v>
                </c:pt>
                <c:pt idx="2013">
                  <c:v>2015-10-08</c:v>
                </c:pt>
                <c:pt idx="2014">
                  <c:v>2015-10-09</c:v>
                </c:pt>
                <c:pt idx="2015">
                  <c:v>2015-10-12</c:v>
                </c:pt>
                <c:pt idx="2016">
                  <c:v>2015-10-13</c:v>
                </c:pt>
                <c:pt idx="2017">
                  <c:v>2015-10-14</c:v>
                </c:pt>
                <c:pt idx="2018">
                  <c:v>2015-10-15</c:v>
                </c:pt>
                <c:pt idx="2019">
                  <c:v>2015-10-16</c:v>
                </c:pt>
                <c:pt idx="2020">
                  <c:v>2015-10-19</c:v>
                </c:pt>
                <c:pt idx="2021">
                  <c:v>2015-10-20</c:v>
                </c:pt>
                <c:pt idx="2022">
                  <c:v>2015-10-21</c:v>
                </c:pt>
                <c:pt idx="2023">
                  <c:v>2015-10-22</c:v>
                </c:pt>
                <c:pt idx="2024">
                  <c:v>2015-10-23</c:v>
                </c:pt>
                <c:pt idx="2025">
                  <c:v>2015-10-26</c:v>
                </c:pt>
                <c:pt idx="2026">
                  <c:v>2015-10-27</c:v>
                </c:pt>
                <c:pt idx="2027">
                  <c:v>2015-10-28</c:v>
                </c:pt>
                <c:pt idx="2028">
                  <c:v>2015-10-29</c:v>
                </c:pt>
                <c:pt idx="2029">
                  <c:v>2015-10-30</c:v>
                </c:pt>
                <c:pt idx="2030">
                  <c:v>2015-11-02</c:v>
                </c:pt>
                <c:pt idx="2031">
                  <c:v>2015-11-03</c:v>
                </c:pt>
                <c:pt idx="2032">
                  <c:v>2015-11-04</c:v>
                </c:pt>
                <c:pt idx="2033">
                  <c:v>2015-11-05</c:v>
                </c:pt>
                <c:pt idx="2034">
                  <c:v>2015-11-06</c:v>
                </c:pt>
                <c:pt idx="2035">
                  <c:v>2015-11-09</c:v>
                </c:pt>
                <c:pt idx="2036">
                  <c:v>2015-11-10</c:v>
                </c:pt>
                <c:pt idx="2037">
                  <c:v>2015-11-11</c:v>
                </c:pt>
                <c:pt idx="2038">
                  <c:v>2015-11-12</c:v>
                </c:pt>
                <c:pt idx="2039">
                  <c:v>2015-11-13</c:v>
                </c:pt>
                <c:pt idx="2040">
                  <c:v>2015-11-16</c:v>
                </c:pt>
                <c:pt idx="2041">
                  <c:v>2015-11-17</c:v>
                </c:pt>
                <c:pt idx="2042">
                  <c:v>2015-11-18</c:v>
                </c:pt>
                <c:pt idx="2043">
                  <c:v>2015-11-19</c:v>
                </c:pt>
                <c:pt idx="2044">
                  <c:v>2015-11-20</c:v>
                </c:pt>
                <c:pt idx="2045">
                  <c:v>2015-11-23</c:v>
                </c:pt>
                <c:pt idx="2046">
                  <c:v>2015-11-24</c:v>
                </c:pt>
                <c:pt idx="2047">
                  <c:v>2015-11-25</c:v>
                </c:pt>
                <c:pt idx="2048">
                  <c:v>2015-11-26</c:v>
                </c:pt>
                <c:pt idx="2049">
                  <c:v>2015-11-27</c:v>
                </c:pt>
                <c:pt idx="2050">
                  <c:v>2015-11-30</c:v>
                </c:pt>
                <c:pt idx="2051">
                  <c:v>2015-12-01</c:v>
                </c:pt>
                <c:pt idx="2052">
                  <c:v>2015-12-02</c:v>
                </c:pt>
                <c:pt idx="2053">
                  <c:v>2015-12-03</c:v>
                </c:pt>
                <c:pt idx="2054">
                  <c:v>2015-12-04</c:v>
                </c:pt>
                <c:pt idx="2055">
                  <c:v>2015-12-07</c:v>
                </c:pt>
                <c:pt idx="2056">
                  <c:v>2015-12-08</c:v>
                </c:pt>
                <c:pt idx="2057">
                  <c:v>2015-12-09</c:v>
                </c:pt>
                <c:pt idx="2058">
                  <c:v>2015-12-10</c:v>
                </c:pt>
                <c:pt idx="2059">
                  <c:v>2015-12-11</c:v>
                </c:pt>
                <c:pt idx="2060">
                  <c:v>2015-12-14</c:v>
                </c:pt>
                <c:pt idx="2061">
                  <c:v>2015-12-15</c:v>
                </c:pt>
                <c:pt idx="2062">
                  <c:v>2015-12-16</c:v>
                </c:pt>
                <c:pt idx="2063">
                  <c:v>2015-12-17</c:v>
                </c:pt>
                <c:pt idx="2064">
                  <c:v>2015-12-18</c:v>
                </c:pt>
                <c:pt idx="2065">
                  <c:v>2015-12-21</c:v>
                </c:pt>
                <c:pt idx="2066">
                  <c:v>2015-12-22</c:v>
                </c:pt>
                <c:pt idx="2067">
                  <c:v>2015-12-23</c:v>
                </c:pt>
                <c:pt idx="2068">
                  <c:v>2015-12-24</c:v>
                </c:pt>
                <c:pt idx="2069">
                  <c:v>2015-12-28</c:v>
                </c:pt>
                <c:pt idx="2070">
                  <c:v>2015-12-29</c:v>
                </c:pt>
                <c:pt idx="2071">
                  <c:v>2015-12-30</c:v>
                </c:pt>
                <c:pt idx="2072">
                  <c:v>2015-12-31</c:v>
                </c:pt>
                <c:pt idx="2073">
                  <c:v>2016-01-04</c:v>
                </c:pt>
                <c:pt idx="2074">
                  <c:v>2016-01-05</c:v>
                </c:pt>
                <c:pt idx="2075">
                  <c:v>2016-01-06</c:v>
                </c:pt>
                <c:pt idx="2076">
                  <c:v>2016-01-07</c:v>
                </c:pt>
                <c:pt idx="2077">
                  <c:v>2016-01-08</c:v>
                </c:pt>
                <c:pt idx="2078">
                  <c:v>2016-01-11</c:v>
                </c:pt>
                <c:pt idx="2079">
                  <c:v>2016-01-12</c:v>
                </c:pt>
                <c:pt idx="2080">
                  <c:v>2016-01-13</c:v>
                </c:pt>
                <c:pt idx="2081">
                  <c:v>2016-01-14</c:v>
                </c:pt>
                <c:pt idx="2082">
                  <c:v>2016-01-15</c:v>
                </c:pt>
                <c:pt idx="2083">
                  <c:v>2016-01-18</c:v>
                </c:pt>
                <c:pt idx="2084">
                  <c:v>2016-01-19</c:v>
                </c:pt>
                <c:pt idx="2085">
                  <c:v>2016-01-20</c:v>
                </c:pt>
                <c:pt idx="2086">
                  <c:v>2016-01-21</c:v>
                </c:pt>
                <c:pt idx="2087">
                  <c:v>2016-01-22</c:v>
                </c:pt>
                <c:pt idx="2088">
                  <c:v>2016-01-25</c:v>
                </c:pt>
                <c:pt idx="2089">
                  <c:v>2016-01-26</c:v>
                </c:pt>
                <c:pt idx="2090">
                  <c:v>2016-01-27</c:v>
                </c:pt>
                <c:pt idx="2091">
                  <c:v>2016-01-28</c:v>
                </c:pt>
                <c:pt idx="2092">
                  <c:v>2016-01-29</c:v>
                </c:pt>
                <c:pt idx="2093">
                  <c:v>2016-02-01</c:v>
                </c:pt>
                <c:pt idx="2094">
                  <c:v>2016-02-02</c:v>
                </c:pt>
                <c:pt idx="2095">
                  <c:v>2016-02-03</c:v>
                </c:pt>
                <c:pt idx="2096">
                  <c:v>2016-02-04</c:v>
                </c:pt>
                <c:pt idx="2097">
                  <c:v>2016-02-05</c:v>
                </c:pt>
                <c:pt idx="2098">
                  <c:v>2016-02-08</c:v>
                </c:pt>
                <c:pt idx="2099">
                  <c:v>2016-02-09</c:v>
                </c:pt>
                <c:pt idx="2100">
                  <c:v>2016-02-10</c:v>
                </c:pt>
                <c:pt idx="2101">
                  <c:v>2016-02-11</c:v>
                </c:pt>
                <c:pt idx="2102">
                  <c:v>2016-02-12</c:v>
                </c:pt>
                <c:pt idx="2103">
                  <c:v>2016-02-15</c:v>
                </c:pt>
                <c:pt idx="2104">
                  <c:v>2016-02-16</c:v>
                </c:pt>
                <c:pt idx="2105">
                  <c:v>2016-02-17</c:v>
                </c:pt>
                <c:pt idx="2106">
                  <c:v>2016-02-18</c:v>
                </c:pt>
                <c:pt idx="2107">
                  <c:v>2016-02-19</c:v>
                </c:pt>
                <c:pt idx="2108">
                  <c:v>2016-02-22</c:v>
                </c:pt>
                <c:pt idx="2109">
                  <c:v>2016-02-23</c:v>
                </c:pt>
                <c:pt idx="2110">
                  <c:v>2016-02-24</c:v>
                </c:pt>
                <c:pt idx="2111">
                  <c:v>2016-02-25</c:v>
                </c:pt>
                <c:pt idx="2112">
                  <c:v>2016-02-26</c:v>
                </c:pt>
                <c:pt idx="2113">
                  <c:v>2016-02-29</c:v>
                </c:pt>
                <c:pt idx="2114">
                  <c:v>2016-03-01</c:v>
                </c:pt>
                <c:pt idx="2115">
                  <c:v>2016-03-02</c:v>
                </c:pt>
                <c:pt idx="2116">
                  <c:v>2016-03-03</c:v>
                </c:pt>
                <c:pt idx="2117">
                  <c:v>2016-03-04</c:v>
                </c:pt>
                <c:pt idx="2118">
                  <c:v>2016-03-07</c:v>
                </c:pt>
                <c:pt idx="2119">
                  <c:v>2016-03-08</c:v>
                </c:pt>
                <c:pt idx="2120">
                  <c:v>2016-03-09</c:v>
                </c:pt>
                <c:pt idx="2121">
                  <c:v>2016-03-10</c:v>
                </c:pt>
                <c:pt idx="2122">
                  <c:v>2016-03-11</c:v>
                </c:pt>
                <c:pt idx="2123">
                  <c:v>2016-03-14</c:v>
                </c:pt>
                <c:pt idx="2124">
                  <c:v>2016-03-15</c:v>
                </c:pt>
                <c:pt idx="2125">
                  <c:v>2016-03-16</c:v>
                </c:pt>
                <c:pt idx="2126">
                  <c:v>2016-03-17</c:v>
                </c:pt>
                <c:pt idx="2127">
                  <c:v>2016-03-18</c:v>
                </c:pt>
                <c:pt idx="2128">
                  <c:v>2016-03-21</c:v>
                </c:pt>
                <c:pt idx="2129">
                  <c:v>2016-03-22</c:v>
                </c:pt>
                <c:pt idx="2130">
                  <c:v>2016-03-23</c:v>
                </c:pt>
                <c:pt idx="2131">
                  <c:v>2016-03-24</c:v>
                </c:pt>
                <c:pt idx="2132">
                  <c:v>2016-03-25</c:v>
                </c:pt>
                <c:pt idx="2133">
                  <c:v>2016-03-28</c:v>
                </c:pt>
                <c:pt idx="2134">
                  <c:v>2016-03-29</c:v>
                </c:pt>
                <c:pt idx="2135">
                  <c:v>2016-03-30</c:v>
                </c:pt>
                <c:pt idx="2136">
                  <c:v>2016-03-31</c:v>
                </c:pt>
                <c:pt idx="2137">
                  <c:v>2016-04-01</c:v>
                </c:pt>
                <c:pt idx="2138">
                  <c:v>2016-04-04</c:v>
                </c:pt>
                <c:pt idx="2139">
                  <c:v>2016-04-05</c:v>
                </c:pt>
                <c:pt idx="2140">
                  <c:v>2016-04-06</c:v>
                </c:pt>
                <c:pt idx="2141">
                  <c:v>2016-04-07</c:v>
                </c:pt>
                <c:pt idx="2142">
                  <c:v>2016-04-08</c:v>
                </c:pt>
                <c:pt idx="2143">
                  <c:v>2016-04-11</c:v>
                </c:pt>
                <c:pt idx="2144">
                  <c:v>2016-04-12</c:v>
                </c:pt>
                <c:pt idx="2145">
                  <c:v>2016-04-13</c:v>
                </c:pt>
                <c:pt idx="2146">
                  <c:v>2016-04-14</c:v>
                </c:pt>
                <c:pt idx="2147">
                  <c:v>2016-04-15</c:v>
                </c:pt>
                <c:pt idx="2148">
                  <c:v>2016-04-18</c:v>
                </c:pt>
                <c:pt idx="2149">
                  <c:v>2016-04-19</c:v>
                </c:pt>
                <c:pt idx="2150">
                  <c:v>2016-04-20</c:v>
                </c:pt>
                <c:pt idx="2151">
                  <c:v>2016-04-21</c:v>
                </c:pt>
                <c:pt idx="2152">
                  <c:v>2016-04-22</c:v>
                </c:pt>
                <c:pt idx="2153">
                  <c:v>2016-04-25</c:v>
                </c:pt>
                <c:pt idx="2154">
                  <c:v>2016-04-26</c:v>
                </c:pt>
                <c:pt idx="2155">
                  <c:v>2016-04-27</c:v>
                </c:pt>
                <c:pt idx="2156">
                  <c:v>2016-04-28</c:v>
                </c:pt>
                <c:pt idx="2157">
                  <c:v>2016-04-29</c:v>
                </c:pt>
                <c:pt idx="2158">
                  <c:v>2016-05-02</c:v>
                </c:pt>
                <c:pt idx="2159">
                  <c:v>2016-05-03</c:v>
                </c:pt>
                <c:pt idx="2160">
                  <c:v>2016-05-04</c:v>
                </c:pt>
                <c:pt idx="2161">
                  <c:v>2016-05-05</c:v>
                </c:pt>
                <c:pt idx="2162">
                  <c:v>2016-05-06</c:v>
                </c:pt>
                <c:pt idx="2163">
                  <c:v>2016-05-09</c:v>
                </c:pt>
                <c:pt idx="2164">
                  <c:v>2016-05-10</c:v>
                </c:pt>
                <c:pt idx="2165">
                  <c:v>2016-05-11</c:v>
                </c:pt>
                <c:pt idx="2166">
                  <c:v>2016-05-12</c:v>
                </c:pt>
                <c:pt idx="2167">
                  <c:v>2016-05-13</c:v>
                </c:pt>
                <c:pt idx="2168">
                  <c:v>2016-05-16</c:v>
                </c:pt>
                <c:pt idx="2169">
                  <c:v>2016-05-17</c:v>
                </c:pt>
                <c:pt idx="2170">
                  <c:v>2016-05-18</c:v>
                </c:pt>
                <c:pt idx="2171">
                  <c:v>2016-05-19</c:v>
                </c:pt>
                <c:pt idx="2172">
                  <c:v>2016-05-20</c:v>
                </c:pt>
                <c:pt idx="2173">
                  <c:v>2016-05-23</c:v>
                </c:pt>
                <c:pt idx="2174">
                  <c:v>2016-05-24</c:v>
                </c:pt>
                <c:pt idx="2175">
                  <c:v>2016-05-25</c:v>
                </c:pt>
                <c:pt idx="2176">
                  <c:v>2016-05-26</c:v>
                </c:pt>
                <c:pt idx="2177">
                  <c:v>2016-05-27</c:v>
                </c:pt>
                <c:pt idx="2178">
                  <c:v>2016-05-30</c:v>
                </c:pt>
                <c:pt idx="2179">
                  <c:v>2016-05-31</c:v>
                </c:pt>
                <c:pt idx="2180">
                  <c:v>2016-06-01</c:v>
                </c:pt>
                <c:pt idx="2181">
                  <c:v>2016-06-02</c:v>
                </c:pt>
                <c:pt idx="2182">
                  <c:v>2016-06-03</c:v>
                </c:pt>
                <c:pt idx="2183">
                  <c:v>2016-06-06</c:v>
                </c:pt>
                <c:pt idx="2184">
                  <c:v>2016-06-07</c:v>
                </c:pt>
                <c:pt idx="2185">
                  <c:v>2016-06-08</c:v>
                </c:pt>
                <c:pt idx="2186">
                  <c:v>2016-06-09</c:v>
                </c:pt>
                <c:pt idx="2187">
                  <c:v>2016-06-10</c:v>
                </c:pt>
                <c:pt idx="2188">
                  <c:v>2016-06-13</c:v>
                </c:pt>
                <c:pt idx="2189">
                  <c:v>2016-06-14</c:v>
                </c:pt>
                <c:pt idx="2190">
                  <c:v>2016-06-15</c:v>
                </c:pt>
                <c:pt idx="2191">
                  <c:v>2016-06-16</c:v>
                </c:pt>
                <c:pt idx="2192">
                  <c:v>2016-06-17</c:v>
                </c:pt>
                <c:pt idx="2193">
                  <c:v>2016-06-20</c:v>
                </c:pt>
                <c:pt idx="2194">
                  <c:v>2016-06-21</c:v>
                </c:pt>
                <c:pt idx="2195">
                  <c:v>2016-06-22</c:v>
                </c:pt>
                <c:pt idx="2196">
                  <c:v>2016-06-23</c:v>
                </c:pt>
                <c:pt idx="2197">
                  <c:v>2016-06-24</c:v>
                </c:pt>
                <c:pt idx="2198">
                  <c:v>2016-06-27</c:v>
                </c:pt>
                <c:pt idx="2199">
                  <c:v>2016-06-28</c:v>
                </c:pt>
                <c:pt idx="2200">
                  <c:v>2016-06-29</c:v>
                </c:pt>
                <c:pt idx="2201">
                  <c:v>2016-06-30</c:v>
                </c:pt>
                <c:pt idx="2202">
                  <c:v>2016-07-01</c:v>
                </c:pt>
                <c:pt idx="2203">
                  <c:v>2016-07-04</c:v>
                </c:pt>
                <c:pt idx="2204">
                  <c:v>2016-07-05</c:v>
                </c:pt>
                <c:pt idx="2205">
                  <c:v>2016-07-06</c:v>
                </c:pt>
                <c:pt idx="2206">
                  <c:v>2016-07-07</c:v>
                </c:pt>
                <c:pt idx="2207">
                  <c:v>2016-07-08</c:v>
                </c:pt>
                <c:pt idx="2208">
                  <c:v>2016-07-11</c:v>
                </c:pt>
                <c:pt idx="2209">
                  <c:v>2016-07-12</c:v>
                </c:pt>
                <c:pt idx="2210">
                  <c:v>2016-07-13</c:v>
                </c:pt>
                <c:pt idx="2211">
                  <c:v>2016-07-14</c:v>
                </c:pt>
                <c:pt idx="2212">
                  <c:v>2016-07-15</c:v>
                </c:pt>
                <c:pt idx="2213">
                  <c:v>2016-07-18</c:v>
                </c:pt>
                <c:pt idx="2214">
                  <c:v>2016-07-19</c:v>
                </c:pt>
                <c:pt idx="2215">
                  <c:v>2016-07-20</c:v>
                </c:pt>
                <c:pt idx="2216">
                  <c:v>2016-07-21</c:v>
                </c:pt>
                <c:pt idx="2217">
                  <c:v>2016-07-22</c:v>
                </c:pt>
                <c:pt idx="2218">
                  <c:v>2016-07-25</c:v>
                </c:pt>
                <c:pt idx="2219">
                  <c:v>2016-07-26</c:v>
                </c:pt>
                <c:pt idx="2220">
                  <c:v>2016-07-27</c:v>
                </c:pt>
                <c:pt idx="2221">
                  <c:v>2016-07-28</c:v>
                </c:pt>
                <c:pt idx="2222">
                  <c:v>2016-07-29</c:v>
                </c:pt>
                <c:pt idx="2223">
                  <c:v>2016-08-01</c:v>
                </c:pt>
                <c:pt idx="2224">
                  <c:v>2016-08-02</c:v>
                </c:pt>
                <c:pt idx="2225">
                  <c:v>2016-08-03</c:v>
                </c:pt>
                <c:pt idx="2226">
                  <c:v>2016-08-04</c:v>
                </c:pt>
                <c:pt idx="2227">
                  <c:v>2016-08-05</c:v>
                </c:pt>
                <c:pt idx="2228">
                  <c:v>2016-08-08</c:v>
                </c:pt>
                <c:pt idx="2229">
                  <c:v>2016-08-09</c:v>
                </c:pt>
                <c:pt idx="2230">
                  <c:v>2016-08-10</c:v>
                </c:pt>
                <c:pt idx="2231">
                  <c:v>2016-08-11</c:v>
                </c:pt>
                <c:pt idx="2232">
                  <c:v>2016-08-12</c:v>
                </c:pt>
                <c:pt idx="2233">
                  <c:v>2016-08-15</c:v>
                </c:pt>
                <c:pt idx="2234">
                  <c:v>2016-08-16</c:v>
                </c:pt>
                <c:pt idx="2235">
                  <c:v>2016-08-17</c:v>
                </c:pt>
                <c:pt idx="2236">
                  <c:v>2016-08-18</c:v>
                </c:pt>
                <c:pt idx="2237">
                  <c:v>2016-08-19</c:v>
                </c:pt>
                <c:pt idx="2238">
                  <c:v>2016-08-22</c:v>
                </c:pt>
                <c:pt idx="2239">
                  <c:v>2016-08-23</c:v>
                </c:pt>
                <c:pt idx="2240">
                  <c:v>2016-08-24</c:v>
                </c:pt>
                <c:pt idx="2241">
                  <c:v>2016-08-25</c:v>
                </c:pt>
                <c:pt idx="2242">
                  <c:v>2016-08-26</c:v>
                </c:pt>
                <c:pt idx="2243">
                  <c:v>2016-08-29</c:v>
                </c:pt>
                <c:pt idx="2244">
                  <c:v>2016-08-30</c:v>
                </c:pt>
                <c:pt idx="2245">
                  <c:v>2016-08-31</c:v>
                </c:pt>
                <c:pt idx="2246">
                  <c:v>2016-09-01</c:v>
                </c:pt>
                <c:pt idx="2247">
                  <c:v>2016-09-02</c:v>
                </c:pt>
                <c:pt idx="2248">
                  <c:v>2016-09-05</c:v>
                </c:pt>
                <c:pt idx="2249">
                  <c:v>2016-09-06</c:v>
                </c:pt>
                <c:pt idx="2250">
                  <c:v>2016-09-07</c:v>
                </c:pt>
                <c:pt idx="2251">
                  <c:v>2016-09-08</c:v>
                </c:pt>
                <c:pt idx="2252">
                  <c:v>2016-09-09</c:v>
                </c:pt>
                <c:pt idx="2253">
                  <c:v>2016-09-12</c:v>
                </c:pt>
                <c:pt idx="2254">
                  <c:v>2016-09-13</c:v>
                </c:pt>
                <c:pt idx="2255">
                  <c:v>2016-09-14</c:v>
                </c:pt>
                <c:pt idx="2256">
                  <c:v>2016-09-15</c:v>
                </c:pt>
                <c:pt idx="2257">
                  <c:v>2016-09-16</c:v>
                </c:pt>
                <c:pt idx="2258">
                  <c:v>2016-09-19</c:v>
                </c:pt>
                <c:pt idx="2259">
                  <c:v>2016-09-20</c:v>
                </c:pt>
                <c:pt idx="2260">
                  <c:v>2016-09-21</c:v>
                </c:pt>
                <c:pt idx="2261">
                  <c:v>2016-09-22</c:v>
                </c:pt>
                <c:pt idx="2262">
                  <c:v>2016-09-23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2016-10-03</c:v>
                </c:pt>
                <c:pt idx="2269">
                  <c:v>2016-10-04</c:v>
                </c:pt>
                <c:pt idx="2270">
                  <c:v>2016-10-05</c:v>
                </c:pt>
                <c:pt idx="2271">
                  <c:v>2016-10-06</c:v>
                </c:pt>
                <c:pt idx="2272">
                  <c:v>2016-10-07</c:v>
                </c:pt>
                <c:pt idx="2273">
                  <c:v>2016-10-10</c:v>
                </c:pt>
                <c:pt idx="2274">
                  <c:v>2016-10-11</c:v>
                </c:pt>
                <c:pt idx="2275">
                  <c:v>2016-10-12</c:v>
                </c:pt>
                <c:pt idx="2276">
                  <c:v>2016-10-13</c:v>
                </c:pt>
                <c:pt idx="2277">
                  <c:v>2016-10-14</c:v>
                </c:pt>
                <c:pt idx="2278">
                  <c:v>2016-10-17</c:v>
                </c:pt>
                <c:pt idx="2279">
                  <c:v>2016-10-18</c:v>
                </c:pt>
                <c:pt idx="2280">
                  <c:v>2016-10-19</c:v>
                </c:pt>
                <c:pt idx="2281">
                  <c:v>2016-10-20</c:v>
                </c:pt>
                <c:pt idx="2282">
                  <c:v>2016-10-21</c:v>
                </c:pt>
                <c:pt idx="2283">
                  <c:v>2016-10-24</c:v>
                </c:pt>
                <c:pt idx="2284">
                  <c:v>2016-10-25</c:v>
                </c:pt>
                <c:pt idx="2285">
                  <c:v>2016-10-26</c:v>
                </c:pt>
                <c:pt idx="2286">
                  <c:v>2016-10-27</c:v>
                </c:pt>
                <c:pt idx="2287">
                  <c:v>2016-10-28</c:v>
                </c:pt>
                <c:pt idx="2288">
                  <c:v>2016-10-31</c:v>
                </c:pt>
                <c:pt idx="2289">
                  <c:v>2016-11-01</c:v>
                </c:pt>
                <c:pt idx="2290">
                  <c:v>2016-11-02</c:v>
                </c:pt>
                <c:pt idx="2291">
                  <c:v>2016-11-03</c:v>
                </c:pt>
                <c:pt idx="2292">
                  <c:v>2016-11-04</c:v>
                </c:pt>
                <c:pt idx="2293">
                  <c:v>2016-11-07</c:v>
                </c:pt>
                <c:pt idx="2294">
                  <c:v>2016-11-08</c:v>
                </c:pt>
                <c:pt idx="2295">
                  <c:v>2016-11-09</c:v>
                </c:pt>
                <c:pt idx="2296">
                  <c:v>2016-11-10</c:v>
                </c:pt>
                <c:pt idx="2297">
                  <c:v>2016-11-11</c:v>
                </c:pt>
                <c:pt idx="2298">
                  <c:v>2016-11-14</c:v>
                </c:pt>
                <c:pt idx="2299">
                  <c:v>2016-11-15</c:v>
                </c:pt>
                <c:pt idx="2300">
                  <c:v>2016-11-16</c:v>
                </c:pt>
                <c:pt idx="2301">
                  <c:v>2016-11-17</c:v>
                </c:pt>
                <c:pt idx="2302">
                  <c:v>2016-11-18</c:v>
                </c:pt>
                <c:pt idx="2303">
                  <c:v>2016-11-21</c:v>
                </c:pt>
                <c:pt idx="2304">
                  <c:v>2016-11-22</c:v>
                </c:pt>
                <c:pt idx="2305">
                  <c:v>2016-11-23</c:v>
                </c:pt>
                <c:pt idx="2306">
                  <c:v>2016-11-24</c:v>
                </c:pt>
                <c:pt idx="2307">
                  <c:v>2016-11-25</c:v>
                </c:pt>
                <c:pt idx="2308">
                  <c:v>2016-11-28</c:v>
                </c:pt>
                <c:pt idx="2309">
                  <c:v>2016-11-29</c:v>
                </c:pt>
                <c:pt idx="2310">
                  <c:v>2016-11-30</c:v>
                </c:pt>
                <c:pt idx="2311">
                  <c:v>2016-12-01</c:v>
                </c:pt>
                <c:pt idx="2312">
                  <c:v>2016-12-02</c:v>
                </c:pt>
                <c:pt idx="2313">
                  <c:v>2016-12-05</c:v>
                </c:pt>
                <c:pt idx="2314">
                  <c:v>2016-12-06</c:v>
                </c:pt>
                <c:pt idx="2315">
                  <c:v>2016-12-07</c:v>
                </c:pt>
                <c:pt idx="2316">
                  <c:v>2016-12-08</c:v>
                </c:pt>
                <c:pt idx="2317">
                  <c:v>2016-12-09</c:v>
                </c:pt>
                <c:pt idx="2318">
                  <c:v>2016-12-12</c:v>
                </c:pt>
                <c:pt idx="2319">
                  <c:v>2016-12-13</c:v>
                </c:pt>
                <c:pt idx="2320">
                  <c:v>2016-12-14</c:v>
                </c:pt>
                <c:pt idx="2321">
                  <c:v>2016-12-15</c:v>
                </c:pt>
                <c:pt idx="2322">
                  <c:v>2016-12-16</c:v>
                </c:pt>
                <c:pt idx="2323">
                  <c:v>2016-12-19</c:v>
                </c:pt>
                <c:pt idx="2324">
                  <c:v>2016-12-20</c:v>
                </c:pt>
                <c:pt idx="2325">
                  <c:v>2016-12-21</c:v>
                </c:pt>
                <c:pt idx="2326">
                  <c:v>2016-12-22</c:v>
                </c:pt>
                <c:pt idx="2327">
                  <c:v>2016-12-23</c:v>
                </c:pt>
                <c:pt idx="2328">
                  <c:v>2016-12-26</c:v>
                </c:pt>
                <c:pt idx="2329">
                  <c:v>2016-12-27</c:v>
                </c:pt>
                <c:pt idx="2330">
                  <c:v>2016-12-28</c:v>
                </c:pt>
                <c:pt idx="2331">
                  <c:v>2016-12-29</c:v>
                </c:pt>
                <c:pt idx="2332">
                  <c:v>2016-12-30</c:v>
                </c:pt>
                <c:pt idx="2333">
                  <c:v>2017-01-02</c:v>
                </c:pt>
                <c:pt idx="2334">
                  <c:v>2017-01-03</c:v>
                </c:pt>
                <c:pt idx="2335">
                  <c:v>2017-01-04</c:v>
                </c:pt>
                <c:pt idx="2336">
                  <c:v>2017-01-05</c:v>
                </c:pt>
                <c:pt idx="2337">
                  <c:v>2017-01-06</c:v>
                </c:pt>
                <c:pt idx="2338">
                  <c:v>2017-01-09</c:v>
                </c:pt>
                <c:pt idx="2339">
                  <c:v>2017-01-10</c:v>
                </c:pt>
                <c:pt idx="2340">
                  <c:v>2017-01-11</c:v>
                </c:pt>
                <c:pt idx="2341">
                  <c:v>2017-01-12</c:v>
                </c:pt>
                <c:pt idx="2342">
                  <c:v>2017-01-13</c:v>
                </c:pt>
                <c:pt idx="2343">
                  <c:v>2017-01-16</c:v>
                </c:pt>
                <c:pt idx="2344">
                  <c:v>2017-01-17</c:v>
                </c:pt>
                <c:pt idx="2345">
                  <c:v>2017-01-18</c:v>
                </c:pt>
                <c:pt idx="2346">
                  <c:v>2017-01-19</c:v>
                </c:pt>
                <c:pt idx="2347">
                  <c:v>2017-01-20</c:v>
                </c:pt>
                <c:pt idx="2348">
                  <c:v>2017-01-23</c:v>
                </c:pt>
                <c:pt idx="2349">
                  <c:v>2017-01-24</c:v>
                </c:pt>
                <c:pt idx="2350">
                  <c:v>2017-01-25</c:v>
                </c:pt>
                <c:pt idx="2351">
                  <c:v>2017-01-26</c:v>
                </c:pt>
                <c:pt idx="2352">
                  <c:v>2017-01-27</c:v>
                </c:pt>
                <c:pt idx="2353">
                  <c:v>2017-01-30</c:v>
                </c:pt>
                <c:pt idx="2354">
                  <c:v>2017-01-31</c:v>
                </c:pt>
                <c:pt idx="2355">
                  <c:v>2017-02-01</c:v>
                </c:pt>
                <c:pt idx="2356">
                  <c:v>2017-02-02</c:v>
                </c:pt>
                <c:pt idx="2357">
                  <c:v>2017-02-03</c:v>
                </c:pt>
                <c:pt idx="2358">
                  <c:v>2017-02-06</c:v>
                </c:pt>
                <c:pt idx="2359">
                  <c:v>2017-02-07</c:v>
                </c:pt>
                <c:pt idx="2360">
                  <c:v>2017-02-08</c:v>
                </c:pt>
                <c:pt idx="2361">
                  <c:v>2017-02-09</c:v>
                </c:pt>
                <c:pt idx="2362">
                  <c:v>2017-02-10</c:v>
                </c:pt>
                <c:pt idx="2363">
                  <c:v>2017-02-13</c:v>
                </c:pt>
                <c:pt idx="2364">
                  <c:v>2017-02-14</c:v>
                </c:pt>
                <c:pt idx="2365">
                  <c:v>2017-02-15</c:v>
                </c:pt>
                <c:pt idx="2366">
                  <c:v>2017-02-16</c:v>
                </c:pt>
                <c:pt idx="2367">
                  <c:v>2017-02-17</c:v>
                </c:pt>
                <c:pt idx="2368">
                  <c:v>2017-02-20</c:v>
                </c:pt>
                <c:pt idx="2369">
                  <c:v>2017-02-21</c:v>
                </c:pt>
                <c:pt idx="2370">
                  <c:v>2017-02-22</c:v>
                </c:pt>
                <c:pt idx="2371">
                  <c:v>2017-02-23</c:v>
                </c:pt>
                <c:pt idx="2372">
                  <c:v>2017-02-24</c:v>
                </c:pt>
                <c:pt idx="2373">
                  <c:v>2017-02-27</c:v>
                </c:pt>
                <c:pt idx="2374">
                  <c:v>2017-02-28</c:v>
                </c:pt>
                <c:pt idx="2375">
                  <c:v>2017-03-01</c:v>
                </c:pt>
                <c:pt idx="2376">
                  <c:v>2017-03-02</c:v>
                </c:pt>
                <c:pt idx="2377">
                  <c:v>2017-03-03</c:v>
                </c:pt>
                <c:pt idx="2378">
                  <c:v>2017-03-06</c:v>
                </c:pt>
                <c:pt idx="2379">
                  <c:v>2017-03-07</c:v>
                </c:pt>
                <c:pt idx="2380">
                  <c:v>2017-03-08</c:v>
                </c:pt>
                <c:pt idx="2381">
                  <c:v>2017-03-09</c:v>
                </c:pt>
                <c:pt idx="2382">
                  <c:v>2017-03-10</c:v>
                </c:pt>
                <c:pt idx="2383">
                  <c:v>2017-03-13</c:v>
                </c:pt>
                <c:pt idx="2384">
                  <c:v>2017-03-14</c:v>
                </c:pt>
                <c:pt idx="2385">
                  <c:v>2017-03-15</c:v>
                </c:pt>
                <c:pt idx="2386">
                  <c:v>2017-03-16</c:v>
                </c:pt>
                <c:pt idx="2387">
                  <c:v>2017-03-17</c:v>
                </c:pt>
                <c:pt idx="2388">
                  <c:v>2017-03-20</c:v>
                </c:pt>
                <c:pt idx="2389">
                  <c:v>2017-03-21</c:v>
                </c:pt>
                <c:pt idx="2390">
                  <c:v>2017-03-22</c:v>
                </c:pt>
                <c:pt idx="2391">
                  <c:v>2017-03-23</c:v>
                </c:pt>
                <c:pt idx="2392">
                  <c:v>2017-03-24</c:v>
                </c:pt>
                <c:pt idx="2393">
                  <c:v>2017-03-27</c:v>
                </c:pt>
                <c:pt idx="2394">
                  <c:v>2017-03-28</c:v>
                </c:pt>
                <c:pt idx="2395">
                  <c:v>2017-03-29</c:v>
                </c:pt>
                <c:pt idx="2396">
                  <c:v>2017-03-30</c:v>
                </c:pt>
                <c:pt idx="2397">
                  <c:v>2017-03-31</c:v>
                </c:pt>
                <c:pt idx="2398">
                  <c:v>2017-04-03</c:v>
                </c:pt>
                <c:pt idx="2399">
                  <c:v>2017-04-04</c:v>
                </c:pt>
                <c:pt idx="2400">
                  <c:v>2017-04-05</c:v>
                </c:pt>
                <c:pt idx="2401">
                  <c:v>2017-04-06</c:v>
                </c:pt>
                <c:pt idx="2402">
                  <c:v>2017-04-07</c:v>
                </c:pt>
                <c:pt idx="2403">
                  <c:v>2017-04-10</c:v>
                </c:pt>
                <c:pt idx="2404">
                  <c:v>2017-04-11</c:v>
                </c:pt>
                <c:pt idx="2405">
                  <c:v>2017-04-12</c:v>
                </c:pt>
                <c:pt idx="2406">
                  <c:v>2017-04-13</c:v>
                </c:pt>
                <c:pt idx="2407">
                  <c:v>2017-04-14</c:v>
                </c:pt>
                <c:pt idx="2408">
                  <c:v>2017-04-17</c:v>
                </c:pt>
                <c:pt idx="2409">
                  <c:v>2017-04-18</c:v>
                </c:pt>
                <c:pt idx="2410">
                  <c:v>2017-04-19</c:v>
                </c:pt>
                <c:pt idx="2411">
                  <c:v>2017-04-20</c:v>
                </c:pt>
                <c:pt idx="2412">
                  <c:v>2017-04-21</c:v>
                </c:pt>
                <c:pt idx="2413">
                  <c:v>2017-04-24</c:v>
                </c:pt>
                <c:pt idx="2414">
                  <c:v>2017-04-25</c:v>
                </c:pt>
                <c:pt idx="2415">
                  <c:v>2017-04-26</c:v>
                </c:pt>
                <c:pt idx="2416">
                  <c:v>2017-04-27</c:v>
                </c:pt>
                <c:pt idx="2417">
                  <c:v>2017-04-28</c:v>
                </c:pt>
                <c:pt idx="2418">
                  <c:v>2017-05-01</c:v>
                </c:pt>
                <c:pt idx="2419">
                  <c:v>2017-05-02</c:v>
                </c:pt>
                <c:pt idx="2420">
                  <c:v>2017-05-03</c:v>
                </c:pt>
                <c:pt idx="2421">
                  <c:v>2017-05-04</c:v>
                </c:pt>
                <c:pt idx="2422">
                  <c:v>2017-05-05</c:v>
                </c:pt>
                <c:pt idx="2423">
                  <c:v>2017-05-08</c:v>
                </c:pt>
                <c:pt idx="2424">
                  <c:v>2017-05-09</c:v>
                </c:pt>
                <c:pt idx="2425">
                  <c:v>2017-05-10</c:v>
                </c:pt>
                <c:pt idx="2426">
                  <c:v>2017-05-11</c:v>
                </c:pt>
                <c:pt idx="2427">
                  <c:v>2017-05-12</c:v>
                </c:pt>
                <c:pt idx="2428">
                  <c:v>2017-05-15</c:v>
                </c:pt>
                <c:pt idx="2429">
                  <c:v>2017-05-16</c:v>
                </c:pt>
                <c:pt idx="2430">
                  <c:v>2017-05-17</c:v>
                </c:pt>
                <c:pt idx="2431">
                  <c:v>2017-05-18</c:v>
                </c:pt>
                <c:pt idx="2432">
                  <c:v>2017-05-19</c:v>
                </c:pt>
                <c:pt idx="2433">
                  <c:v>2017-05-22</c:v>
                </c:pt>
                <c:pt idx="2434">
                  <c:v>2017-05-23</c:v>
                </c:pt>
                <c:pt idx="2435">
                  <c:v>2017-05-24</c:v>
                </c:pt>
                <c:pt idx="2436">
                  <c:v>2017-05-25</c:v>
                </c:pt>
                <c:pt idx="2437">
                  <c:v>2017-05-26</c:v>
                </c:pt>
                <c:pt idx="2438">
                  <c:v>2017-05-29</c:v>
                </c:pt>
                <c:pt idx="2439">
                  <c:v>2017-05-30</c:v>
                </c:pt>
                <c:pt idx="2440">
                  <c:v>2017-05-31</c:v>
                </c:pt>
                <c:pt idx="2441">
                  <c:v>2017-06-01</c:v>
                </c:pt>
                <c:pt idx="2442">
                  <c:v>2017-06-02</c:v>
                </c:pt>
                <c:pt idx="2443">
                  <c:v>2017-06-05</c:v>
                </c:pt>
                <c:pt idx="2444">
                  <c:v>2017-06-06</c:v>
                </c:pt>
                <c:pt idx="2445">
                  <c:v>2017-06-07</c:v>
                </c:pt>
                <c:pt idx="2446">
                  <c:v>2017-06-08</c:v>
                </c:pt>
                <c:pt idx="2447">
                  <c:v>2017-06-09</c:v>
                </c:pt>
                <c:pt idx="2448">
                  <c:v>2017-06-12</c:v>
                </c:pt>
                <c:pt idx="2449">
                  <c:v>2017-06-13</c:v>
                </c:pt>
                <c:pt idx="2450">
                  <c:v>2017-06-14</c:v>
                </c:pt>
                <c:pt idx="2451">
                  <c:v>2017-06-15</c:v>
                </c:pt>
                <c:pt idx="2452">
                  <c:v>2017-06-16</c:v>
                </c:pt>
                <c:pt idx="2453">
                  <c:v>2017-06-19</c:v>
                </c:pt>
                <c:pt idx="2454">
                  <c:v>2017-06-20</c:v>
                </c:pt>
                <c:pt idx="2455">
                  <c:v>2017-06-21</c:v>
                </c:pt>
                <c:pt idx="2456">
                  <c:v>2017-06-22</c:v>
                </c:pt>
                <c:pt idx="2457">
                  <c:v>2017-06-23</c:v>
                </c:pt>
                <c:pt idx="2458">
                  <c:v>2017-06-26</c:v>
                </c:pt>
                <c:pt idx="2459">
                  <c:v>2017-06-27</c:v>
                </c:pt>
                <c:pt idx="2460">
                  <c:v>2017-06-28</c:v>
                </c:pt>
                <c:pt idx="2461">
                  <c:v>2017-06-29</c:v>
                </c:pt>
                <c:pt idx="2462">
                  <c:v>2017-06-30</c:v>
                </c:pt>
                <c:pt idx="2463">
                  <c:v>2017-07-03</c:v>
                </c:pt>
                <c:pt idx="2464">
                  <c:v>2017-07-04</c:v>
                </c:pt>
                <c:pt idx="2465">
                  <c:v>2017-07-05</c:v>
                </c:pt>
                <c:pt idx="2466">
                  <c:v>2017-07-06</c:v>
                </c:pt>
                <c:pt idx="2467">
                  <c:v>2017-07-07</c:v>
                </c:pt>
                <c:pt idx="2468">
                  <c:v>2017-07-10</c:v>
                </c:pt>
                <c:pt idx="2469">
                  <c:v>2017-07-11</c:v>
                </c:pt>
                <c:pt idx="2470">
                  <c:v>2017-07-12</c:v>
                </c:pt>
                <c:pt idx="2471">
                  <c:v>2017-07-13</c:v>
                </c:pt>
                <c:pt idx="2472">
                  <c:v>2017-07-14</c:v>
                </c:pt>
                <c:pt idx="2473">
                  <c:v>2017-07-17</c:v>
                </c:pt>
                <c:pt idx="2474">
                  <c:v>2017-07-18</c:v>
                </c:pt>
                <c:pt idx="2475">
                  <c:v>2017-07-19</c:v>
                </c:pt>
                <c:pt idx="2476">
                  <c:v>2017-07-20</c:v>
                </c:pt>
                <c:pt idx="2477">
                  <c:v>2017-07-21</c:v>
                </c:pt>
                <c:pt idx="2478">
                  <c:v>2017-07-24</c:v>
                </c:pt>
                <c:pt idx="2479">
                  <c:v>2017-07-25</c:v>
                </c:pt>
                <c:pt idx="2480">
                  <c:v>2017-07-26</c:v>
                </c:pt>
                <c:pt idx="2481">
                  <c:v>2017-07-27</c:v>
                </c:pt>
                <c:pt idx="2482">
                  <c:v>2017-07-28</c:v>
                </c:pt>
                <c:pt idx="2483">
                  <c:v>2017-07-31</c:v>
                </c:pt>
                <c:pt idx="2484">
                  <c:v>2017-08-01</c:v>
                </c:pt>
                <c:pt idx="2485">
                  <c:v>2017-08-02</c:v>
                </c:pt>
                <c:pt idx="2486">
                  <c:v>2017-08-03</c:v>
                </c:pt>
                <c:pt idx="2487">
                  <c:v>2017-08-04</c:v>
                </c:pt>
                <c:pt idx="2488">
                  <c:v>2017-08-07</c:v>
                </c:pt>
                <c:pt idx="2489">
                  <c:v>2017-08-08</c:v>
                </c:pt>
                <c:pt idx="2490">
                  <c:v>2017-08-09</c:v>
                </c:pt>
                <c:pt idx="2491">
                  <c:v>2017-08-10</c:v>
                </c:pt>
                <c:pt idx="2492">
                  <c:v>2017-08-11</c:v>
                </c:pt>
                <c:pt idx="2493">
                  <c:v>2017-08-14</c:v>
                </c:pt>
                <c:pt idx="2494">
                  <c:v>2017-08-15</c:v>
                </c:pt>
                <c:pt idx="2495">
                  <c:v>2017-08-16</c:v>
                </c:pt>
                <c:pt idx="2496">
                  <c:v>2017-08-17</c:v>
                </c:pt>
                <c:pt idx="2497">
                  <c:v>2017-08-18</c:v>
                </c:pt>
                <c:pt idx="2498">
                  <c:v>2017-08-21</c:v>
                </c:pt>
                <c:pt idx="2499">
                  <c:v>2017-08-22</c:v>
                </c:pt>
                <c:pt idx="2500">
                  <c:v>2017-08-23</c:v>
                </c:pt>
                <c:pt idx="2501">
                  <c:v>2017-08-24</c:v>
                </c:pt>
                <c:pt idx="2502">
                  <c:v>2017-08-25</c:v>
                </c:pt>
                <c:pt idx="2503">
                  <c:v>2017-08-28</c:v>
                </c:pt>
                <c:pt idx="2504">
                  <c:v>2017-08-29</c:v>
                </c:pt>
                <c:pt idx="2505">
                  <c:v>2017-08-30</c:v>
                </c:pt>
                <c:pt idx="2506">
                  <c:v>2017-08-31</c:v>
                </c:pt>
                <c:pt idx="2507">
                  <c:v>2017-09-01</c:v>
                </c:pt>
                <c:pt idx="2508">
                  <c:v>2017-09-04</c:v>
                </c:pt>
                <c:pt idx="2509">
                  <c:v>2017-09-05</c:v>
                </c:pt>
                <c:pt idx="2510">
                  <c:v>2017-09-06</c:v>
                </c:pt>
                <c:pt idx="2511">
                  <c:v>2017-09-07</c:v>
                </c:pt>
                <c:pt idx="2512">
                  <c:v>2017-09-08</c:v>
                </c:pt>
                <c:pt idx="2513">
                  <c:v>2017-09-11</c:v>
                </c:pt>
                <c:pt idx="2514">
                  <c:v>2017-09-12</c:v>
                </c:pt>
                <c:pt idx="2515">
                  <c:v>2017-09-13</c:v>
                </c:pt>
                <c:pt idx="2516">
                  <c:v>2017-09-14</c:v>
                </c:pt>
                <c:pt idx="2517">
                  <c:v>2017-09-15</c:v>
                </c:pt>
                <c:pt idx="2518">
                  <c:v>2017-09-18</c:v>
                </c:pt>
                <c:pt idx="2519">
                  <c:v>2017-09-19</c:v>
                </c:pt>
                <c:pt idx="2520">
                  <c:v>2017-09-20</c:v>
                </c:pt>
                <c:pt idx="2521">
                  <c:v>2017-09-21</c:v>
                </c:pt>
                <c:pt idx="2522">
                  <c:v>2017-09-22</c:v>
                </c:pt>
                <c:pt idx="2523">
                  <c:v>2017-09-25</c:v>
                </c:pt>
                <c:pt idx="2524">
                  <c:v>2017-09-26</c:v>
                </c:pt>
                <c:pt idx="2525">
                  <c:v>2017-09-27</c:v>
                </c:pt>
                <c:pt idx="2526">
                  <c:v>2017-09-28</c:v>
                </c:pt>
                <c:pt idx="2527">
                  <c:v>2017-09-29</c:v>
                </c:pt>
                <c:pt idx="2528">
                  <c:v>2017-10-02</c:v>
                </c:pt>
                <c:pt idx="2529">
                  <c:v>2017-10-03</c:v>
                </c:pt>
                <c:pt idx="2530">
                  <c:v>2017-10-04</c:v>
                </c:pt>
                <c:pt idx="2531">
                  <c:v>2017-10-05</c:v>
                </c:pt>
                <c:pt idx="2532">
                  <c:v>2017-10-06</c:v>
                </c:pt>
                <c:pt idx="2533">
                  <c:v>2017-10-09</c:v>
                </c:pt>
                <c:pt idx="2534">
                  <c:v>2017-10-10</c:v>
                </c:pt>
                <c:pt idx="2535">
                  <c:v>2017-10-11</c:v>
                </c:pt>
                <c:pt idx="2536">
                  <c:v>2017-10-12</c:v>
                </c:pt>
                <c:pt idx="2537">
                  <c:v>2017-10-13</c:v>
                </c:pt>
                <c:pt idx="2538">
                  <c:v>2017-10-16</c:v>
                </c:pt>
                <c:pt idx="2539">
                  <c:v>2017-10-17</c:v>
                </c:pt>
                <c:pt idx="2540">
                  <c:v>2017-10-18</c:v>
                </c:pt>
                <c:pt idx="2541">
                  <c:v>2017-10-19</c:v>
                </c:pt>
                <c:pt idx="2542">
                  <c:v>2017-10-20</c:v>
                </c:pt>
                <c:pt idx="2543">
                  <c:v>2017-10-23</c:v>
                </c:pt>
                <c:pt idx="2544">
                  <c:v>2017-10-24</c:v>
                </c:pt>
                <c:pt idx="2545">
                  <c:v>2017-10-25</c:v>
                </c:pt>
                <c:pt idx="2546">
                  <c:v>2017-10-26</c:v>
                </c:pt>
                <c:pt idx="2547">
                  <c:v>2017-10-27</c:v>
                </c:pt>
                <c:pt idx="2548">
                  <c:v>2017-10-30</c:v>
                </c:pt>
                <c:pt idx="2549">
                  <c:v>2017-10-31</c:v>
                </c:pt>
                <c:pt idx="2550">
                  <c:v>2017-11-01</c:v>
                </c:pt>
                <c:pt idx="2551">
                  <c:v>2017-11-02</c:v>
                </c:pt>
                <c:pt idx="2552">
                  <c:v>2017-11-03</c:v>
                </c:pt>
                <c:pt idx="2553">
                  <c:v>2017-11-06</c:v>
                </c:pt>
                <c:pt idx="2554">
                  <c:v>2017-11-07</c:v>
                </c:pt>
                <c:pt idx="2555">
                  <c:v>2017-11-08</c:v>
                </c:pt>
                <c:pt idx="2556">
                  <c:v>2017-11-09</c:v>
                </c:pt>
                <c:pt idx="2557">
                  <c:v>2017-11-10</c:v>
                </c:pt>
                <c:pt idx="2558">
                  <c:v>2017-11-13</c:v>
                </c:pt>
                <c:pt idx="2559">
                  <c:v>2017-11-14</c:v>
                </c:pt>
                <c:pt idx="2560">
                  <c:v>2017-11-15</c:v>
                </c:pt>
                <c:pt idx="2561">
                  <c:v>2017-11-16</c:v>
                </c:pt>
                <c:pt idx="2562">
                  <c:v>2017-11-17</c:v>
                </c:pt>
                <c:pt idx="2563">
                  <c:v>2017-11-20</c:v>
                </c:pt>
                <c:pt idx="2564">
                  <c:v>2017-11-21</c:v>
                </c:pt>
                <c:pt idx="2565">
                  <c:v>2017-11-22</c:v>
                </c:pt>
                <c:pt idx="2566">
                  <c:v>2017-11-23</c:v>
                </c:pt>
                <c:pt idx="2567">
                  <c:v>2017-11-24</c:v>
                </c:pt>
                <c:pt idx="2568">
                  <c:v>2017-11-27</c:v>
                </c:pt>
                <c:pt idx="2569">
                  <c:v>2017-11-28</c:v>
                </c:pt>
                <c:pt idx="2570">
                  <c:v>2017-11-29</c:v>
                </c:pt>
                <c:pt idx="2571">
                  <c:v>2017-11-30</c:v>
                </c:pt>
                <c:pt idx="2572">
                  <c:v>2017-12-01</c:v>
                </c:pt>
                <c:pt idx="2573">
                  <c:v>2017-12-04</c:v>
                </c:pt>
                <c:pt idx="2574">
                  <c:v>2017-12-05</c:v>
                </c:pt>
                <c:pt idx="2575">
                  <c:v>2017-12-06</c:v>
                </c:pt>
                <c:pt idx="2576">
                  <c:v>2017-12-07</c:v>
                </c:pt>
                <c:pt idx="2577">
                  <c:v>2017-12-08</c:v>
                </c:pt>
                <c:pt idx="2578">
                  <c:v>2017-12-11</c:v>
                </c:pt>
                <c:pt idx="2579">
                  <c:v>2017-12-12</c:v>
                </c:pt>
                <c:pt idx="2580">
                  <c:v>2017-12-13</c:v>
                </c:pt>
                <c:pt idx="2581">
                  <c:v>2017-12-14</c:v>
                </c:pt>
                <c:pt idx="2582">
                  <c:v>2017-12-15</c:v>
                </c:pt>
                <c:pt idx="2583">
                  <c:v>2017-12-18</c:v>
                </c:pt>
                <c:pt idx="2584">
                  <c:v>2017-12-19</c:v>
                </c:pt>
                <c:pt idx="2585">
                  <c:v>2017-12-20</c:v>
                </c:pt>
                <c:pt idx="2586">
                  <c:v>2017-12-21</c:v>
                </c:pt>
                <c:pt idx="2587">
                  <c:v>2017-12-22</c:v>
                </c:pt>
                <c:pt idx="2588">
                  <c:v>2017-12-26</c:v>
                </c:pt>
                <c:pt idx="2589">
                  <c:v>2017-12-27</c:v>
                </c:pt>
                <c:pt idx="2590">
                  <c:v>2017-12-28</c:v>
                </c:pt>
                <c:pt idx="2591">
                  <c:v>2017-12-29</c:v>
                </c:pt>
              </c:strCache>
            </c:strRef>
          </c:cat>
          <c:val>
            <c:numRef>
              <c:f>'그래프 분석'!$D$2:$D$2593</c:f>
              <c:numCache>
                <c:formatCode>General</c:formatCode>
                <c:ptCount val="2592"/>
                <c:pt idx="0">
                  <c:v>100</c:v>
                </c:pt>
                <c:pt idx="1">
                  <c:v>100</c:v>
                </c:pt>
                <c:pt idx="2">
                  <c:v>97.5448464578899</c:v>
                </c:pt>
                <c:pt idx="3">
                  <c:v>97.8592553691368</c:v>
                </c:pt>
                <c:pt idx="4">
                  <c:v>96.0633240277509</c:v>
                </c:pt>
                <c:pt idx="5">
                  <c:v>97.3720943088532</c:v>
                </c:pt>
                <c:pt idx="6">
                  <c:v>98.1460239365378</c:v>
                </c:pt>
                <c:pt idx="7">
                  <c:v>96.811686337378</c:v>
                </c:pt>
                <c:pt idx="8">
                  <c:v>97.8640924293098</c:v>
                </c:pt>
                <c:pt idx="9">
                  <c:v>95.4248320849111</c:v>
                </c:pt>
                <c:pt idx="10">
                  <c:v>94.8893004228973</c:v>
                </c:pt>
                <c:pt idx="11">
                  <c:v>92.1287210812903</c:v>
                </c:pt>
                <c:pt idx="12">
                  <c:v>91.5717681527958</c:v>
                </c:pt>
                <c:pt idx="13">
                  <c:v>91.5717681527958</c:v>
                </c:pt>
                <c:pt idx="14">
                  <c:v>90.556676525056</c:v>
                </c:pt>
                <c:pt idx="15">
                  <c:v>92.4984106802289</c:v>
                </c:pt>
                <c:pt idx="16">
                  <c:v>93.4291992592388</c:v>
                </c:pt>
                <c:pt idx="17">
                  <c:v>91.9462948119075</c:v>
                </c:pt>
                <c:pt idx="18">
                  <c:v>93.5597998839106</c:v>
                </c:pt>
                <c:pt idx="19">
                  <c:v>94.1361010530971</c:v>
                </c:pt>
                <c:pt idx="20">
                  <c:v>93.6876364741977</c:v>
                </c:pt>
                <c:pt idx="21">
                  <c:v>95.2589900218359</c:v>
                </c:pt>
                <c:pt idx="22">
                  <c:v>96.4247215235358</c:v>
                </c:pt>
                <c:pt idx="23">
                  <c:v>95.4158489731612</c:v>
                </c:pt>
                <c:pt idx="24">
                  <c:v>92.3629729953841</c:v>
                </c:pt>
                <c:pt idx="25">
                  <c:v>91.6588352359103</c:v>
                </c:pt>
                <c:pt idx="26">
                  <c:v>92.38163022748</c:v>
                </c:pt>
                <c:pt idx="27">
                  <c:v>91.9932833964455</c:v>
                </c:pt>
                <c:pt idx="28">
                  <c:v>92.5350341358246</c:v>
                </c:pt>
                <c:pt idx="29">
                  <c:v>93.2073854998756</c:v>
                </c:pt>
                <c:pt idx="30">
                  <c:v>94.4753862738052</c:v>
                </c:pt>
                <c:pt idx="31">
                  <c:v>93.2073854998756</c:v>
                </c:pt>
                <c:pt idx="32">
                  <c:v>93.2854694712402</c:v>
                </c:pt>
                <c:pt idx="33">
                  <c:v>93.2854694712402</c:v>
                </c:pt>
                <c:pt idx="34">
                  <c:v>93.2018574311064</c:v>
                </c:pt>
                <c:pt idx="35">
                  <c:v>93.9792421017718</c:v>
                </c:pt>
                <c:pt idx="36">
                  <c:v>92.7699770585146</c:v>
                </c:pt>
                <c:pt idx="37">
                  <c:v>93.5010641532381</c:v>
                </c:pt>
                <c:pt idx="38">
                  <c:v>94.7925592194367</c:v>
                </c:pt>
                <c:pt idx="39">
                  <c:v>95.4483263771801</c:v>
                </c:pt>
                <c:pt idx="40">
                  <c:v>95.3605682854695</c:v>
                </c:pt>
                <c:pt idx="41">
                  <c:v>94.5078636778242</c:v>
                </c:pt>
                <c:pt idx="42">
                  <c:v>91.9476768290997</c:v>
                </c:pt>
                <c:pt idx="43">
                  <c:v>91.9967384394262</c:v>
                </c:pt>
                <c:pt idx="44">
                  <c:v>91.6795654937947</c:v>
                </c:pt>
                <c:pt idx="45">
                  <c:v>92.1598164681169</c:v>
                </c:pt>
                <c:pt idx="46">
                  <c:v>90.1310152298295</c:v>
                </c:pt>
                <c:pt idx="47">
                  <c:v>89.3729787998563</c:v>
                </c:pt>
                <c:pt idx="48">
                  <c:v>87.9909616075624</c:v>
                </c:pt>
                <c:pt idx="49">
                  <c:v>91.2580502501451</c:v>
                </c:pt>
                <c:pt idx="50">
                  <c:v>90.4371320379225</c:v>
                </c:pt>
                <c:pt idx="51">
                  <c:v>90.9007988059371</c:v>
                </c:pt>
                <c:pt idx="52">
                  <c:v>89.0115813040714</c:v>
                </c:pt>
                <c:pt idx="53">
                  <c:v>88.2141573841178</c:v>
                </c:pt>
                <c:pt idx="54">
                  <c:v>91.9552779236574</c:v>
                </c:pt>
                <c:pt idx="55">
                  <c:v>89.7219381409105</c:v>
                </c:pt>
                <c:pt idx="56">
                  <c:v>91.8702838663313</c:v>
                </c:pt>
                <c:pt idx="57">
                  <c:v>91.8702838663313</c:v>
                </c:pt>
                <c:pt idx="58">
                  <c:v>93.2778683766826</c:v>
                </c:pt>
                <c:pt idx="59">
                  <c:v>93.4927720500843</c:v>
                </c:pt>
                <c:pt idx="60">
                  <c:v>92.673235855054</c:v>
                </c:pt>
                <c:pt idx="61">
                  <c:v>91.6111556427762</c:v>
                </c:pt>
                <c:pt idx="62">
                  <c:v>90.8828325824373</c:v>
                </c:pt>
                <c:pt idx="63">
                  <c:v>91.3997070123552</c:v>
                </c:pt>
                <c:pt idx="64">
                  <c:v>94.6806158268609</c:v>
                </c:pt>
                <c:pt idx="65">
                  <c:v>94.4974985488819</c:v>
                </c:pt>
                <c:pt idx="66">
                  <c:v>94.6204980789961</c:v>
                </c:pt>
                <c:pt idx="67">
                  <c:v>94.6958180159761</c:v>
                </c:pt>
                <c:pt idx="68">
                  <c:v>94.8436938555516</c:v>
                </c:pt>
                <c:pt idx="69">
                  <c:v>94.3599878382487</c:v>
                </c:pt>
                <c:pt idx="70">
                  <c:v>93.5964233395064</c:v>
                </c:pt>
                <c:pt idx="71">
                  <c:v>94.0151745487714</c:v>
                </c:pt>
                <c:pt idx="72">
                  <c:v>92.0996987202521</c:v>
                </c:pt>
                <c:pt idx="73">
                  <c:v>91.7880538433898</c:v>
                </c:pt>
                <c:pt idx="74">
                  <c:v>92.2102600956356</c:v>
                </c:pt>
                <c:pt idx="75">
                  <c:v>94.3026341247685</c:v>
                </c:pt>
                <c:pt idx="76">
                  <c:v>94.361369855441</c:v>
                </c:pt>
                <c:pt idx="77">
                  <c:v>96.072998148097</c:v>
                </c:pt>
                <c:pt idx="78">
                  <c:v>95.9237402913292</c:v>
                </c:pt>
                <c:pt idx="79">
                  <c:v>95.0786367782415</c:v>
                </c:pt>
                <c:pt idx="80">
                  <c:v>95.3543492081041</c:v>
                </c:pt>
                <c:pt idx="81">
                  <c:v>95.9686558500788</c:v>
                </c:pt>
                <c:pt idx="82">
                  <c:v>96.5919456038033</c:v>
                </c:pt>
                <c:pt idx="83">
                  <c:v>96.4903673401697</c:v>
                </c:pt>
                <c:pt idx="84">
                  <c:v>96.1151496724619</c:v>
                </c:pt>
                <c:pt idx="85">
                  <c:v>95.7454600735233</c:v>
                </c:pt>
                <c:pt idx="86">
                  <c:v>97.3866054893723</c:v>
                </c:pt>
                <c:pt idx="87">
                  <c:v>97.7017054092153</c:v>
                </c:pt>
                <c:pt idx="88">
                  <c:v>97.2587688990851</c:v>
                </c:pt>
                <c:pt idx="89">
                  <c:v>98.0029851571354</c:v>
                </c:pt>
                <c:pt idx="90">
                  <c:v>96.2277840736339</c:v>
                </c:pt>
                <c:pt idx="91">
                  <c:v>96.580889466265</c:v>
                </c:pt>
                <c:pt idx="92">
                  <c:v>95.9313413858868</c:v>
                </c:pt>
                <c:pt idx="93">
                  <c:v>96.9885845379917</c:v>
                </c:pt>
                <c:pt idx="94">
                  <c:v>96.9512700737997</c:v>
                </c:pt>
                <c:pt idx="95">
                  <c:v>97.3396169048343</c:v>
                </c:pt>
                <c:pt idx="96">
                  <c:v>98.3699107216894</c:v>
                </c:pt>
                <c:pt idx="97">
                  <c:v>98.4929102518035</c:v>
                </c:pt>
                <c:pt idx="98">
                  <c:v>98.5813593521104</c:v>
                </c:pt>
                <c:pt idx="99">
                  <c:v>97.6671549794079</c:v>
                </c:pt>
                <c:pt idx="100">
                  <c:v>96.0992564747506</c:v>
                </c:pt>
                <c:pt idx="101">
                  <c:v>96.350783603748</c:v>
                </c:pt>
                <c:pt idx="102">
                  <c:v>95.0779457696454</c:v>
                </c:pt>
                <c:pt idx="103">
                  <c:v>95.0779457696454</c:v>
                </c:pt>
                <c:pt idx="104">
                  <c:v>95.7288758672158</c:v>
                </c:pt>
                <c:pt idx="105">
                  <c:v>96.1082395865004</c:v>
                </c:pt>
                <c:pt idx="106">
                  <c:v>96.6209679648415</c:v>
                </c:pt>
                <c:pt idx="107">
                  <c:v>96.7674617872246</c:v>
                </c:pt>
                <c:pt idx="108">
                  <c:v>95.7509881422925</c:v>
                </c:pt>
                <c:pt idx="109">
                  <c:v>95.1967992481826</c:v>
                </c:pt>
                <c:pt idx="110">
                  <c:v>95.165703861356</c:v>
                </c:pt>
                <c:pt idx="111">
                  <c:v>97.0210619420105</c:v>
                </c:pt>
                <c:pt idx="112">
                  <c:v>94.0241576605213</c:v>
                </c:pt>
                <c:pt idx="113">
                  <c:v>94.0987865889052</c:v>
                </c:pt>
                <c:pt idx="114">
                  <c:v>93.8693717349844</c:v>
                </c:pt>
                <c:pt idx="115">
                  <c:v>92.2835070068272</c:v>
                </c:pt>
                <c:pt idx="116">
                  <c:v>92.5861687719395</c:v>
                </c:pt>
                <c:pt idx="117">
                  <c:v>93.8044169269466</c:v>
                </c:pt>
                <c:pt idx="118">
                  <c:v>93.9868431963294</c:v>
                </c:pt>
                <c:pt idx="119">
                  <c:v>93.350424279278</c:v>
                </c:pt>
                <c:pt idx="120">
                  <c:v>92.4438210011332</c:v>
                </c:pt>
                <c:pt idx="121">
                  <c:v>92.790707316399</c:v>
                </c:pt>
                <c:pt idx="122">
                  <c:v>91.0700959119931</c:v>
                </c:pt>
                <c:pt idx="123">
                  <c:v>91.0749329721662</c:v>
                </c:pt>
                <c:pt idx="124">
                  <c:v>90.8185687829957</c:v>
                </c:pt>
                <c:pt idx="125">
                  <c:v>91.3492633848365</c:v>
                </c:pt>
                <c:pt idx="126">
                  <c:v>88.6667680145941</c:v>
                </c:pt>
                <c:pt idx="127">
                  <c:v>88.337156914232</c:v>
                </c:pt>
                <c:pt idx="128">
                  <c:v>88.4491003068078</c:v>
                </c:pt>
                <c:pt idx="129">
                  <c:v>88.788385527516</c:v>
                </c:pt>
                <c:pt idx="130">
                  <c:v>87.1721164211283</c:v>
                </c:pt>
                <c:pt idx="131">
                  <c:v>87.2674756073966</c:v>
                </c:pt>
                <c:pt idx="132">
                  <c:v>87.2674756073966</c:v>
                </c:pt>
                <c:pt idx="133">
                  <c:v>86.5356975040769</c:v>
                </c:pt>
                <c:pt idx="134">
                  <c:v>88.0130738826391</c:v>
                </c:pt>
                <c:pt idx="135">
                  <c:v>86.0084579452168</c:v>
                </c:pt>
                <c:pt idx="136">
                  <c:v>86.6103264324608</c:v>
                </c:pt>
                <c:pt idx="137">
                  <c:v>85.6498244838166</c:v>
                </c:pt>
                <c:pt idx="138">
                  <c:v>84.8765858647282</c:v>
                </c:pt>
                <c:pt idx="139">
                  <c:v>83.9513253544874</c:v>
                </c:pt>
                <c:pt idx="140">
                  <c:v>86.0554465297548</c:v>
                </c:pt>
                <c:pt idx="141">
                  <c:v>87.0885043809945</c:v>
                </c:pt>
                <c:pt idx="142">
                  <c:v>87.1140716990519</c:v>
                </c:pt>
                <c:pt idx="143">
                  <c:v>87.0670831145139</c:v>
                </c:pt>
                <c:pt idx="144">
                  <c:v>88.2417977279637</c:v>
                </c:pt>
                <c:pt idx="145">
                  <c:v>88.5997401807678</c:v>
                </c:pt>
                <c:pt idx="146">
                  <c:v>86.5515907017883</c:v>
                </c:pt>
                <c:pt idx="147">
                  <c:v>86.912297188977</c:v>
                </c:pt>
                <c:pt idx="148">
                  <c:v>85.2960280825893</c:v>
                </c:pt>
                <c:pt idx="149">
                  <c:v>87.2875148566848</c:v>
                </c:pt>
                <c:pt idx="150">
                  <c:v>88.7434699687664</c:v>
                </c:pt>
                <c:pt idx="151">
                  <c:v>87.5770474584704</c:v>
                </c:pt>
                <c:pt idx="152">
                  <c:v>87.0885043809945</c:v>
                </c:pt>
                <c:pt idx="153">
                  <c:v>86.3076646673485</c:v>
                </c:pt>
                <c:pt idx="154">
                  <c:v>88.7863125017275</c:v>
                </c:pt>
                <c:pt idx="155">
                  <c:v>89.0834461980707</c:v>
                </c:pt>
                <c:pt idx="156">
                  <c:v>87.485834323779</c:v>
                </c:pt>
                <c:pt idx="157">
                  <c:v>89.5761353271235</c:v>
                </c:pt>
                <c:pt idx="158">
                  <c:v>90.1980430636557</c:v>
                </c:pt>
                <c:pt idx="159">
                  <c:v>89.1117775505127</c:v>
                </c:pt>
                <c:pt idx="160">
                  <c:v>88.8512673097653</c:v>
                </c:pt>
                <c:pt idx="161">
                  <c:v>89.3425744216258</c:v>
                </c:pt>
                <c:pt idx="162">
                  <c:v>89.7060449431991</c:v>
                </c:pt>
                <c:pt idx="163">
                  <c:v>88.3523591033472</c:v>
                </c:pt>
                <c:pt idx="164">
                  <c:v>87.5286768567401</c:v>
                </c:pt>
                <c:pt idx="165">
                  <c:v>88.0718096133116</c:v>
                </c:pt>
                <c:pt idx="166">
                  <c:v>88.2915503468863</c:v>
                </c:pt>
                <c:pt idx="167">
                  <c:v>89.2914397855109</c:v>
                </c:pt>
                <c:pt idx="168">
                  <c:v>87.5397329942784</c:v>
                </c:pt>
                <c:pt idx="169">
                  <c:v>87.8624340086791</c:v>
                </c:pt>
                <c:pt idx="170">
                  <c:v>88.5638077337682</c:v>
                </c:pt>
                <c:pt idx="171">
                  <c:v>89.8781060836397</c:v>
                </c:pt>
                <c:pt idx="172">
                  <c:v>88.6439647309213</c:v>
                </c:pt>
                <c:pt idx="173">
                  <c:v>88.6439647309213</c:v>
                </c:pt>
                <c:pt idx="174">
                  <c:v>88.2811852179441</c:v>
                </c:pt>
                <c:pt idx="175">
                  <c:v>88.1022139915421</c:v>
                </c:pt>
                <c:pt idx="176">
                  <c:v>85.4653251886453</c:v>
                </c:pt>
                <c:pt idx="177">
                  <c:v>85.84468890793</c:v>
                </c:pt>
                <c:pt idx="178">
                  <c:v>87.6053788109124</c:v>
                </c:pt>
                <c:pt idx="179">
                  <c:v>84.6146936067885</c:v>
                </c:pt>
                <c:pt idx="180">
                  <c:v>85.1350230796871</c:v>
                </c:pt>
                <c:pt idx="181">
                  <c:v>86.3104287017331</c:v>
                </c:pt>
                <c:pt idx="182">
                  <c:v>86.4928549711158</c:v>
                </c:pt>
                <c:pt idx="183">
                  <c:v>82.4159042538489</c:v>
                </c:pt>
                <c:pt idx="184">
                  <c:v>83.8608032283922</c:v>
                </c:pt>
                <c:pt idx="185">
                  <c:v>79.9075430498355</c:v>
                </c:pt>
                <c:pt idx="186">
                  <c:v>83.370878133724</c:v>
                </c:pt>
                <c:pt idx="187">
                  <c:v>86.7264158766135</c:v>
                </c:pt>
                <c:pt idx="188">
                  <c:v>83.4109566323005</c:v>
                </c:pt>
                <c:pt idx="189">
                  <c:v>82.1070234113712</c:v>
                </c:pt>
                <c:pt idx="190">
                  <c:v>81.9446363912767</c:v>
                </c:pt>
                <c:pt idx="191">
                  <c:v>83.5553774288952</c:v>
                </c:pt>
                <c:pt idx="192">
                  <c:v>83.8379999447193</c:v>
                </c:pt>
                <c:pt idx="193">
                  <c:v>76.4545730948893</c:v>
                </c:pt>
                <c:pt idx="194">
                  <c:v>80.4845352276182</c:v>
                </c:pt>
                <c:pt idx="195">
                  <c:v>80.2302440642362</c:v>
                </c:pt>
                <c:pt idx="196">
                  <c:v>76.9977058514608</c:v>
                </c:pt>
                <c:pt idx="197">
                  <c:v>75.9577379142597</c:v>
                </c:pt>
                <c:pt idx="198">
                  <c:v>73.0320075181735</c:v>
                </c:pt>
                <c:pt idx="199">
                  <c:v>68.8403493739462</c:v>
                </c:pt>
                <c:pt idx="200">
                  <c:v>68.0602006688963</c:v>
                </c:pt>
                <c:pt idx="201">
                  <c:v>62.876254180602</c:v>
                </c:pt>
                <c:pt idx="202">
                  <c:v>62.1368749827248</c:v>
                </c:pt>
                <c:pt idx="203">
                  <c:v>69.3323474944028</c:v>
                </c:pt>
                <c:pt idx="204">
                  <c:v>68.9633489040604</c:v>
                </c:pt>
                <c:pt idx="205">
                  <c:v>62.7325243926034</c:v>
                </c:pt>
                <c:pt idx="206">
                  <c:v>65.3991265651345</c:v>
                </c:pt>
                <c:pt idx="207">
                  <c:v>64.9928135106001</c:v>
                </c:pt>
                <c:pt idx="208">
                  <c:v>68.0919870643191</c:v>
                </c:pt>
                <c:pt idx="209">
                  <c:v>65.9947759750131</c:v>
                </c:pt>
                <c:pt idx="210">
                  <c:v>61.9682688852649</c:v>
                </c:pt>
                <c:pt idx="211">
                  <c:v>62.7511816246994</c:v>
                </c:pt>
                <c:pt idx="212">
                  <c:v>60.5855606843749</c:v>
                </c:pt>
                <c:pt idx="213">
                  <c:v>58.6611017441057</c:v>
                </c:pt>
                <c:pt idx="214">
                  <c:v>64.9900494762155</c:v>
                </c:pt>
                <c:pt idx="215">
                  <c:v>64.2700185190304</c:v>
                </c:pt>
                <c:pt idx="216">
                  <c:v>65.928439149783</c:v>
                </c:pt>
                <c:pt idx="217">
                  <c:v>66.9414577517344</c:v>
                </c:pt>
                <c:pt idx="218">
                  <c:v>66.7721606456784</c:v>
                </c:pt>
                <c:pt idx="219">
                  <c:v>69.4981895574781</c:v>
                </c:pt>
                <c:pt idx="220">
                  <c:v>65.8372260150916</c:v>
                </c:pt>
                <c:pt idx="221">
                  <c:v>62.5279858481439</c:v>
                </c:pt>
                <c:pt idx="222">
                  <c:v>64.3322092926836</c:v>
                </c:pt>
                <c:pt idx="223">
                  <c:v>63.5182011664225</c:v>
                </c:pt>
                <c:pt idx="224">
                  <c:v>62.1182177506288</c:v>
                </c:pt>
                <c:pt idx="225">
                  <c:v>58.8946626496034</c:v>
                </c:pt>
                <c:pt idx="226">
                  <c:v>62.9709223582741</c:v>
                </c:pt>
                <c:pt idx="227">
                  <c:v>60.3450896929158</c:v>
                </c:pt>
                <c:pt idx="228">
                  <c:v>58.7875563172006</c:v>
                </c:pt>
                <c:pt idx="229">
                  <c:v>59.3659305121756</c:v>
                </c:pt>
                <c:pt idx="230">
                  <c:v>55.7353713480196</c:v>
                </c:pt>
                <c:pt idx="231">
                  <c:v>51.9942508084801</c:v>
                </c:pt>
                <c:pt idx="232">
                  <c:v>55.2827607175433</c:v>
                </c:pt>
                <c:pt idx="233">
                  <c:v>58.8608032283922</c:v>
                </c:pt>
                <c:pt idx="234">
                  <c:v>59.2463860250422</c:v>
                </c:pt>
                <c:pt idx="235">
                  <c:v>61.3394510627712</c:v>
                </c:pt>
                <c:pt idx="236">
                  <c:v>61.3394510627712</c:v>
                </c:pt>
                <c:pt idx="237">
                  <c:v>61.930954421073</c:v>
                </c:pt>
                <c:pt idx="238">
                  <c:v>56.4008126261091</c:v>
                </c:pt>
                <c:pt idx="239">
                  <c:v>58.6535006495481</c:v>
                </c:pt>
                <c:pt idx="240">
                  <c:v>60.1688825008983</c:v>
                </c:pt>
                <c:pt idx="241">
                  <c:v>58.4054285635313</c:v>
                </c:pt>
                <c:pt idx="242">
                  <c:v>60.5371900826446</c:v>
                </c:pt>
                <c:pt idx="243">
                  <c:v>62.8610519914868</c:v>
                </c:pt>
                <c:pt idx="244">
                  <c:v>61.4078609137898</c:v>
                </c:pt>
                <c:pt idx="245">
                  <c:v>62.1382569999171</c:v>
                </c:pt>
                <c:pt idx="246">
                  <c:v>60.3658199508002</c:v>
                </c:pt>
                <c:pt idx="247">
                  <c:v>60.7900992288344</c:v>
                </c:pt>
                <c:pt idx="248">
                  <c:v>60.0189336355344</c:v>
                </c:pt>
                <c:pt idx="249">
                  <c:v>63.1015229829459</c:v>
                </c:pt>
                <c:pt idx="250">
                  <c:v>62.4961994527212</c:v>
                </c:pt>
                <c:pt idx="251">
                  <c:v>61.173608999696</c:v>
                </c:pt>
                <c:pt idx="252">
                  <c:v>61.3532712346942</c:v>
                </c:pt>
                <c:pt idx="253">
                  <c:v>60.2303822659554</c:v>
                </c:pt>
                <c:pt idx="254">
                  <c:v>59.6450979850189</c:v>
                </c:pt>
                <c:pt idx="255">
                  <c:v>59.7736255839023</c:v>
                </c:pt>
                <c:pt idx="256">
                  <c:v>60.3112302717046</c:v>
                </c:pt>
                <c:pt idx="257">
                  <c:v>60.0776693662069</c:v>
                </c:pt>
                <c:pt idx="258">
                  <c:v>61.5439896072307</c:v>
                </c:pt>
                <c:pt idx="259">
                  <c:v>62.415351446972</c:v>
                </c:pt>
                <c:pt idx="260">
                  <c:v>64.3881809889715</c:v>
                </c:pt>
                <c:pt idx="261">
                  <c:v>64.0875922496476</c:v>
                </c:pt>
                <c:pt idx="262">
                  <c:v>64.5885734818541</c:v>
                </c:pt>
                <c:pt idx="263">
                  <c:v>62.650294369662</c:v>
                </c:pt>
                <c:pt idx="264">
                  <c:v>62.8631250172752</c:v>
                </c:pt>
                <c:pt idx="265">
                  <c:v>61.5239503579424</c:v>
                </c:pt>
                <c:pt idx="266">
                  <c:v>60.1357140882833</c:v>
                </c:pt>
                <c:pt idx="267">
                  <c:v>60.2414384034937</c:v>
                </c:pt>
                <c:pt idx="268">
                  <c:v>58.2257663285331</c:v>
                </c:pt>
                <c:pt idx="269">
                  <c:v>58.3031592913016</c:v>
                </c:pt>
                <c:pt idx="270">
                  <c:v>58.7440227756433</c:v>
                </c:pt>
                <c:pt idx="271">
                  <c:v>58.7440227756433</c:v>
                </c:pt>
                <c:pt idx="272">
                  <c:v>55.6413941789436</c:v>
                </c:pt>
                <c:pt idx="273">
                  <c:v>58.0613062826502</c:v>
                </c:pt>
                <c:pt idx="274">
                  <c:v>57.180961331159</c:v>
                </c:pt>
                <c:pt idx="275">
                  <c:v>57.4884601564443</c:v>
                </c:pt>
                <c:pt idx="276">
                  <c:v>57.8077061278642</c:v>
                </c:pt>
                <c:pt idx="277">
                  <c:v>58.4392879847425</c:v>
                </c:pt>
                <c:pt idx="278">
                  <c:v>60.4003703806075</c:v>
                </c:pt>
                <c:pt idx="279">
                  <c:v>58.3999004947622</c:v>
                </c:pt>
                <c:pt idx="280">
                  <c:v>57.0690179385832</c:v>
                </c:pt>
                <c:pt idx="281">
                  <c:v>57.0386135603527</c:v>
                </c:pt>
                <c:pt idx="282">
                  <c:v>57.9417617955167</c:v>
                </c:pt>
                <c:pt idx="283">
                  <c:v>57.5078083971365</c:v>
                </c:pt>
                <c:pt idx="284">
                  <c:v>58.4489621050886</c:v>
                </c:pt>
                <c:pt idx="285">
                  <c:v>60.0210066613229</c:v>
                </c:pt>
                <c:pt idx="286">
                  <c:v>60.1101467702258</c:v>
                </c:pt>
                <c:pt idx="287">
                  <c:v>57.15746703889</c:v>
                </c:pt>
                <c:pt idx="288">
                  <c:v>57.6121506951546</c:v>
                </c:pt>
                <c:pt idx="289">
                  <c:v>57.712346941596</c:v>
                </c:pt>
                <c:pt idx="290">
                  <c:v>57.1353547638133</c:v>
                </c:pt>
                <c:pt idx="291">
                  <c:v>57.1353547638133</c:v>
                </c:pt>
                <c:pt idx="292">
                  <c:v>54.5323253821278</c:v>
                </c:pt>
                <c:pt idx="293">
                  <c:v>54.4804997374167</c:v>
                </c:pt>
                <c:pt idx="294">
                  <c:v>53.8254235882694</c:v>
                </c:pt>
                <c:pt idx="295">
                  <c:v>53.2111169462948</c:v>
                </c:pt>
                <c:pt idx="296">
                  <c:v>51.3647419773902</c:v>
                </c:pt>
                <c:pt idx="297">
                  <c:v>53.4246386025042</c:v>
                </c:pt>
                <c:pt idx="298">
                  <c:v>52.8552475192791</c:v>
                </c:pt>
                <c:pt idx="299">
                  <c:v>52.0212001437298</c:v>
                </c:pt>
                <c:pt idx="300">
                  <c:v>50.7953508941651</c:v>
                </c:pt>
                <c:pt idx="301">
                  <c:v>48.4272644351696</c:v>
                </c:pt>
                <c:pt idx="302">
                  <c:v>48.1170015754996</c:v>
                </c:pt>
                <c:pt idx="303">
                  <c:v>49.2599297935266</c:v>
                </c:pt>
                <c:pt idx="304">
                  <c:v>47.1647917300091</c:v>
                </c:pt>
                <c:pt idx="305">
                  <c:v>47.2221454434893</c:v>
                </c:pt>
                <c:pt idx="306">
                  <c:v>46.7488045551287</c:v>
                </c:pt>
                <c:pt idx="307">
                  <c:v>49.7249785787335</c:v>
                </c:pt>
                <c:pt idx="308">
                  <c:v>49.8465960916554</c:v>
                </c:pt>
                <c:pt idx="309">
                  <c:v>51.8767793471351</c:v>
                </c:pt>
                <c:pt idx="310">
                  <c:v>52.2782553414965</c:v>
                </c:pt>
                <c:pt idx="311">
                  <c:v>52.0944470549214</c:v>
                </c:pt>
                <c:pt idx="312">
                  <c:v>53.7687608833854</c:v>
                </c:pt>
                <c:pt idx="313">
                  <c:v>54.8902678349319</c:v>
                </c:pt>
                <c:pt idx="314">
                  <c:v>54.1778379723044</c:v>
                </c:pt>
                <c:pt idx="315">
                  <c:v>53.1067746482766</c:v>
                </c:pt>
                <c:pt idx="316">
                  <c:v>56.8644793941237</c:v>
                </c:pt>
                <c:pt idx="317">
                  <c:v>55.7125680643467</c:v>
                </c:pt>
                <c:pt idx="318">
                  <c:v>56.2398076232068</c:v>
                </c:pt>
                <c:pt idx="319">
                  <c:v>57.5513419386937</c:v>
                </c:pt>
                <c:pt idx="320">
                  <c:v>56.3821553940131</c:v>
                </c:pt>
                <c:pt idx="321">
                  <c:v>54.4189999723597</c:v>
                </c:pt>
                <c:pt idx="322">
                  <c:v>55.1335028607756</c:v>
                </c:pt>
                <c:pt idx="323">
                  <c:v>56.0463252162857</c:v>
                </c:pt>
                <c:pt idx="324">
                  <c:v>57.656375245308</c:v>
                </c:pt>
                <c:pt idx="325">
                  <c:v>58.2174742253794</c:v>
                </c:pt>
                <c:pt idx="326">
                  <c:v>57.7323861908842</c:v>
                </c:pt>
                <c:pt idx="327">
                  <c:v>56.3552060587634</c:v>
                </c:pt>
                <c:pt idx="328">
                  <c:v>57.0192653196606</c:v>
                </c:pt>
                <c:pt idx="329">
                  <c:v>59.189032311562</c:v>
                </c:pt>
                <c:pt idx="330">
                  <c:v>59.189032311562</c:v>
                </c:pt>
                <c:pt idx="331">
                  <c:v>59.3389811769258</c:v>
                </c:pt>
                <c:pt idx="332">
                  <c:v>58.1483733657647</c:v>
                </c:pt>
                <c:pt idx="333">
                  <c:v>58.8780784432958</c:v>
                </c:pt>
                <c:pt idx="334">
                  <c:v>59.7929738245944</c:v>
                </c:pt>
                <c:pt idx="335">
                  <c:v>60.0901075209376</c:v>
                </c:pt>
                <c:pt idx="336">
                  <c:v>57.5188645346748</c:v>
                </c:pt>
                <c:pt idx="337">
                  <c:v>58.7412587412587</c:v>
                </c:pt>
                <c:pt idx="338">
                  <c:v>58.2900301279748</c:v>
                </c:pt>
                <c:pt idx="339">
                  <c:v>58.8684043229498</c:v>
                </c:pt>
                <c:pt idx="340">
                  <c:v>59.857237624036</c:v>
                </c:pt>
                <c:pt idx="341">
                  <c:v>59.2546781281959</c:v>
                </c:pt>
                <c:pt idx="342">
                  <c:v>59.0922911081014</c:v>
                </c:pt>
                <c:pt idx="343">
                  <c:v>60.3692749937809</c:v>
                </c:pt>
                <c:pt idx="344">
                  <c:v>60.3119212803007</c:v>
                </c:pt>
                <c:pt idx="345">
                  <c:v>60.6373863290859</c:v>
                </c:pt>
                <c:pt idx="346">
                  <c:v>62.6910638768346</c:v>
                </c:pt>
                <c:pt idx="347">
                  <c:v>62.4533569197601</c:v>
                </c:pt>
                <c:pt idx="348">
                  <c:v>63.5403134414992</c:v>
                </c:pt>
                <c:pt idx="349">
                  <c:v>62.7014290057768</c:v>
                </c:pt>
                <c:pt idx="350">
                  <c:v>64.2105917797617</c:v>
                </c:pt>
                <c:pt idx="351">
                  <c:v>62.829265596064</c:v>
                </c:pt>
                <c:pt idx="352">
                  <c:v>62.7677658310069</c:v>
                </c:pt>
                <c:pt idx="353">
                  <c:v>61.07963183062</c:v>
                </c:pt>
                <c:pt idx="354">
                  <c:v>61.7119046960944</c:v>
                </c:pt>
                <c:pt idx="355">
                  <c:v>61.0077669366207</c:v>
                </c:pt>
                <c:pt idx="356">
                  <c:v>62.8617430000829</c:v>
                </c:pt>
                <c:pt idx="357">
                  <c:v>62.7525636418917</c:v>
                </c:pt>
                <c:pt idx="358">
                  <c:v>62.4305536360872</c:v>
                </c:pt>
                <c:pt idx="359">
                  <c:v>61.3843666215208</c:v>
                </c:pt>
                <c:pt idx="360">
                  <c:v>61.2924624782332</c:v>
                </c:pt>
                <c:pt idx="361">
                  <c:v>61.2924624782332</c:v>
                </c:pt>
                <c:pt idx="362">
                  <c:v>62.904585533044</c:v>
                </c:pt>
                <c:pt idx="363">
                  <c:v>61.7112136874983</c:v>
                </c:pt>
                <c:pt idx="364">
                  <c:v>62.6627325243926</c:v>
                </c:pt>
                <c:pt idx="365">
                  <c:v>63.5133641062495</c:v>
                </c:pt>
                <c:pt idx="366">
                  <c:v>65.1531275049062</c:v>
                </c:pt>
                <c:pt idx="367">
                  <c:v>65.2823461123856</c:v>
                </c:pt>
                <c:pt idx="368">
                  <c:v>64.3854169545869</c:v>
                </c:pt>
                <c:pt idx="369">
                  <c:v>65.1247961524641</c:v>
                </c:pt>
                <c:pt idx="370">
                  <c:v>64.9610271151773</c:v>
                </c:pt>
                <c:pt idx="371">
                  <c:v>64.8953812985434</c:v>
                </c:pt>
                <c:pt idx="372">
                  <c:v>65.1227231266757</c:v>
                </c:pt>
                <c:pt idx="373">
                  <c:v>64.8960723071395</c:v>
                </c:pt>
                <c:pt idx="374">
                  <c:v>65.2927112413278</c:v>
                </c:pt>
                <c:pt idx="375">
                  <c:v>65.3839243760192</c:v>
                </c:pt>
                <c:pt idx="376">
                  <c:v>63.8298460432848</c:v>
                </c:pt>
                <c:pt idx="377">
                  <c:v>63.0179109428121</c:v>
                </c:pt>
                <c:pt idx="378">
                  <c:v>62.9308438596976</c:v>
                </c:pt>
                <c:pt idx="379">
                  <c:v>63.4601564443462</c:v>
                </c:pt>
                <c:pt idx="380">
                  <c:v>63.6577849028442</c:v>
                </c:pt>
                <c:pt idx="381">
                  <c:v>61.709831670306</c:v>
                </c:pt>
                <c:pt idx="382">
                  <c:v>61.8521794411122</c:v>
                </c:pt>
                <c:pt idx="383">
                  <c:v>62.2557284612621</c:v>
                </c:pt>
                <c:pt idx="384">
                  <c:v>63.5907570690179</c:v>
                </c:pt>
                <c:pt idx="385">
                  <c:v>63.496779899942</c:v>
                </c:pt>
                <c:pt idx="386">
                  <c:v>64.0723900605324</c:v>
                </c:pt>
                <c:pt idx="387">
                  <c:v>63.5258022609801</c:v>
                </c:pt>
                <c:pt idx="388">
                  <c:v>63.802896708035</c:v>
                </c:pt>
                <c:pt idx="389">
                  <c:v>61.9433925758036</c:v>
                </c:pt>
                <c:pt idx="390">
                  <c:v>61.9433925758036</c:v>
                </c:pt>
                <c:pt idx="391">
                  <c:v>62.1023245529174</c:v>
                </c:pt>
                <c:pt idx="392">
                  <c:v>60.8799303463335</c:v>
                </c:pt>
                <c:pt idx="393">
                  <c:v>60.7783520826999</c:v>
                </c:pt>
                <c:pt idx="394">
                  <c:v>60.9939467646977</c:v>
                </c:pt>
                <c:pt idx="395">
                  <c:v>60.7486387130656</c:v>
                </c:pt>
                <c:pt idx="396">
                  <c:v>62.2633295558197</c:v>
                </c:pt>
                <c:pt idx="397">
                  <c:v>62.5943226733741</c:v>
                </c:pt>
                <c:pt idx="398">
                  <c:v>64.4489897454324</c:v>
                </c:pt>
                <c:pt idx="399">
                  <c:v>65.0059426739269</c:v>
                </c:pt>
                <c:pt idx="400">
                  <c:v>64.9810663644656</c:v>
                </c:pt>
                <c:pt idx="401">
                  <c:v>65.7239006053235</c:v>
                </c:pt>
                <c:pt idx="402">
                  <c:v>65.9622985709942</c:v>
                </c:pt>
                <c:pt idx="403">
                  <c:v>65.9270571325907</c:v>
                </c:pt>
                <c:pt idx="404">
                  <c:v>67.4624782332292</c:v>
                </c:pt>
                <c:pt idx="405">
                  <c:v>67.6677077862849</c:v>
                </c:pt>
                <c:pt idx="406">
                  <c:v>67.8694822963598</c:v>
                </c:pt>
                <c:pt idx="407">
                  <c:v>67.6925840957461</c:v>
                </c:pt>
                <c:pt idx="408">
                  <c:v>67.3837032532685</c:v>
                </c:pt>
                <c:pt idx="409">
                  <c:v>68.1852732247989</c:v>
                </c:pt>
                <c:pt idx="410">
                  <c:v>68.2357168523176</c:v>
                </c:pt>
                <c:pt idx="411">
                  <c:v>69.2825948754802</c:v>
                </c:pt>
                <c:pt idx="412">
                  <c:v>69.4912794715166</c:v>
                </c:pt>
                <c:pt idx="413">
                  <c:v>69.2888139528456</c:v>
                </c:pt>
                <c:pt idx="414">
                  <c:v>68.8990851046187</c:v>
                </c:pt>
                <c:pt idx="415">
                  <c:v>69.8250366234556</c:v>
                </c:pt>
                <c:pt idx="416">
                  <c:v>69.5914757179579</c:v>
                </c:pt>
                <c:pt idx="417">
                  <c:v>69.5914757179579</c:v>
                </c:pt>
                <c:pt idx="418">
                  <c:v>69.502335609055</c:v>
                </c:pt>
                <c:pt idx="419">
                  <c:v>69.9805135575887</c:v>
                </c:pt>
                <c:pt idx="420">
                  <c:v>69.3834821305177</c:v>
                </c:pt>
                <c:pt idx="421">
                  <c:v>67.7001851903038</c:v>
                </c:pt>
                <c:pt idx="422">
                  <c:v>68.3870477348738</c:v>
                </c:pt>
                <c:pt idx="423">
                  <c:v>68.8562425716576</c:v>
                </c:pt>
                <c:pt idx="424">
                  <c:v>69.6101329500539</c:v>
                </c:pt>
                <c:pt idx="425">
                  <c:v>70.9064650764256</c:v>
                </c:pt>
                <c:pt idx="426">
                  <c:v>70.8670775864452</c:v>
                </c:pt>
                <c:pt idx="427">
                  <c:v>71.035683683905</c:v>
                </c:pt>
                <c:pt idx="428">
                  <c:v>71.0439757870588</c:v>
                </c:pt>
                <c:pt idx="429">
                  <c:v>71.2416042455568</c:v>
                </c:pt>
                <c:pt idx="430">
                  <c:v>71.0999474833467</c:v>
                </c:pt>
                <c:pt idx="431">
                  <c:v>70.5257193399486</c:v>
                </c:pt>
                <c:pt idx="432">
                  <c:v>68.9654219298488</c:v>
                </c:pt>
                <c:pt idx="433">
                  <c:v>68.7380801017165</c:v>
                </c:pt>
                <c:pt idx="434">
                  <c:v>69.3247463998452</c:v>
                </c:pt>
                <c:pt idx="435">
                  <c:v>70.2341137123746</c:v>
                </c:pt>
                <c:pt idx="436">
                  <c:v>70.2341137123746</c:v>
                </c:pt>
                <c:pt idx="437">
                  <c:v>70.8553304403107</c:v>
                </c:pt>
                <c:pt idx="438">
                  <c:v>71.4067553000359</c:v>
                </c:pt>
                <c:pt idx="439">
                  <c:v>72.1509715580862</c:v>
                </c:pt>
                <c:pt idx="440">
                  <c:v>72.0535393460295</c:v>
                </c:pt>
                <c:pt idx="441">
                  <c:v>72.5102960280826</c:v>
                </c:pt>
                <c:pt idx="442">
                  <c:v>72.7376378562149</c:v>
                </c:pt>
                <c:pt idx="443">
                  <c:v>73.8522347217999</c:v>
                </c:pt>
                <c:pt idx="444">
                  <c:v>73.6262749108599</c:v>
                </c:pt>
                <c:pt idx="445">
                  <c:v>73.8204483263772</c:v>
                </c:pt>
                <c:pt idx="446">
                  <c:v>73.5689211973797</c:v>
                </c:pt>
                <c:pt idx="447">
                  <c:v>74.0526272146826</c:v>
                </c:pt>
                <c:pt idx="448">
                  <c:v>73.30702893944</c:v>
                </c:pt>
                <c:pt idx="449">
                  <c:v>72.6098012659277</c:v>
                </c:pt>
                <c:pt idx="450">
                  <c:v>72.1675557643937</c:v>
                </c:pt>
                <c:pt idx="451">
                  <c:v>73.452831753227</c:v>
                </c:pt>
                <c:pt idx="452">
                  <c:v>73.2890627159402</c:v>
                </c:pt>
                <c:pt idx="453">
                  <c:v>73.0444456729042</c:v>
                </c:pt>
                <c:pt idx="454">
                  <c:v>71.1635202741922</c:v>
                </c:pt>
                <c:pt idx="455">
                  <c:v>70.84289228558</c:v>
                </c:pt>
                <c:pt idx="456">
                  <c:v>71.8966803947041</c:v>
                </c:pt>
                <c:pt idx="457">
                  <c:v>72.8820586528096</c:v>
                </c:pt>
                <c:pt idx="458">
                  <c:v>73.0789961027115</c:v>
                </c:pt>
                <c:pt idx="459">
                  <c:v>73.6255839022637</c:v>
                </c:pt>
                <c:pt idx="460">
                  <c:v>74.040880068548</c:v>
                </c:pt>
                <c:pt idx="461">
                  <c:v>74.364963100141</c:v>
                </c:pt>
                <c:pt idx="462">
                  <c:v>74.1576605212969</c:v>
                </c:pt>
                <c:pt idx="463">
                  <c:v>75.4595207164377</c:v>
                </c:pt>
                <c:pt idx="464">
                  <c:v>75.7732386190884</c:v>
                </c:pt>
                <c:pt idx="465">
                  <c:v>75.1596229857099</c:v>
                </c:pt>
                <c:pt idx="466">
                  <c:v>75.8665247795683</c:v>
                </c:pt>
                <c:pt idx="467">
                  <c:v>75.3931838912076</c:v>
                </c:pt>
                <c:pt idx="468">
                  <c:v>74.7256695873297</c:v>
                </c:pt>
                <c:pt idx="469">
                  <c:v>75.5210204814948</c:v>
                </c:pt>
                <c:pt idx="470">
                  <c:v>74.6012880400232</c:v>
                </c:pt>
                <c:pt idx="471">
                  <c:v>73.7264711573012</c:v>
                </c:pt>
                <c:pt idx="472">
                  <c:v>73.4825451228613</c:v>
                </c:pt>
                <c:pt idx="473">
                  <c:v>72.046629260068</c:v>
                </c:pt>
                <c:pt idx="474">
                  <c:v>73.669117443821</c:v>
                </c:pt>
                <c:pt idx="475">
                  <c:v>71.6009287155532</c:v>
                </c:pt>
                <c:pt idx="476">
                  <c:v>72.0639044749717</c:v>
                </c:pt>
                <c:pt idx="477">
                  <c:v>72.2387296497969</c:v>
                </c:pt>
                <c:pt idx="478">
                  <c:v>72.3140495867769</c:v>
                </c:pt>
                <c:pt idx="479">
                  <c:v>73.7050498908206</c:v>
                </c:pt>
                <c:pt idx="480">
                  <c:v>73.8895491859919</c:v>
                </c:pt>
                <c:pt idx="481">
                  <c:v>75.5320766190331</c:v>
                </c:pt>
                <c:pt idx="482">
                  <c:v>75.5279305674563</c:v>
                </c:pt>
                <c:pt idx="483">
                  <c:v>75.9079852953371</c:v>
                </c:pt>
                <c:pt idx="484">
                  <c:v>75.1292186074795</c:v>
                </c:pt>
                <c:pt idx="485">
                  <c:v>75.5604079714752</c:v>
                </c:pt>
                <c:pt idx="486">
                  <c:v>76.6535835705796</c:v>
                </c:pt>
                <c:pt idx="487">
                  <c:v>76.7233754387905</c:v>
                </c:pt>
                <c:pt idx="488">
                  <c:v>76.688134000387</c:v>
                </c:pt>
                <c:pt idx="489">
                  <c:v>75.658531192128</c:v>
                </c:pt>
                <c:pt idx="490">
                  <c:v>75.4152961662843</c:v>
                </c:pt>
                <c:pt idx="491">
                  <c:v>76.4421349401587</c:v>
                </c:pt>
                <c:pt idx="492">
                  <c:v>76.401365432986</c:v>
                </c:pt>
                <c:pt idx="493">
                  <c:v>76.7454877138672</c:v>
                </c:pt>
                <c:pt idx="494">
                  <c:v>76.7454877138672</c:v>
                </c:pt>
                <c:pt idx="495">
                  <c:v>75.4228972608419</c:v>
                </c:pt>
                <c:pt idx="496">
                  <c:v>75.7089748196468</c:v>
                </c:pt>
                <c:pt idx="497">
                  <c:v>76.6231791923491</c:v>
                </c:pt>
                <c:pt idx="498">
                  <c:v>76.6494375190027</c:v>
                </c:pt>
                <c:pt idx="499">
                  <c:v>76.0054175073938</c:v>
                </c:pt>
                <c:pt idx="500">
                  <c:v>76.4241687166588</c:v>
                </c:pt>
                <c:pt idx="501">
                  <c:v>76.2355233699107</c:v>
                </c:pt>
                <c:pt idx="502">
                  <c:v>75.4533016390724</c:v>
                </c:pt>
                <c:pt idx="503">
                  <c:v>75.7303960861273</c:v>
                </c:pt>
                <c:pt idx="504">
                  <c:v>76.1733325962575</c:v>
                </c:pt>
                <c:pt idx="505">
                  <c:v>76.4538820862932</c:v>
                </c:pt>
                <c:pt idx="506">
                  <c:v>76.9859587053263</c:v>
                </c:pt>
                <c:pt idx="507">
                  <c:v>76.5589153929075</c:v>
                </c:pt>
                <c:pt idx="508">
                  <c:v>76.6452914674259</c:v>
                </c:pt>
                <c:pt idx="509">
                  <c:v>75.7393791978772</c:v>
                </c:pt>
                <c:pt idx="510">
                  <c:v>76.1816246994113</c:v>
                </c:pt>
                <c:pt idx="511">
                  <c:v>76.9818126537494</c:v>
                </c:pt>
                <c:pt idx="512">
                  <c:v>77.2561430664197</c:v>
                </c:pt>
                <c:pt idx="513">
                  <c:v>77.4337322756295</c:v>
                </c:pt>
                <c:pt idx="514">
                  <c:v>77.8407363387601</c:v>
                </c:pt>
                <c:pt idx="515">
                  <c:v>77.9305674562592</c:v>
                </c:pt>
                <c:pt idx="516">
                  <c:v>77.8206970894718</c:v>
                </c:pt>
                <c:pt idx="517">
                  <c:v>77.8365902871832</c:v>
                </c:pt>
                <c:pt idx="518">
                  <c:v>77.0543685563448</c:v>
                </c:pt>
                <c:pt idx="519">
                  <c:v>78.2905829348517</c:v>
                </c:pt>
                <c:pt idx="520">
                  <c:v>78.5345089692916</c:v>
                </c:pt>
                <c:pt idx="521">
                  <c:v>78.5773515022527</c:v>
                </c:pt>
                <c:pt idx="522">
                  <c:v>78.8910694049034</c:v>
                </c:pt>
                <c:pt idx="523">
                  <c:v>79.1191022416319</c:v>
                </c:pt>
                <c:pt idx="524">
                  <c:v>79.2573039608613</c:v>
                </c:pt>
                <c:pt idx="525">
                  <c:v>78.5137787114072</c:v>
                </c:pt>
                <c:pt idx="526">
                  <c:v>79.1674728433622</c:v>
                </c:pt>
                <c:pt idx="527">
                  <c:v>79.359573233091</c:v>
                </c:pt>
                <c:pt idx="528">
                  <c:v>78.5006495480804</c:v>
                </c:pt>
                <c:pt idx="529">
                  <c:v>78.5006495480804</c:v>
                </c:pt>
                <c:pt idx="530">
                  <c:v>79.481881754609</c:v>
                </c:pt>
                <c:pt idx="531">
                  <c:v>78.6395422759059</c:v>
                </c:pt>
                <c:pt idx="532">
                  <c:v>77.1497277426131</c:v>
                </c:pt>
                <c:pt idx="533">
                  <c:v>75.4415544929379</c:v>
                </c:pt>
                <c:pt idx="534">
                  <c:v>75.7884408082037</c:v>
                </c:pt>
                <c:pt idx="535">
                  <c:v>75.4698858453799</c:v>
                </c:pt>
                <c:pt idx="536">
                  <c:v>75.8381934271262</c:v>
                </c:pt>
                <c:pt idx="537">
                  <c:v>74.9419552779237</c:v>
                </c:pt>
                <c:pt idx="538">
                  <c:v>74.205340114431</c:v>
                </c:pt>
                <c:pt idx="539">
                  <c:v>75.263274275132</c:v>
                </c:pt>
                <c:pt idx="540">
                  <c:v>76.2396694214876</c:v>
                </c:pt>
                <c:pt idx="541">
                  <c:v>75.822991238011</c:v>
                </c:pt>
                <c:pt idx="542">
                  <c:v>73.4618148649769</c:v>
                </c:pt>
                <c:pt idx="543">
                  <c:v>73.673954503994</c:v>
                </c:pt>
                <c:pt idx="544">
                  <c:v>73.0216423892313</c:v>
                </c:pt>
                <c:pt idx="545">
                  <c:v>73.9738522347218</c:v>
                </c:pt>
                <c:pt idx="546">
                  <c:v>73.8087011802427</c:v>
                </c:pt>
                <c:pt idx="547">
                  <c:v>74.5232040686586</c:v>
                </c:pt>
                <c:pt idx="548">
                  <c:v>74.3186655241991</c:v>
                </c:pt>
                <c:pt idx="549">
                  <c:v>75.6564581663396</c:v>
                </c:pt>
                <c:pt idx="550">
                  <c:v>75.9770861549518</c:v>
                </c:pt>
                <c:pt idx="551">
                  <c:v>76.4773763785621</c:v>
                </c:pt>
                <c:pt idx="552">
                  <c:v>76.6446004588297</c:v>
                </c:pt>
                <c:pt idx="553">
                  <c:v>76.5644434616767</c:v>
                </c:pt>
                <c:pt idx="554">
                  <c:v>75.6378009342436</c:v>
                </c:pt>
                <c:pt idx="555">
                  <c:v>76.373034080544</c:v>
                </c:pt>
                <c:pt idx="556">
                  <c:v>76.213411094834</c:v>
                </c:pt>
                <c:pt idx="557">
                  <c:v>76.3212084358329</c:v>
                </c:pt>
                <c:pt idx="558">
                  <c:v>77.0965200807098</c:v>
                </c:pt>
                <c:pt idx="559">
                  <c:v>77.276182315708</c:v>
                </c:pt>
                <c:pt idx="560">
                  <c:v>77.3093507283231</c:v>
                </c:pt>
                <c:pt idx="561">
                  <c:v>77.5981923215125</c:v>
                </c:pt>
                <c:pt idx="562">
                  <c:v>78.6844578346555</c:v>
                </c:pt>
                <c:pt idx="563">
                  <c:v>78.6713286713287</c:v>
                </c:pt>
                <c:pt idx="564">
                  <c:v>78.8053843389812</c:v>
                </c:pt>
                <c:pt idx="565">
                  <c:v>79.1626357831891</c:v>
                </c:pt>
                <c:pt idx="566">
                  <c:v>79.4825727632052</c:v>
                </c:pt>
                <c:pt idx="567">
                  <c:v>79.4652975483015</c:v>
                </c:pt>
                <c:pt idx="568">
                  <c:v>79.5012299953011</c:v>
                </c:pt>
                <c:pt idx="569">
                  <c:v>80.1196826888527</c:v>
                </c:pt>
                <c:pt idx="570">
                  <c:v>80.5861134912518</c:v>
                </c:pt>
                <c:pt idx="571">
                  <c:v>80.5591641560021</c:v>
                </c:pt>
                <c:pt idx="572">
                  <c:v>80.1500870670831</c:v>
                </c:pt>
                <c:pt idx="573">
                  <c:v>80.5584731474059</c:v>
                </c:pt>
                <c:pt idx="574">
                  <c:v>81.1361563337848</c:v>
                </c:pt>
                <c:pt idx="575">
                  <c:v>80.69045578927</c:v>
                </c:pt>
                <c:pt idx="576">
                  <c:v>80.5529450786368</c:v>
                </c:pt>
                <c:pt idx="577">
                  <c:v>80.6123718179054</c:v>
                </c:pt>
                <c:pt idx="578">
                  <c:v>81.0705105171508</c:v>
                </c:pt>
                <c:pt idx="579">
                  <c:v>81.0739655601316</c:v>
                </c:pt>
                <c:pt idx="580">
                  <c:v>80.8086182592112</c:v>
                </c:pt>
                <c:pt idx="581">
                  <c:v>81.4077227120705</c:v>
                </c:pt>
                <c:pt idx="582">
                  <c:v>81.4077227120705</c:v>
                </c:pt>
                <c:pt idx="583">
                  <c:v>82.0524337322756</c:v>
                </c:pt>
                <c:pt idx="584">
                  <c:v>82.190635451505</c:v>
                </c:pt>
                <c:pt idx="585">
                  <c:v>81.7076204427983</c:v>
                </c:pt>
                <c:pt idx="586">
                  <c:v>81.9833328726609</c:v>
                </c:pt>
                <c:pt idx="587">
                  <c:v>82.5319936980016</c:v>
                </c:pt>
                <c:pt idx="588">
                  <c:v>82.6777965117886</c:v>
                </c:pt>
                <c:pt idx="589">
                  <c:v>82.7344592166726</c:v>
                </c:pt>
                <c:pt idx="590">
                  <c:v>83.6569556925288</c:v>
                </c:pt>
                <c:pt idx="591">
                  <c:v>83.7274385693358</c:v>
                </c:pt>
                <c:pt idx="592">
                  <c:v>82.3772077724647</c:v>
                </c:pt>
                <c:pt idx="593">
                  <c:v>82.7496614057879</c:v>
                </c:pt>
                <c:pt idx="594">
                  <c:v>83.4164847010697</c:v>
                </c:pt>
                <c:pt idx="595">
                  <c:v>83.3307996351475</c:v>
                </c:pt>
                <c:pt idx="596">
                  <c:v>83.5201359904917</c:v>
                </c:pt>
                <c:pt idx="597">
                  <c:v>84.1150943917742</c:v>
                </c:pt>
                <c:pt idx="598">
                  <c:v>83.7536968959894</c:v>
                </c:pt>
                <c:pt idx="599">
                  <c:v>81.795378534509</c:v>
                </c:pt>
                <c:pt idx="600">
                  <c:v>82.3240001105614</c:v>
                </c:pt>
                <c:pt idx="601">
                  <c:v>83.38953536582</c:v>
                </c:pt>
                <c:pt idx="602">
                  <c:v>82.0006080875646</c:v>
                </c:pt>
                <c:pt idx="603">
                  <c:v>83.0771994803615</c:v>
                </c:pt>
                <c:pt idx="604">
                  <c:v>81.0967688438044</c:v>
                </c:pt>
                <c:pt idx="605">
                  <c:v>80.5626191989828</c:v>
                </c:pt>
                <c:pt idx="606">
                  <c:v>77.9561347743166</c:v>
                </c:pt>
                <c:pt idx="607">
                  <c:v>76.7627629287708</c:v>
                </c:pt>
                <c:pt idx="608">
                  <c:v>80.1383399209486</c:v>
                </c:pt>
                <c:pt idx="609">
                  <c:v>79.8660825340667</c:v>
                </c:pt>
                <c:pt idx="610">
                  <c:v>80.9634041847481</c:v>
                </c:pt>
                <c:pt idx="611">
                  <c:v>79.9794079438348</c:v>
                </c:pt>
                <c:pt idx="612">
                  <c:v>78.4764642472152</c:v>
                </c:pt>
                <c:pt idx="613">
                  <c:v>78.5635313303297</c:v>
                </c:pt>
                <c:pt idx="614">
                  <c:v>77.4482434561486</c:v>
                </c:pt>
                <c:pt idx="615">
                  <c:v>77.0509135133641</c:v>
                </c:pt>
                <c:pt idx="616">
                  <c:v>74.0477901545095</c:v>
                </c:pt>
                <c:pt idx="617">
                  <c:v>75.1603139943061</c:v>
                </c:pt>
                <c:pt idx="618">
                  <c:v>74.1901379253158</c:v>
                </c:pt>
                <c:pt idx="619">
                  <c:v>74.2163962519694</c:v>
                </c:pt>
                <c:pt idx="620">
                  <c:v>73.796263025512</c:v>
                </c:pt>
                <c:pt idx="621">
                  <c:v>76.2223942065839</c:v>
                </c:pt>
                <c:pt idx="622">
                  <c:v>75.2791674728434</c:v>
                </c:pt>
                <c:pt idx="623">
                  <c:v>75.2791674728434</c:v>
                </c:pt>
                <c:pt idx="624">
                  <c:v>73.9869813980486</c:v>
                </c:pt>
                <c:pt idx="625">
                  <c:v>75.8990021835872</c:v>
                </c:pt>
                <c:pt idx="626">
                  <c:v>76.2065010088726</c:v>
                </c:pt>
                <c:pt idx="627">
                  <c:v>73.5841233864949</c:v>
                </c:pt>
                <c:pt idx="628">
                  <c:v>72.5883799994472</c:v>
                </c:pt>
                <c:pt idx="629">
                  <c:v>73.3851129108046</c:v>
                </c:pt>
                <c:pt idx="630">
                  <c:v>72.9490864866359</c:v>
                </c:pt>
                <c:pt idx="631">
                  <c:v>75.1015782636336</c:v>
                </c:pt>
                <c:pt idx="632">
                  <c:v>75.4304983553995</c:v>
                </c:pt>
                <c:pt idx="633">
                  <c:v>75.2943696619586</c:v>
                </c:pt>
                <c:pt idx="634">
                  <c:v>77.0633516680948</c:v>
                </c:pt>
                <c:pt idx="635">
                  <c:v>77.0205091351336</c:v>
                </c:pt>
                <c:pt idx="636">
                  <c:v>77.1193233643827</c:v>
                </c:pt>
                <c:pt idx="637">
                  <c:v>77.2209016280163</c:v>
                </c:pt>
                <c:pt idx="638">
                  <c:v>76.9230769230769</c:v>
                </c:pt>
                <c:pt idx="639">
                  <c:v>75.68686254457</c:v>
                </c:pt>
                <c:pt idx="640">
                  <c:v>75.46090273363</c:v>
                </c:pt>
                <c:pt idx="641">
                  <c:v>74.1929019597004</c:v>
                </c:pt>
                <c:pt idx="642">
                  <c:v>74.4050415987175</c:v>
                </c:pt>
                <c:pt idx="643">
                  <c:v>74.2537107161613</c:v>
                </c:pt>
                <c:pt idx="644">
                  <c:v>71.9505790652036</c:v>
                </c:pt>
                <c:pt idx="645">
                  <c:v>71.2229470134608</c:v>
                </c:pt>
                <c:pt idx="646">
                  <c:v>70.9921501423478</c:v>
                </c:pt>
                <c:pt idx="647">
                  <c:v>70.6611570247934</c:v>
                </c:pt>
                <c:pt idx="648">
                  <c:v>70.6611570247934</c:v>
                </c:pt>
                <c:pt idx="649">
                  <c:v>71.0398297354819</c:v>
                </c:pt>
                <c:pt idx="650">
                  <c:v>73.2655684236712</c:v>
                </c:pt>
                <c:pt idx="651">
                  <c:v>73.9551950026258</c:v>
                </c:pt>
                <c:pt idx="652">
                  <c:v>74.4879626302551</c:v>
                </c:pt>
                <c:pt idx="653">
                  <c:v>74.5425523093507</c:v>
                </c:pt>
                <c:pt idx="654">
                  <c:v>75.6889355703585</c:v>
                </c:pt>
                <c:pt idx="655">
                  <c:v>75.677188424224</c:v>
                </c:pt>
                <c:pt idx="656">
                  <c:v>75.7677105503192</c:v>
                </c:pt>
                <c:pt idx="657">
                  <c:v>73.5841233864949</c:v>
                </c:pt>
                <c:pt idx="658">
                  <c:v>74.0242958622405</c:v>
                </c:pt>
                <c:pt idx="659">
                  <c:v>74.8693993753282</c:v>
                </c:pt>
                <c:pt idx="660">
                  <c:v>73.9095884352801</c:v>
                </c:pt>
                <c:pt idx="661">
                  <c:v>75.573537134802</c:v>
                </c:pt>
                <c:pt idx="662">
                  <c:v>76.1947538627381</c:v>
                </c:pt>
                <c:pt idx="663">
                  <c:v>77.0481494789795</c:v>
                </c:pt>
                <c:pt idx="664">
                  <c:v>76.9673014732303</c:v>
                </c:pt>
                <c:pt idx="665">
                  <c:v>76.434533845601</c:v>
                </c:pt>
                <c:pt idx="666">
                  <c:v>76.1166698913735</c:v>
                </c:pt>
                <c:pt idx="667">
                  <c:v>76.1215069515465</c:v>
                </c:pt>
                <c:pt idx="668">
                  <c:v>77.7978938057989</c:v>
                </c:pt>
                <c:pt idx="669">
                  <c:v>77.4247491638796</c:v>
                </c:pt>
                <c:pt idx="670">
                  <c:v>77.8932529920672</c:v>
                </c:pt>
                <c:pt idx="671">
                  <c:v>77.7944387628182</c:v>
                </c:pt>
                <c:pt idx="672">
                  <c:v>77.506288178225</c:v>
                </c:pt>
                <c:pt idx="673">
                  <c:v>77.9312584648553</c:v>
                </c:pt>
                <c:pt idx="674">
                  <c:v>77.4662096796484</c:v>
                </c:pt>
                <c:pt idx="675">
                  <c:v>75.2833135244202</c:v>
                </c:pt>
                <c:pt idx="676">
                  <c:v>74.8783824870781</c:v>
                </c:pt>
                <c:pt idx="677">
                  <c:v>74.5771027391581</c:v>
                </c:pt>
                <c:pt idx="678">
                  <c:v>74.586085850908</c:v>
                </c:pt>
                <c:pt idx="679">
                  <c:v>75.4954531634373</c:v>
                </c:pt>
                <c:pt idx="680">
                  <c:v>75.6073965560132</c:v>
                </c:pt>
                <c:pt idx="681">
                  <c:v>74.3269576273529</c:v>
                </c:pt>
                <c:pt idx="682">
                  <c:v>74.054700240471</c:v>
                </c:pt>
                <c:pt idx="683">
                  <c:v>73.7554935183394</c:v>
                </c:pt>
                <c:pt idx="684">
                  <c:v>72.6851212029078</c:v>
                </c:pt>
                <c:pt idx="685">
                  <c:v>72.9242101771746</c:v>
                </c:pt>
                <c:pt idx="686">
                  <c:v>72.3638022056994</c:v>
                </c:pt>
                <c:pt idx="687">
                  <c:v>73.5640841372067</c:v>
                </c:pt>
                <c:pt idx="688">
                  <c:v>72.4812736670444</c:v>
                </c:pt>
                <c:pt idx="689">
                  <c:v>72.5096050194864</c:v>
                </c:pt>
                <c:pt idx="690">
                  <c:v>74.6489676331574</c:v>
                </c:pt>
                <c:pt idx="691">
                  <c:v>75.3268470659775</c:v>
                </c:pt>
                <c:pt idx="692">
                  <c:v>76.3225904530252</c:v>
                </c:pt>
                <c:pt idx="693">
                  <c:v>76.3225904530252</c:v>
                </c:pt>
                <c:pt idx="694">
                  <c:v>75.4470825617071</c:v>
                </c:pt>
                <c:pt idx="695">
                  <c:v>75.9328616047984</c:v>
                </c:pt>
                <c:pt idx="696">
                  <c:v>76.2997871693524</c:v>
                </c:pt>
                <c:pt idx="697">
                  <c:v>76.6708587854833</c:v>
                </c:pt>
                <c:pt idx="698">
                  <c:v>77.5242544017248</c:v>
                </c:pt>
                <c:pt idx="699">
                  <c:v>77.468973714033</c:v>
                </c:pt>
                <c:pt idx="700">
                  <c:v>77.7433041267033</c:v>
                </c:pt>
                <c:pt idx="701">
                  <c:v>77.7149727742613</c:v>
                </c:pt>
                <c:pt idx="702">
                  <c:v>77.779236573703</c:v>
                </c:pt>
                <c:pt idx="703">
                  <c:v>78.9622432903065</c:v>
                </c:pt>
                <c:pt idx="704">
                  <c:v>78.7597777716355</c:v>
                </c:pt>
                <c:pt idx="705">
                  <c:v>78.3797230437547</c:v>
                </c:pt>
                <c:pt idx="706">
                  <c:v>77.7267199203958</c:v>
                </c:pt>
                <c:pt idx="707">
                  <c:v>79.3740844136101</c:v>
                </c:pt>
                <c:pt idx="708">
                  <c:v>78.9242378175185</c:v>
                </c:pt>
                <c:pt idx="709">
                  <c:v>79.3070565797838</c:v>
                </c:pt>
                <c:pt idx="710">
                  <c:v>79.1018270267282</c:v>
                </c:pt>
                <c:pt idx="711">
                  <c:v>78.8579009922883</c:v>
                </c:pt>
                <c:pt idx="712">
                  <c:v>79.2061693247464</c:v>
                </c:pt>
                <c:pt idx="713">
                  <c:v>78.5697504076951</c:v>
                </c:pt>
                <c:pt idx="714">
                  <c:v>80.2088227977556</c:v>
                </c:pt>
                <c:pt idx="715">
                  <c:v>80.1549241272561</c:v>
                </c:pt>
                <c:pt idx="716">
                  <c:v>80.0229414853921</c:v>
                </c:pt>
                <c:pt idx="717">
                  <c:v>80.5128665800603</c:v>
                </c:pt>
                <c:pt idx="718">
                  <c:v>80.5246137261947</c:v>
                </c:pt>
                <c:pt idx="719">
                  <c:v>80.8321125514801</c:v>
                </c:pt>
                <c:pt idx="720">
                  <c:v>81.4077227120705</c:v>
                </c:pt>
                <c:pt idx="721">
                  <c:v>81.1112800243235</c:v>
                </c:pt>
                <c:pt idx="722">
                  <c:v>81.2757400702065</c:v>
                </c:pt>
                <c:pt idx="723">
                  <c:v>81.8644793941237</c:v>
                </c:pt>
                <c:pt idx="724">
                  <c:v>80.5646922247713</c:v>
                </c:pt>
                <c:pt idx="725">
                  <c:v>81.4125597722436</c:v>
                </c:pt>
                <c:pt idx="726">
                  <c:v>81.5569805688383</c:v>
                </c:pt>
                <c:pt idx="727">
                  <c:v>81.7518449929517</c:v>
                </c:pt>
                <c:pt idx="728">
                  <c:v>81.927361176373</c:v>
                </c:pt>
                <c:pt idx="729">
                  <c:v>81.9287431935653</c:v>
                </c:pt>
                <c:pt idx="730">
                  <c:v>81.7083114513945</c:v>
                </c:pt>
                <c:pt idx="731">
                  <c:v>81.800215594682</c:v>
                </c:pt>
                <c:pt idx="732">
                  <c:v>81.7642831476823</c:v>
                </c:pt>
                <c:pt idx="733">
                  <c:v>81.8416761104508</c:v>
                </c:pt>
                <c:pt idx="734">
                  <c:v>82.4767130103098</c:v>
                </c:pt>
                <c:pt idx="735">
                  <c:v>82.7800657840183</c:v>
                </c:pt>
                <c:pt idx="736">
                  <c:v>84.3762956411178</c:v>
                </c:pt>
                <c:pt idx="737">
                  <c:v>84.7072887586721</c:v>
                </c:pt>
                <c:pt idx="738">
                  <c:v>84.5276265236739</c:v>
                </c:pt>
                <c:pt idx="739">
                  <c:v>83.8469830564692</c:v>
                </c:pt>
                <c:pt idx="740">
                  <c:v>84.2139086210232</c:v>
                </c:pt>
                <c:pt idx="741">
                  <c:v>83.8566571768153</c:v>
                </c:pt>
                <c:pt idx="742">
                  <c:v>82.8664418585367</c:v>
                </c:pt>
                <c:pt idx="743">
                  <c:v>82.7655546034993</c:v>
                </c:pt>
                <c:pt idx="744">
                  <c:v>81.4243069183781</c:v>
                </c:pt>
                <c:pt idx="745">
                  <c:v>81.4415821332817</c:v>
                </c:pt>
                <c:pt idx="746">
                  <c:v>82.6923076923077</c:v>
                </c:pt>
                <c:pt idx="747">
                  <c:v>82.9023743055364</c:v>
                </c:pt>
                <c:pt idx="748">
                  <c:v>82.7717736808646</c:v>
                </c:pt>
                <c:pt idx="749">
                  <c:v>81.5894579728572</c:v>
                </c:pt>
                <c:pt idx="750">
                  <c:v>82.8070151192681</c:v>
                </c:pt>
                <c:pt idx="751">
                  <c:v>82.8070151192681</c:v>
                </c:pt>
                <c:pt idx="752">
                  <c:v>82.1885624257166</c:v>
                </c:pt>
                <c:pt idx="753">
                  <c:v>82.0752370159485</c:v>
                </c:pt>
                <c:pt idx="754">
                  <c:v>81.5770198181265</c:v>
                </c:pt>
                <c:pt idx="755">
                  <c:v>83.3404737554935</c:v>
                </c:pt>
                <c:pt idx="756">
                  <c:v>84.4087730451367</c:v>
                </c:pt>
                <c:pt idx="757">
                  <c:v>84.6285137787114</c:v>
                </c:pt>
                <c:pt idx="758">
                  <c:v>84.518643411924</c:v>
                </c:pt>
                <c:pt idx="759">
                  <c:v>84.5621769534813</c:v>
                </c:pt>
                <c:pt idx="760">
                  <c:v>84.8752038475359</c:v>
                </c:pt>
                <c:pt idx="761">
                  <c:v>85.2013599049172</c:v>
                </c:pt>
                <c:pt idx="762">
                  <c:v>85.7127062660659</c:v>
                </c:pt>
                <c:pt idx="763">
                  <c:v>85.7168523176428</c:v>
                </c:pt>
                <c:pt idx="764">
                  <c:v>85.7949362890074</c:v>
                </c:pt>
                <c:pt idx="765">
                  <c:v>85.355454821858</c:v>
                </c:pt>
                <c:pt idx="766">
                  <c:v>85.8833853893142</c:v>
                </c:pt>
                <c:pt idx="767">
                  <c:v>85.9552502833135</c:v>
                </c:pt>
                <c:pt idx="768">
                  <c:v>86.1743000082921</c:v>
                </c:pt>
                <c:pt idx="769">
                  <c:v>86.6939384725946</c:v>
                </c:pt>
                <c:pt idx="770">
                  <c:v>86.9869261173609</c:v>
                </c:pt>
                <c:pt idx="771">
                  <c:v>86.8438873379585</c:v>
                </c:pt>
                <c:pt idx="772">
                  <c:v>86.8438873379585</c:v>
                </c:pt>
                <c:pt idx="773">
                  <c:v>86.8970949998618</c:v>
                </c:pt>
                <c:pt idx="774">
                  <c:v>86.964122833688</c:v>
                </c:pt>
                <c:pt idx="775">
                  <c:v>87.0518809253987</c:v>
                </c:pt>
                <c:pt idx="776">
                  <c:v>86.9205892921308</c:v>
                </c:pt>
                <c:pt idx="777">
                  <c:v>86.9040050858233</c:v>
                </c:pt>
                <c:pt idx="778">
                  <c:v>87.8886923353327</c:v>
                </c:pt>
                <c:pt idx="779">
                  <c:v>87.7719118825838</c:v>
                </c:pt>
                <c:pt idx="780">
                  <c:v>88.2113933497333</c:v>
                </c:pt>
                <c:pt idx="781">
                  <c:v>88.0241300201774</c:v>
                </c:pt>
                <c:pt idx="782">
                  <c:v>87.8617430000829</c:v>
                </c:pt>
                <c:pt idx="783">
                  <c:v>87.7408164957572</c:v>
                </c:pt>
                <c:pt idx="784">
                  <c:v>88.0676635617347</c:v>
                </c:pt>
                <c:pt idx="785">
                  <c:v>88.8609414301114</c:v>
                </c:pt>
                <c:pt idx="786">
                  <c:v>88.7089195389591</c:v>
                </c:pt>
                <c:pt idx="787">
                  <c:v>89.3639956881064</c:v>
                </c:pt>
                <c:pt idx="788">
                  <c:v>89.3639956881064</c:v>
                </c:pt>
                <c:pt idx="789">
                  <c:v>89.4869952182205</c:v>
                </c:pt>
                <c:pt idx="790">
                  <c:v>88.581773957268</c:v>
                </c:pt>
                <c:pt idx="791">
                  <c:v>88.4670665303076</c:v>
                </c:pt>
                <c:pt idx="792">
                  <c:v>88.680588186517</c:v>
                </c:pt>
                <c:pt idx="793">
                  <c:v>89.1981536250311</c:v>
                </c:pt>
                <c:pt idx="794">
                  <c:v>89.2216479173001</c:v>
                </c:pt>
                <c:pt idx="795">
                  <c:v>89.5982476022002</c:v>
                </c:pt>
                <c:pt idx="796">
                  <c:v>89.7993311036789</c:v>
                </c:pt>
                <c:pt idx="797">
                  <c:v>88.196191160618</c:v>
                </c:pt>
                <c:pt idx="798">
                  <c:v>88.8719975676497</c:v>
                </c:pt>
                <c:pt idx="799">
                  <c:v>90.3555930235772</c:v>
                </c:pt>
                <c:pt idx="800">
                  <c:v>90.1095939633489</c:v>
                </c:pt>
                <c:pt idx="801">
                  <c:v>90.321733602366</c:v>
                </c:pt>
                <c:pt idx="802">
                  <c:v>90.5822438431134</c:v>
                </c:pt>
                <c:pt idx="803">
                  <c:v>91.1474888747616</c:v>
                </c:pt>
                <c:pt idx="804">
                  <c:v>91.5289256198347</c:v>
                </c:pt>
                <c:pt idx="805">
                  <c:v>91.2739434478565</c:v>
                </c:pt>
                <c:pt idx="806">
                  <c:v>91.342353298875</c:v>
                </c:pt>
                <c:pt idx="807">
                  <c:v>91.84540755687</c:v>
                </c:pt>
                <c:pt idx="808">
                  <c:v>92.0644572818486</c:v>
                </c:pt>
                <c:pt idx="809">
                  <c:v>91.7666325769092</c:v>
                </c:pt>
                <c:pt idx="810">
                  <c:v>92.3408607203074</c:v>
                </c:pt>
                <c:pt idx="811">
                  <c:v>92.6248652533237</c:v>
                </c:pt>
                <c:pt idx="812">
                  <c:v>92.8031454711297</c:v>
                </c:pt>
                <c:pt idx="813">
                  <c:v>92.8031454711297</c:v>
                </c:pt>
                <c:pt idx="814">
                  <c:v>90.8980347715526</c:v>
                </c:pt>
                <c:pt idx="815">
                  <c:v>90.3424638602504</c:v>
                </c:pt>
                <c:pt idx="816">
                  <c:v>90.2526327427513</c:v>
                </c:pt>
                <c:pt idx="817">
                  <c:v>91.2048425882418</c:v>
                </c:pt>
                <c:pt idx="818">
                  <c:v>91.7120428978136</c:v>
                </c:pt>
                <c:pt idx="819">
                  <c:v>90.2685259404627</c:v>
                </c:pt>
                <c:pt idx="820">
                  <c:v>90.4143287542497</c:v>
                </c:pt>
                <c:pt idx="821">
                  <c:v>91.9711711213687</c:v>
                </c:pt>
                <c:pt idx="822">
                  <c:v>91.2926006799525</c:v>
                </c:pt>
                <c:pt idx="823">
                  <c:v>90.5311092069985</c:v>
                </c:pt>
                <c:pt idx="824">
                  <c:v>91.3388982558943</c:v>
                </c:pt>
                <c:pt idx="825">
                  <c:v>91.2145167085879</c:v>
                </c:pt>
                <c:pt idx="826">
                  <c:v>89.4932142955858</c:v>
                </c:pt>
                <c:pt idx="827">
                  <c:v>90.1268691782526</c:v>
                </c:pt>
                <c:pt idx="828">
                  <c:v>89.5816633958927</c:v>
                </c:pt>
                <c:pt idx="829">
                  <c:v>88.5783189142873</c:v>
                </c:pt>
                <c:pt idx="830">
                  <c:v>86.8514884325161</c:v>
                </c:pt>
                <c:pt idx="831">
                  <c:v>88.0151469084275</c:v>
                </c:pt>
                <c:pt idx="832">
                  <c:v>88.3938196191161</c:v>
                </c:pt>
                <c:pt idx="833">
                  <c:v>89.7191741065259</c:v>
                </c:pt>
                <c:pt idx="834">
                  <c:v>89.4006191437022</c:v>
                </c:pt>
                <c:pt idx="835">
                  <c:v>89.6611293844495</c:v>
                </c:pt>
                <c:pt idx="836">
                  <c:v>90.4986318029796</c:v>
                </c:pt>
                <c:pt idx="837">
                  <c:v>90.7847093617844</c:v>
                </c:pt>
                <c:pt idx="838">
                  <c:v>90.5352552585754</c:v>
                </c:pt>
                <c:pt idx="839">
                  <c:v>91.1744382100113</c:v>
                </c:pt>
                <c:pt idx="840">
                  <c:v>91.7839077918129</c:v>
                </c:pt>
                <c:pt idx="841">
                  <c:v>91.6159927029492</c:v>
                </c:pt>
                <c:pt idx="842">
                  <c:v>92.0706763592139</c:v>
                </c:pt>
                <c:pt idx="843">
                  <c:v>92.1024627546367</c:v>
                </c:pt>
                <c:pt idx="844">
                  <c:v>92.0858785483291</c:v>
                </c:pt>
                <c:pt idx="845">
                  <c:v>92.2869620498079</c:v>
                </c:pt>
                <c:pt idx="846">
                  <c:v>92.1466873047901</c:v>
                </c:pt>
                <c:pt idx="847">
                  <c:v>91.7776887144476</c:v>
                </c:pt>
                <c:pt idx="848">
                  <c:v>91.5213245252771</c:v>
                </c:pt>
                <c:pt idx="849">
                  <c:v>90.8095856712457</c:v>
                </c:pt>
                <c:pt idx="850">
                  <c:v>90.8268608861494</c:v>
                </c:pt>
                <c:pt idx="851">
                  <c:v>90.834461980707</c:v>
                </c:pt>
                <c:pt idx="852">
                  <c:v>91.1910224163189</c:v>
                </c:pt>
                <c:pt idx="853">
                  <c:v>90.1862959175212</c:v>
                </c:pt>
                <c:pt idx="854">
                  <c:v>90.7031703474391</c:v>
                </c:pt>
                <c:pt idx="855">
                  <c:v>91.9290195970038</c:v>
                </c:pt>
                <c:pt idx="856">
                  <c:v>92.4141076314989</c:v>
                </c:pt>
                <c:pt idx="857">
                  <c:v>92.4141076314989</c:v>
                </c:pt>
                <c:pt idx="858">
                  <c:v>92.2669228005196</c:v>
                </c:pt>
                <c:pt idx="859">
                  <c:v>93.0954421072998</c:v>
                </c:pt>
                <c:pt idx="860">
                  <c:v>93.6772713452555</c:v>
                </c:pt>
                <c:pt idx="861">
                  <c:v>94.0103374885983</c:v>
                </c:pt>
                <c:pt idx="862">
                  <c:v>94.2266231791924</c:v>
                </c:pt>
                <c:pt idx="863">
                  <c:v>94.0614721247132</c:v>
                </c:pt>
                <c:pt idx="864">
                  <c:v>93.7436081704856</c:v>
                </c:pt>
                <c:pt idx="865">
                  <c:v>93.100970176069</c:v>
                </c:pt>
                <c:pt idx="866">
                  <c:v>92.2565576715774</c:v>
                </c:pt>
                <c:pt idx="867">
                  <c:v>92.6089720556124</c:v>
                </c:pt>
                <c:pt idx="868">
                  <c:v>93.0297962906659</c:v>
                </c:pt>
                <c:pt idx="869">
                  <c:v>93.7809226346776</c:v>
                </c:pt>
                <c:pt idx="870">
                  <c:v>92.738881671688</c:v>
                </c:pt>
                <c:pt idx="871">
                  <c:v>93.1928743193565</c:v>
                </c:pt>
                <c:pt idx="872">
                  <c:v>92.4410569667487</c:v>
                </c:pt>
                <c:pt idx="873">
                  <c:v>91.8675198319467</c:v>
                </c:pt>
                <c:pt idx="874">
                  <c:v>91.8336604107355</c:v>
                </c:pt>
                <c:pt idx="875">
                  <c:v>92.6421404682274</c:v>
                </c:pt>
                <c:pt idx="876">
                  <c:v>92.8439149783023</c:v>
                </c:pt>
                <c:pt idx="877">
                  <c:v>92.1301030984825</c:v>
                </c:pt>
                <c:pt idx="878">
                  <c:v>91.0313994306089</c:v>
                </c:pt>
                <c:pt idx="879">
                  <c:v>90.9560794936289</c:v>
                </c:pt>
                <c:pt idx="880">
                  <c:v>91.2456120954145</c:v>
                </c:pt>
                <c:pt idx="881">
                  <c:v>91.6063185826032</c:v>
                </c:pt>
                <c:pt idx="882">
                  <c:v>91.9801542331187</c:v>
                </c:pt>
                <c:pt idx="883">
                  <c:v>91.9801542331187</c:v>
                </c:pt>
                <c:pt idx="884">
                  <c:v>92.9544763536858</c:v>
                </c:pt>
                <c:pt idx="885">
                  <c:v>90.8365350064955</c:v>
                </c:pt>
                <c:pt idx="886">
                  <c:v>90.7252826225158</c:v>
                </c:pt>
                <c:pt idx="887">
                  <c:v>89.8421736366401</c:v>
                </c:pt>
                <c:pt idx="888">
                  <c:v>88.8754526106305</c:v>
                </c:pt>
                <c:pt idx="889">
                  <c:v>88.7904585533044</c:v>
                </c:pt>
                <c:pt idx="890">
                  <c:v>88.4186959285774</c:v>
                </c:pt>
                <c:pt idx="891">
                  <c:v>89.0710080433401</c:v>
                </c:pt>
                <c:pt idx="892">
                  <c:v>87.8258105530833</c:v>
                </c:pt>
                <c:pt idx="893">
                  <c:v>87.8845462837558</c:v>
                </c:pt>
                <c:pt idx="894">
                  <c:v>88.9929240719754</c:v>
                </c:pt>
                <c:pt idx="895">
                  <c:v>87.4416097736256</c:v>
                </c:pt>
                <c:pt idx="896">
                  <c:v>87.5950136819702</c:v>
                </c:pt>
                <c:pt idx="897">
                  <c:v>87.8617430000829</c:v>
                </c:pt>
                <c:pt idx="898">
                  <c:v>88.3357748970397</c:v>
                </c:pt>
                <c:pt idx="899">
                  <c:v>89.5215456480279</c:v>
                </c:pt>
                <c:pt idx="900">
                  <c:v>88.9424804444567</c:v>
                </c:pt>
                <c:pt idx="901">
                  <c:v>88.6909533154592</c:v>
                </c:pt>
                <c:pt idx="902">
                  <c:v>87.6509853782581</c:v>
                </c:pt>
                <c:pt idx="903">
                  <c:v>88.4560103927693</c:v>
                </c:pt>
                <c:pt idx="904">
                  <c:v>89.6010116365848</c:v>
                </c:pt>
                <c:pt idx="905">
                  <c:v>90.3431548688466</c:v>
                </c:pt>
                <c:pt idx="906">
                  <c:v>91.257359241549</c:v>
                </c:pt>
                <c:pt idx="907">
                  <c:v>92.5723486000166</c:v>
                </c:pt>
                <c:pt idx="908">
                  <c:v>92.5723486000166</c:v>
                </c:pt>
                <c:pt idx="909">
                  <c:v>92.4486580613063</c:v>
                </c:pt>
                <c:pt idx="910">
                  <c:v>92.54125321319</c:v>
                </c:pt>
                <c:pt idx="911">
                  <c:v>93.5086652477957</c:v>
                </c:pt>
                <c:pt idx="912">
                  <c:v>92.8577351502253</c:v>
                </c:pt>
                <c:pt idx="913">
                  <c:v>91.1778932529921</c:v>
                </c:pt>
                <c:pt idx="914">
                  <c:v>90.7736532242461</c:v>
                </c:pt>
                <c:pt idx="915">
                  <c:v>91.0555847314741</c:v>
                </c:pt>
                <c:pt idx="916">
                  <c:v>90.444042123884</c:v>
                </c:pt>
                <c:pt idx="917">
                  <c:v>90.9464053732829</c:v>
                </c:pt>
                <c:pt idx="918">
                  <c:v>90.2070261754056</c:v>
                </c:pt>
                <c:pt idx="919">
                  <c:v>91.6781834766024</c:v>
                </c:pt>
                <c:pt idx="920">
                  <c:v>91.6166837115454</c:v>
                </c:pt>
                <c:pt idx="921">
                  <c:v>92.8577351502253</c:v>
                </c:pt>
                <c:pt idx="922">
                  <c:v>92.9420381989552</c:v>
                </c:pt>
                <c:pt idx="923">
                  <c:v>92.4175626744797</c:v>
                </c:pt>
                <c:pt idx="924">
                  <c:v>92.038198955195</c:v>
                </c:pt>
                <c:pt idx="925">
                  <c:v>90.1690207026175</c:v>
                </c:pt>
                <c:pt idx="926">
                  <c:v>89.8774150750435</c:v>
                </c:pt>
                <c:pt idx="927">
                  <c:v>89.2976588628762</c:v>
                </c:pt>
                <c:pt idx="928">
                  <c:v>88.9286602725338</c:v>
                </c:pt>
                <c:pt idx="929">
                  <c:v>86.6559329998065</c:v>
                </c:pt>
                <c:pt idx="930">
                  <c:v>87.0905774067829</c:v>
                </c:pt>
                <c:pt idx="931">
                  <c:v>82.9258685978054</c:v>
                </c:pt>
                <c:pt idx="932">
                  <c:v>82.8781890046712</c:v>
                </c:pt>
                <c:pt idx="933">
                  <c:v>77.3556483042649</c:v>
                </c:pt>
                <c:pt idx="934">
                  <c:v>81.0228309240167</c:v>
                </c:pt>
                <c:pt idx="935">
                  <c:v>77.445479421764</c:v>
                </c:pt>
                <c:pt idx="936">
                  <c:v>81.0304320185743</c:v>
                </c:pt>
                <c:pt idx="937">
                  <c:v>81.456784322397</c:v>
                </c:pt>
                <c:pt idx="938">
                  <c:v>83.2312943973023</c:v>
                </c:pt>
                <c:pt idx="939">
                  <c:v>82.4207413140219</c:v>
                </c:pt>
                <c:pt idx="940">
                  <c:v>82.4981342767904</c:v>
                </c:pt>
                <c:pt idx="941">
                  <c:v>78.8198955195003</c:v>
                </c:pt>
                <c:pt idx="942">
                  <c:v>77.6368888028967</c:v>
                </c:pt>
                <c:pt idx="943">
                  <c:v>77.656928052185</c:v>
                </c:pt>
                <c:pt idx="944">
                  <c:v>80.3193841731391</c:v>
                </c:pt>
                <c:pt idx="945">
                  <c:v>81.3731722822632</c:v>
                </c:pt>
                <c:pt idx="946">
                  <c:v>80.1065535255259</c:v>
                </c:pt>
                <c:pt idx="947">
                  <c:v>81.3178915945714</c:v>
                </c:pt>
                <c:pt idx="948">
                  <c:v>83.6175682025484</c:v>
                </c:pt>
                <c:pt idx="949">
                  <c:v>83.8138146438542</c:v>
                </c:pt>
                <c:pt idx="950">
                  <c:v>84.2263467757539</c:v>
                </c:pt>
                <c:pt idx="951">
                  <c:v>83.2264573371293</c:v>
                </c:pt>
                <c:pt idx="952">
                  <c:v>81.1223361618618</c:v>
                </c:pt>
                <c:pt idx="953">
                  <c:v>81.1223361618618</c:v>
                </c:pt>
                <c:pt idx="954">
                  <c:v>80.5190856574256</c:v>
                </c:pt>
                <c:pt idx="955">
                  <c:v>82.825672351364</c:v>
                </c:pt>
                <c:pt idx="956">
                  <c:v>81.9467094170652</c:v>
                </c:pt>
                <c:pt idx="957">
                  <c:v>79.7582851930678</c:v>
                </c:pt>
                <c:pt idx="958">
                  <c:v>80.3138561043699</c:v>
                </c:pt>
                <c:pt idx="959">
                  <c:v>81.0463252162857</c:v>
                </c:pt>
                <c:pt idx="960">
                  <c:v>82.138809806794</c:v>
                </c:pt>
                <c:pt idx="961">
                  <c:v>83.5505403687222</c:v>
                </c:pt>
                <c:pt idx="962">
                  <c:v>84.0273363000636</c:v>
                </c:pt>
                <c:pt idx="963">
                  <c:v>83.2036540534564</c:v>
                </c:pt>
                <c:pt idx="964">
                  <c:v>83.065452334227</c:v>
                </c:pt>
                <c:pt idx="965">
                  <c:v>80.6241189640399</c:v>
                </c:pt>
                <c:pt idx="966">
                  <c:v>78.0535669863733</c:v>
                </c:pt>
                <c:pt idx="967">
                  <c:v>78.5282898919263</c:v>
                </c:pt>
                <c:pt idx="968">
                  <c:v>80.3608446889079</c:v>
                </c:pt>
                <c:pt idx="969">
                  <c:v>81.2197683739186</c:v>
                </c:pt>
                <c:pt idx="970">
                  <c:v>79.5392354680892</c:v>
                </c:pt>
                <c:pt idx="971">
                  <c:v>80.1846374968905</c:v>
                </c:pt>
                <c:pt idx="972">
                  <c:v>78.1820945852566</c:v>
                </c:pt>
                <c:pt idx="973">
                  <c:v>75.9577379142597</c:v>
                </c:pt>
                <c:pt idx="974">
                  <c:v>77.6659111639349</c:v>
                </c:pt>
                <c:pt idx="975">
                  <c:v>79.0541474335941</c:v>
                </c:pt>
                <c:pt idx="976">
                  <c:v>80.5004284253296</c:v>
                </c:pt>
                <c:pt idx="977">
                  <c:v>79.8432792503939</c:v>
                </c:pt>
                <c:pt idx="978">
                  <c:v>82.5679261450012</c:v>
                </c:pt>
                <c:pt idx="979">
                  <c:v>82.6128417037508</c:v>
                </c:pt>
                <c:pt idx="980">
                  <c:v>83.4220127698389</c:v>
                </c:pt>
                <c:pt idx="981">
                  <c:v>83.1739406838221</c:v>
                </c:pt>
                <c:pt idx="982">
                  <c:v>84.6195306669615</c:v>
                </c:pt>
                <c:pt idx="983">
                  <c:v>82.9804582769009</c:v>
                </c:pt>
                <c:pt idx="984">
                  <c:v>84.6748113546533</c:v>
                </c:pt>
                <c:pt idx="985">
                  <c:v>83.6037480306255</c:v>
                </c:pt>
                <c:pt idx="986">
                  <c:v>83.9844937671025</c:v>
                </c:pt>
                <c:pt idx="987">
                  <c:v>85.5641394178944</c:v>
                </c:pt>
                <c:pt idx="988">
                  <c:v>86.6656071201526</c:v>
                </c:pt>
                <c:pt idx="989">
                  <c:v>84.9284115094392</c:v>
                </c:pt>
                <c:pt idx="990">
                  <c:v>85.8232676414495</c:v>
                </c:pt>
                <c:pt idx="991">
                  <c:v>88.7662732524393</c:v>
                </c:pt>
                <c:pt idx="992">
                  <c:v>88.8001326736505</c:v>
                </c:pt>
                <c:pt idx="993">
                  <c:v>86.6041073550955</c:v>
                </c:pt>
                <c:pt idx="994">
                  <c:v>84.1841952513889</c:v>
                </c:pt>
                <c:pt idx="995">
                  <c:v>85.5399541170292</c:v>
                </c:pt>
                <c:pt idx="996">
                  <c:v>87.1465491030709</c:v>
                </c:pt>
                <c:pt idx="997">
                  <c:v>86.5992702949225</c:v>
                </c:pt>
                <c:pt idx="998">
                  <c:v>87.1444760772824</c:v>
                </c:pt>
                <c:pt idx="999">
                  <c:v>88.1671687995799</c:v>
                </c:pt>
                <c:pt idx="1000">
                  <c:v>84.9318665524199</c:v>
                </c:pt>
                <c:pt idx="1001">
                  <c:v>85.6643356643357</c:v>
                </c:pt>
                <c:pt idx="1002">
                  <c:v>87.3331214240305</c:v>
                </c:pt>
                <c:pt idx="1003">
                  <c:v>86.4990740484812</c:v>
                </c:pt>
                <c:pt idx="1004">
                  <c:v>86.9157522319578</c:v>
                </c:pt>
                <c:pt idx="1005">
                  <c:v>85.4715442660107</c:v>
                </c:pt>
                <c:pt idx="1006">
                  <c:v>84.0356284032174</c:v>
                </c:pt>
                <c:pt idx="1007">
                  <c:v>84.0024599906023</c:v>
                </c:pt>
                <c:pt idx="1008">
                  <c:v>82.4359435031372</c:v>
                </c:pt>
                <c:pt idx="1009">
                  <c:v>82.0945852566406</c:v>
                </c:pt>
                <c:pt idx="1010">
                  <c:v>80.2806876917549</c:v>
                </c:pt>
                <c:pt idx="1011">
                  <c:v>80.2806876917549</c:v>
                </c:pt>
                <c:pt idx="1012">
                  <c:v>80.065093009757</c:v>
                </c:pt>
                <c:pt idx="1013">
                  <c:v>82.4062301335029</c:v>
                </c:pt>
                <c:pt idx="1014">
                  <c:v>82.5886564028857</c:v>
                </c:pt>
                <c:pt idx="1015">
                  <c:v>86.1660079051383</c:v>
                </c:pt>
                <c:pt idx="1016">
                  <c:v>86.0015478592554</c:v>
                </c:pt>
                <c:pt idx="1017">
                  <c:v>85.980817601371</c:v>
                </c:pt>
                <c:pt idx="1018">
                  <c:v>86.865308604439</c:v>
                </c:pt>
                <c:pt idx="1019">
                  <c:v>86.9613587993035</c:v>
                </c:pt>
                <c:pt idx="1020">
                  <c:v>87.1368749827248</c:v>
                </c:pt>
                <c:pt idx="1021">
                  <c:v>85.294646065397</c:v>
                </c:pt>
                <c:pt idx="1022">
                  <c:v>86.7347079797673</c:v>
                </c:pt>
                <c:pt idx="1023">
                  <c:v>85.4411398877802</c:v>
                </c:pt>
                <c:pt idx="1024">
                  <c:v>84.6989966555184</c:v>
                </c:pt>
                <c:pt idx="1025">
                  <c:v>83.737803698278</c:v>
                </c:pt>
                <c:pt idx="1026">
                  <c:v>84.0093700765637</c:v>
                </c:pt>
                <c:pt idx="1027">
                  <c:v>84.2795544376572</c:v>
                </c:pt>
                <c:pt idx="1028">
                  <c:v>83.2907211365709</c:v>
                </c:pt>
                <c:pt idx="1029">
                  <c:v>85.7748970397192</c:v>
                </c:pt>
                <c:pt idx="1030">
                  <c:v>85.9421211199867</c:v>
                </c:pt>
                <c:pt idx="1031">
                  <c:v>86.6524779568258</c:v>
                </c:pt>
                <c:pt idx="1032">
                  <c:v>87.4353906962603</c:v>
                </c:pt>
                <c:pt idx="1033">
                  <c:v>87.4353906962603</c:v>
                </c:pt>
                <c:pt idx="1034">
                  <c:v>87.4423007822217</c:v>
                </c:pt>
                <c:pt idx="1035">
                  <c:v>86.3511982089057</c:v>
                </c:pt>
                <c:pt idx="1036">
                  <c:v>87.2757677105503</c:v>
                </c:pt>
                <c:pt idx="1037">
                  <c:v>86.9012410514387</c:v>
                </c:pt>
                <c:pt idx="1038">
                  <c:v>86.9012410514387</c:v>
                </c:pt>
                <c:pt idx="1039">
                  <c:v>88.2459437795406</c:v>
                </c:pt>
                <c:pt idx="1040">
                  <c:v>88.2625279858481</c:v>
                </c:pt>
                <c:pt idx="1041">
                  <c:v>88.5223472179994</c:v>
                </c:pt>
                <c:pt idx="1042">
                  <c:v>88.2977694242516</c:v>
                </c:pt>
                <c:pt idx="1043">
                  <c:v>88.4974709085381</c:v>
                </c:pt>
                <c:pt idx="1044">
                  <c:v>89.2838386909533</c:v>
                </c:pt>
                <c:pt idx="1045">
                  <c:v>89.3114790347992</c:v>
                </c:pt>
                <c:pt idx="1046">
                  <c:v>89.5201636308356</c:v>
                </c:pt>
                <c:pt idx="1047">
                  <c:v>89.0772271207054</c:v>
                </c:pt>
                <c:pt idx="1048">
                  <c:v>89.0772271207054</c:v>
                </c:pt>
                <c:pt idx="1049">
                  <c:v>89.3937090577407</c:v>
                </c:pt>
                <c:pt idx="1050">
                  <c:v>90.3866884104038</c:v>
                </c:pt>
                <c:pt idx="1051">
                  <c:v>90.8330799635147</c:v>
                </c:pt>
                <c:pt idx="1052">
                  <c:v>90.8938887199757</c:v>
                </c:pt>
                <c:pt idx="1053">
                  <c:v>90.9367312529368</c:v>
                </c:pt>
                <c:pt idx="1054">
                  <c:v>90.8434450924569</c:v>
                </c:pt>
                <c:pt idx="1055">
                  <c:v>91.6318859006606</c:v>
                </c:pt>
                <c:pt idx="1056">
                  <c:v>91.1046463418005</c:v>
                </c:pt>
                <c:pt idx="1057">
                  <c:v>90.9595345366096</c:v>
                </c:pt>
                <c:pt idx="1058">
                  <c:v>90.7301196826889</c:v>
                </c:pt>
                <c:pt idx="1059">
                  <c:v>90.68865916692</c:v>
                </c:pt>
                <c:pt idx="1060">
                  <c:v>91.4957572072197</c:v>
                </c:pt>
                <c:pt idx="1061">
                  <c:v>91.595953453661</c:v>
                </c:pt>
                <c:pt idx="1062">
                  <c:v>92.9337460958014</c:v>
                </c:pt>
                <c:pt idx="1063">
                  <c:v>92.8943586058211</c:v>
                </c:pt>
                <c:pt idx="1064">
                  <c:v>93.082312943973</c:v>
                </c:pt>
                <c:pt idx="1065">
                  <c:v>93.2833964454518</c:v>
                </c:pt>
                <c:pt idx="1066">
                  <c:v>93.420907156085</c:v>
                </c:pt>
                <c:pt idx="1067">
                  <c:v>92.7775781530722</c:v>
                </c:pt>
                <c:pt idx="1068">
                  <c:v>93.4084690013544</c:v>
                </c:pt>
                <c:pt idx="1069">
                  <c:v>93.3207109096437</c:v>
                </c:pt>
                <c:pt idx="1070">
                  <c:v>92.8183476602449</c:v>
                </c:pt>
                <c:pt idx="1071">
                  <c:v>93.8417313911385</c:v>
                </c:pt>
                <c:pt idx="1072">
                  <c:v>94.0621631333094</c:v>
                </c:pt>
                <c:pt idx="1073">
                  <c:v>94.0621631333094</c:v>
                </c:pt>
                <c:pt idx="1074">
                  <c:v>94.1298819757318</c:v>
                </c:pt>
                <c:pt idx="1075">
                  <c:v>93.8154730644849</c:v>
                </c:pt>
                <c:pt idx="1076">
                  <c:v>94.2162580502501</c:v>
                </c:pt>
                <c:pt idx="1077">
                  <c:v>94.3738080101717</c:v>
                </c:pt>
                <c:pt idx="1078">
                  <c:v>94.5016446004588</c:v>
                </c:pt>
                <c:pt idx="1079">
                  <c:v>94.8188175460903</c:v>
                </c:pt>
                <c:pt idx="1080">
                  <c:v>94.3696619585948</c:v>
                </c:pt>
                <c:pt idx="1081">
                  <c:v>94.9508001879543</c:v>
                </c:pt>
                <c:pt idx="1082">
                  <c:v>94.6426103540728</c:v>
                </c:pt>
                <c:pt idx="1083">
                  <c:v>94.2763757981149</c:v>
                </c:pt>
                <c:pt idx="1084">
                  <c:v>92.8273307719948</c:v>
                </c:pt>
                <c:pt idx="1085">
                  <c:v>93.467895740623</c:v>
                </c:pt>
                <c:pt idx="1086">
                  <c:v>94.3855551563062</c:v>
                </c:pt>
                <c:pt idx="1087">
                  <c:v>94.728295419995</c:v>
                </c:pt>
                <c:pt idx="1088">
                  <c:v>94.7434976091103</c:v>
                </c:pt>
                <c:pt idx="1089">
                  <c:v>96.4613449791315</c:v>
                </c:pt>
                <c:pt idx="1090">
                  <c:v>96.345946543575</c:v>
                </c:pt>
                <c:pt idx="1091">
                  <c:v>96.9208656955692</c:v>
                </c:pt>
                <c:pt idx="1092">
                  <c:v>97.0293540451643</c:v>
                </c:pt>
                <c:pt idx="1093">
                  <c:v>97.4149368418143</c:v>
                </c:pt>
                <c:pt idx="1094">
                  <c:v>97.1226402056442</c:v>
                </c:pt>
                <c:pt idx="1095">
                  <c:v>96.9409049448575</c:v>
                </c:pt>
                <c:pt idx="1096">
                  <c:v>96.242295254153</c:v>
                </c:pt>
                <c:pt idx="1097">
                  <c:v>96.5415019762846</c:v>
                </c:pt>
                <c:pt idx="1098">
                  <c:v>97.8820586528096</c:v>
                </c:pt>
                <c:pt idx="1099">
                  <c:v>97.606346222947</c:v>
                </c:pt>
                <c:pt idx="1100">
                  <c:v>97.1240222228365</c:v>
                </c:pt>
                <c:pt idx="1101">
                  <c:v>96.9678542801072</c:v>
                </c:pt>
                <c:pt idx="1102">
                  <c:v>97.3264877415075</c:v>
                </c:pt>
                <c:pt idx="1103">
                  <c:v>98.0568838276348</c:v>
                </c:pt>
                <c:pt idx="1104">
                  <c:v>97.6657729622156</c:v>
                </c:pt>
                <c:pt idx="1105">
                  <c:v>96.6693385665718</c:v>
                </c:pt>
                <c:pt idx="1106">
                  <c:v>96.6085298101108</c:v>
                </c:pt>
                <c:pt idx="1107">
                  <c:v>96.6085298101108</c:v>
                </c:pt>
                <c:pt idx="1108">
                  <c:v>95.5112081594295</c:v>
                </c:pt>
                <c:pt idx="1109">
                  <c:v>93.8797368639266</c:v>
                </c:pt>
                <c:pt idx="1110">
                  <c:v>94.5790375632273</c:v>
                </c:pt>
                <c:pt idx="1111">
                  <c:v>95.8822797755604</c:v>
                </c:pt>
                <c:pt idx="1112">
                  <c:v>94.68614389563</c:v>
                </c:pt>
                <c:pt idx="1113">
                  <c:v>94.6384643024959</c:v>
                </c:pt>
                <c:pt idx="1114">
                  <c:v>96.1040935349236</c:v>
                </c:pt>
                <c:pt idx="1115">
                  <c:v>95.7143646866967</c:v>
                </c:pt>
                <c:pt idx="1116">
                  <c:v>95.1463556206639</c:v>
                </c:pt>
                <c:pt idx="1117">
                  <c:v>95.2576080046436</c:v>
                </c:pt>
                <c:pt idx="1118">
                  <c:v>94.4567290417093</c:v>
                </c:pt>
                <c:pt idx="1119">
                  <c:v>94.8043063655712</c:v>
                </c:pt>
                <c:pt idx="1120">
                  <c:v>96.0978744575582</c:v>
                </c:pt>
                <c:pt idx="1121">
                  <c:v>96.7398214433787</c:v>
                </c:pt>
                <c:pt idx="1122">
                  <c:v>96.9733823488764</c:v>
                </c:pt>
                <c:pt idx="1123">
                  <c:v>96.5967826639763</c:v>
                </c:pt>
                <c:pt idx="1124">
                  <c:v>97.1433704635286</c:v>
                </c:pt>
                <c:pt idx="1125">
                  <c:v>96.900826446281</c:v>
                </c:pt>
                <c:pt idx="1126">
                  <c:v>96.1586832140192</c:v>
                </c:pt>
                <c:pt idx="1127">
                  <c:v>94.605986898477</c:v>
                </c:pt>
                <c:pt idx="1128">
                  <c:v>94.6391553110921</c:v>
                </c:pt>
                <c:pt idx="1129">
                  <c:v>94.23422427375</c:v>
                </c:pt>
                <c:pt idx="1130">
                  <c:v>93.6026424168717</c:v>
                </c:pt>
                <c:pt idx="1131">
                  <c:v>93.8382763481578</c:v>
                </c:pt>
                <c:pt idx="1132">
                  <c:v>93.5204123939302</c:v>
                </c:pt>
                <c:pt idx="1133">
                  <c:v>92.4811354653252</c:v>
                </c:pt>
                <c:pt idx="1134">
                  <c:v>91.9497498548882</c:v>
                </c:pt>
                <c:pt idx="1135">
                  <c:v>91.5448188175461</c:v>
                </c:pt>
                <c:pt idx="1136">
                  <c:v>90.1669476768291</c:v>
                </c:pt>
                <c:pt idx="1137">
                  <c:v>89.5008153901435</c:v>
                </c:pt>
                <c:pt idx="1138">
                  <c:v>90.9360402443406</c:v>
                </c:pt>
                <c:pt idx="1139">
                  <c:v>90.980264794494</c:v>
                </c:pt>
                <c:pt idx="1140">
                  <c:v>91.1343597114348</c:v>
                </c:pt>
                <c:pt idx="1141">
                  <c:v>91.2601232759335</c:v>
                </c:pt>
                <c:pt idx="1142">
                  <c:v>91.0624948174355</c:v>
                </c:pt>
                <c:pt idx="1143">
                  <c:v>92.0713673678101</c:v>
                </c:pt>
                <c:pt idx="1144">
                  <c:v>90.7515409491694</c:v>
                </c:pt>
                <c:pt idx="1145">
                  <c:v>90.5449293789215</c:v>
                </c:pt>
                <c:pt idx="1146">
                  <c:v>88.313662621963</c:v>
                </c:pt>
                <c:pt idx="1147">
                  <c:v>88.3233367423091</c:v>
                </c:pt>
                <c:pt idx="1148">
                  <c:v>88.8291550346886</c:v>
                </c:pt>
                <c:pt idx="1149">
                  <c:v>90.876613505072</c:v>
                </c:pt>
                <c:pt idx="1150">
                  <c:v>90.8669393847259</c:v>
                </c:pt>
                <c:pt idx="1151">
                  <c:v>91.6042455568147</c:v>
                </c:pt>
                <c:pt idx="1152">
                  <c:v>90.4481881754609</c:v>
                </c:pt>
                <c:pt idx="1153">
                  <c:v>91.501976284585</c:v>
                </c:pt>
                <c:pt idx="1154">
                  <c:v>90.8593382901683</c:v>
                </c:pt>
                <c:pt idx="1155">
                  <c:v>91.8419525138893</c:v>
                </c:pt>
                <c:pt idx="1156">
                  <c:v>92.7913983249952</c:v>
                </c:pt>
                <c:pt idx="1157">
                  <c:v>92.9254539926477</c:v>
                </c:pt>
                <c:pt idx="1158">
                  <c:v>93.8375853395616</c:v>
                </c:pt>
                <c:pt idx="1159">
                  <c:v>93.679344371044</c:v>
                </c:pt>
                <c:pt idx="1160">
                  <c:v>91.5938804278725</c:v>
                </c:pt>
                <c:pt idx="1161">
                  <c:v>92.2510296028083</c:v>
                </c:pt>
                <c:pt idx="1162">
                  <c:v>90.7791812930153</c:v>
                </c:pt>
                <c:pt idx="1163">
                  <c:v>91.2124436827994</c:v>
                </c:pt>
                <c:pt idx="1164">
                  <c:v>92.0319798778297</c:v>
                </c:pt>
                <c:pt idx="1165">
                  <c:v>91.8378064623124</c:v>
                </c:pt>
                <c:pt idx="1166">
                  <c:v>94.1264269327511</c:v>
                </c:pt>
                <c:pt idx="1167">
                  <c:v>94.3579148124603</c:v>
                </c:pt>
                <c:pt idx="1168">
                  <c:v>94.9459631277813</c:v>
                </c:pt>
                <c:pt idx="1169">
                  <c:v>94.9459631277813</c:v>
                </c:pt>
                <c:pt idx="1170">
                  <c:v>94.5009535918627</c:v>
                </c:pt>
                <c:pt idx="1171">
                  <c:v>93.6095525028331</c:v>
                </c:pt>
                <c:pt idx="1172">
                  <c:v>93.4561485944885</c:v>
                </c:pt>
                <c:pt idx="1173">
                  <c:v>92.696730147323</c:v>
                </c:pt>
                <c:pt idx="1174">
                  <c:v>92.6953481301307</c:v>
                </c:pt>
                <c:pt idx="1175">
                  <c:v>92.2330633793084</c:v>
                </c:pt>
                <c:pt idx="1176">
                  <c:v>93.754664308024</c:v>
                </c:pt>
                <c:pt idx="1177">
                  <c:v>93.5376876088339</c:v>
                </c:pt>
                <c:pt idx="1178">
                  <c:v>94.2307692307692</c:v>
                </c:pt>
                <c:pt idx="1179">
                  <c:v>94.8602780618591</c:v>
                </c:pt>
                <c:pt idx="1180">
                  <c:v>95.1180242682219</c:v>
                </c:pt>
                <c:pt idx="1181">
                  <c:v>94.1609773625584</c:v>
                </c:pt>
                <c:pt idx="1182">
                  <c:v>93.322092926836</c:v>
                </c:pt>
                <c:pt idx="1183">
                  <c:v>92.4783714309406</c:v>
                </c:pt>
                <c:pt idx="1184">
                  <c:v>92.4493490699024</c:v>
                </c:pt>
                <c:pt idx="1185">
                  <c:v>93.9785510931756</c:v>
                </c:pt>
                <c:pt idx="1186">
                  <c:v>95.7717184001769</c:v>
                </c:pt>
                <c:pt idx="1187">
                  <c:v>95.7254208242351</c:v>
                </c:pt>
                <c:pt idx="1188">
                  <c:v>95.3121976837392</c:v>
                </c:pt>
                <c:pt idx="1189">
                  <c:v>95.0233560905498</c:v>
                </c:pt>
                <c:pt idx="1190">
                  <c:v>94.3226733740568</c:v>
                </c:pt>
                <c:pt idx="1191">
                  <c:v>96.1186047154427</c:v>
                </c:pt>
                <c:pt idx="1192">
                  <c:v>96.3424915005943</c:v>
                </c:pt>
                <c:pt idx="1193">
                  <c:v>96.8344896210509</c:v>
                </c:pt>
                <c:pt idx="1194">
                  <c:v>96.8946073689157</c:v>
                </c:pt>
                <c:pt idx="1195">
                  <c:v>96.9346858674922</c:v>
                </c:pt>
                <c:pt idx="1196">
                  <c:v>97.1468255065093</c:v>
                </c:pt>
                <c:pt idx="1197">
                  <c:v>97.0252079935874</c:v>
                </c:pt>
                <c:pt idx="1198">
                  <c:v>97.0127698388568</c:v>
                </c:pt>
                <c:pt idx="1199">
                  <c:v>97.1233312142403</c:v>
                </c:pt>
                <c:pt idx="1200">
                  <c:v>97.8129577931949</c:v>
                </c:pt>
                <c:pt idx="1201">
                  <c:v>97.9960750711739</c:v>
                </c:pt>
                <c:pt idx="1202">
                  <c:v>97.9940020453854</c:v>
                </c:pt>
                <c:pt idx="1203">
                  <c:v>97.6512617816966</c:v>
                </c:pt>
                <c:pt idx="1204">
                  <c:v>97.6733740567733</c:v>
                </c:pt>
                <c:pt idx="1205">
                  <c:v>96.8849332485696</c:v>
                </c:pt>
                <c:pt idx="1206">
                  <c:v>97.5102960280826</c:v>
                </c:pt>
                <c:pt idx="1207">
                  <c:v>97.4626164349484</c:v>
                </c:pt>
                <c:pt idx="1208">
                  <c:v>97.3838414549877</c:v>
                </c:pt>
                <c:pt idx="1209">
                  <c:v>97.4660714779292</c:v>
                </c:pt>
                <c:pt idx="1210">
                  <c:v>96.7052710135714</c:v>
                </c:pt>
                <c:pt idx="1211">
                  <c:v>97.1958871168357</c:v>
                </c:pt>
                <c:pt idx="1212">
                  <c:v>97.1958871168357</c:v>
                </c:pt>
                <c:pt idx="1213">
                  <c:v>97.0825617070676</c:v>
                </c:pt>
                <c:pt idx="1214">
                  <c:v>96.9789104176456</c:v>
                </c:pt>
                <c:pt idx="1215">
                  <c:v>98.960723071395</c:v>
                </c:pt>
                <c:pt idx="1216">
                  <c:v>99.3615080571602</c:v>
                </c:pt>
                <c:pt idx="1217">
                  <c:v>98.7506564581663</c:v>
                </c:pt>
                <c:pt idx="1218">
                  <c:v>99.0602283092402</c:v>
                </c:pt>
                <c:pt idx="1219">
                  <c:v>99.2675308880842</c:v>
                </c:pt>
                <c:pt idx="1220">
                  <c:v>100.886564028857</c:v>
                </c:pt>
                <c:pt idx="1221">
                  <c:v>101.285966997429</c:v>
                </c:pt>
                <c:pt idx="1222">
                  <c:v>100.969485060394</c:v>
                </c:pt>
                <c:pt idx="1223">
                  <c:v>100.840266452915</c:v>
                </c:pt>
                <c:pt idx="1224">
                  <c:v>100.959810940048</c:v>
                </c:pt>
                <c:pt idx="1225">
                  <c:v>100.905221260953</c:v>
                </c:pt>
                <c:pt idx="1226">
                  <c:v>100.897620166395</c:v>
                </c:pt>
                <c:pt idx="1227">
                  <c:v>100.672351364051</c:v>
                </c:pt>
                <c:pt idx="1228">
                  <c:v>99.6151082119462</c:v>
                </c:pt>
                <c:pt idx="1229">
                  <c:v>99.0436441029326</c:v>
                </c:pt>
                <c:pt idx="1230">
                  <c:v>99.9993089914038</c:v>
                </c:pt>
                <c:pt idx="1231">
                  <c:v>99.5515354211006</c:v>
                </c:pt>
                <c:pt idx="1232">
                  <c:v>99.8155007048288</c:v>
                </c:pt>
                <c:pt idx="1233">
                  <c:v>99.9025677879433</c:v>
                </c:pt>
                <c:pt idx="1234">
                  <c:v>100.264656292324</c:v>
                </c:pt>
                <c:pt idx="1235">
                  <c:v>100.983996240913</c:v>
                </c:pt>
                <c:pt idx="1236">
                  <c:v>100.951518836894</c:v>
                </c:pt>
                <c:pt idx="1237">
                  <c:v>100.60255949584</c:v>
                </c:pt>
                <c:pt idx="1238">
                  <c:v>99.6075071173885</c:v>
                </c:pt>
                <c:pt idx="1239">
                  <c:v>98.9911274496255</c:v>
                </c:pt>
                <c:pt idx="1240">
                  <c:v>99.0104756903176</c:v>
                </c:pt>
                <c:pt idx="1241">
                  <c:v>98.7167970369551</c:v>
                </c:pt>
                <c:pt idx="1242">
                  <c:v>99.5142209569087</c:v>
                </c:pt>
                <c:pt idx="1243">
                  <c:v>100.53622267061</c:v>
                </c:pt>
                <c:pt idx="1244">
                  <c:v>100.950136819702</c:v>
                </c:pt>
                <c:pt idx="1245">
                  <c:v>100.703446750878</c:v>
                </c:pt>
                <c:pt idx="1246">
                  <c:v>99.0346609911827</c:v>
                </c:pt>
                <c:pt idx="1247">
                  <c:v>99.07819453274</c:v>
                </c:pt>
                <c:pt idx="1248">
                  <c:v>97.6471157301197</c:v>
                </c:pt>
                <c:pt idx="1249">
                  <c:v>97.3458359821996</c:v>
                </c:pt>
                <c:pt idx="1250">
                  <c:v>97.6374416097736</c:v>
                </c:pt>
                <c:pt idx="1251">
                  <c:v>97.5662677243705</c:v>
                </c:pt>
                <c:pt idx="1252">
                  <c:v>97.5662677243705</c:v>
                </c:pt>
                <c:pt idx="1253">
                  <c:v>97.5662677243705</c:v>
                </c:pt>
                <c:pt idx="1254">
                  <c:v>97.5814699134857</c:v>
                </c:pt>
                <c:pt idx="1255">
                  <c:v>98.6476961773404</c:v>
                </c:pt>
                <c:pt idx="1256">
                  <c:v>97.7224356670997</c:v>
                </c:pt>
                <c:pt idx="1257">
                  <c:v>97.9338842975207</c:v>
                </c:pt>
                <c:pt idx="1258">
                  <c:v>98.7029768650322</c:v>
                </c:pt>
                <c:pt idx="1259">
                  <c:v>96.3632217584787</c:v>
                </c:pt>
                <c:pt idx="1260">
                  <c:v>95.1871251278366</c:v>
                </c:pt>
                <c:pt idx="1261">
                  <c:v>95.348821139335</c:v>
                </c:pt>
                <c:pt idx="1262">
                  <c:v>95.3612592940656</c:v>
                </c:pt>
                <c:pt idx="1263">
                  <c:v>94.9812045661848</c:v>
                </c:pt>
                <c:pt idx="1264">
                  <c:v>93.665524199121</c:v>
                </c:pt>
                <c:pt idx="1265">
                  <c:v>93.5162663423533</c:v>
                </c:pt>
                <c:pt idx="1266">
                  <c:v>93.9688769728295</c:v>
                </c:pt>
                <c:pt idx="1267">
                  <c:v>95.8352911910224</c:v>
                </c:pt>
                <c:pt idx="1268">
                  <c:v>95.8988639818679</c:v>
                </c:pt>
                <c:pt idx="1269">
                  <c:v>96.1213687498272</c:v>
                </c:pt>
                <c:pt idx="1270">
                  <c:v>96.1213687498272</c:v>
                </c:pt>
                <c:pt idx="1271">
                  <c:v>97.3734763260455</c:v>
                </c:pt>
                <c:pt idx="1272">
                  <c:v>97.1758478675475</c:v>
                </c:pt>
                <c:pt idx="1273">
                  <c:v>96.6679565493795</c:v>
                </c:pt>
                <c:pt idx="1274">
                  <c:v>97.427374996545</c:v>
                </c:pt>
                <c:pt idx="1275">
                  <c:v>97.8433621714254</c:v>
                </c:pt>
                <c:pt idx="1276">
                  <c:v>97.8592553691368</c:v>
                </c:pt>
                <c:pt idx="1277">
                  <c:v>97.394897592526</c:v>
                </c:pt>
                <c:pt idx="1278">
                  <c:v>97.2283645208546</c:v>
                </c:pt>
                <c:pt idx="1279">
                  <c:v>97.3824594377954</c:v>
                </c:pt>
                <c:pt idx="1280">
                  <c:v>97.7044694435999</c:v>
                </c:pt>
                <c:pt idx="1281">
                  <c:v>97.9898559938086</c:v>
                </c:pt>
                <c:pt idx="1282">
                  <c:v>98.0230244064236</c:v>
                </c:pt>
                <c:pt idx="1283">
                  <c:v>98.6649713922441</c:v>
                </c:pt>
                <c:pt idx="1284">
                  <c:v>98.7091959423975</c:v>
                </c:pt>
                <c:pt idx="1285">
                  <c:v>98.0852151800768</c:v>
                </c:pt>
                <c:pt idx="1286">
                  <c:v>97.6795931341386</c:v>
                </c:pt>
                <c:pt idx="1287">
                  <c:v>98.8391055584731</c:v>
                </c:pt>
                <c:pt idx="1288">
                  <c:v>99.9744326819426</c:v>
                </c:pt>
                <c:pt idx="1289">
                  <c:v>99.2157052433732</c:v>
                </c:pt>
                <c:pt idx="1290">
                  <c:v>99.760220017137</c:v>
                </c:pt>
                <c:pt idx="1291">
                  <c:v>98.8245943779541</c:v>
                </c:pt>
                <c:pt idx="1292">
                  <c:v>98.5834323778988</c:v>
                </c:pt>
                <c:pt idx="1293">
                  <c:v>98.1114735067304</c:v>
                </c:pt>
                <c:pt idx="1294">
                  <c:v>97.991929019597</c:v>
                </c:pt>
                <c:pt idx="1295">
                  <c:v>96.9091185494348</c:v>
                </c:pt>
                <c:pt idx="1296">
                  <c:v>98.5509549738799</c:v>
                </c:pt>
                <c:pt idx="1297">
                  <c:v>101.05447911772</c:v>
                </c:pt>
                <c:pt idx="1298">
                  <c:v>100.843721495895</c:v>
                </c:pt>
                <c:pt idx="1299">
                  <c:v>101.33433759916</c:v>
                </c:pt>
                <c:pt idx="1300">
                  <c:v>101.017855662124</c:v>
                </c:pt>
                <c:pt idx="1301">
                  <c:v>100.690317587551</c:v>
                </c:pt>
                <c:pt idx="1302">
                  <c:v>100.95773791426</c:v>
                </c:pt>
                <c:pt idx="1303">
                  <c:v>101.724757455983</c:v>
                </c:pt>
                <c:pt idx="1304">
                  <c:v>101.71992039581</c:v>
                </c:pt>
                <c:pt idx="1305">
                  <c:v>101.625252218138</c:v>
                </c:pt>
                <c:pt idx="1306">
                  <c:v>101.739959645098</c:v>
                </c:pt>
                <c:pt idx="1307">
                  <c:v>101.759998894386</c:v>
                </c:pt>
                <c:pt idx="1308">
                  <c:v>102.334227037784</c:v>
                </c:pt>
                <c:pt idx="1309">
                  <c:v>102.682495370242</c:v>
                </c:pt>
                <c:pt idx="1310">
                  <c:v>102.682495370242</c:v>
                </c:pt>
                <c:pt idx="1311">
                  <c:v>103.137179026507</c:v>
                </c:pt>
                <c:pt idx="1312">
                  <c:v>103.29265596064</c:v>
                </c:pt>
                <c:pt idx="1313">
                  <c:v>103.293346969236</c:v>
                </c:pt>
                <c:pt idx="1314">
                  <c:v>103.8558279665</c:v>
                </c:pt>
                <c:pt idx="1315">
                  <c:v>103.663727576771</c:v>
                </c:pt>
                <c:pt idx="1316">
                  <c:v>104.19304016142</c:v>
                </c:pt>
                <c:pt idx="1317">
                  <c:v>103.786727106885</c:v>
                </c:pt>
                <c:pt idx="1318">
                  <c:v>103.520688797369</c:v>
                </c:pt>
                <c:pt idx="1319">
                  <c:v>104.561347743166</c:v>
                </c:pt>
                <c:pt idx="1320">
                  <c:v>103.354846734293</c:v>
                </c:pt>
                <c:pt idx="1321">
                  <c:v>104.43143812709</c:v>
                </c:pt>
                <c:pt idx="1322">
                  <c:v>104.488791840571</c:v>
                </c:pt>
                <c:pt idx="1323">
                  <c:v>104.300146493822</c:v>
                </c:pt>
                <c:pt idx="1324">
                  <c:v>104.890267834932</c:v>
                </c:pt>
                <c:pt idx="1325">
                  <c:v>104.826695044086</c:v>
                </c:pt>
                <c:pt idx="1326">
                  <c:v>104.993919124354</c:v>
                </c:pt>
                <c:pt idx="1327">
                  <c:v>105.056109898007</c:v>
                </c:pt>
                <c:pt idx="1328">
                  <c:v>105.128665800603</c:v>
                </c:pt>
                <c:pt idx="1329">
                  <c:v>105.018795433815</c:v>
                </c:pt>
                <c:pt idx="1330">
                  <c:v>105.018795433815</c:v>
                </c:pt>
                <c:pt idx="1331">
                  <c:v>105.789270018519</c:v>
                </c:pt>
                <c:pt idx="1332">
                  <c:v>104.477044694436</c:v>
                </c:pt>
                <c:pt idx="1333">
                  <c:v>103.818513502308</c:v>
                </c:pt>
                <c:pt idx="1334">
                  <c:v>104.72926283203</c:v>
                </c:pt>
                <c:pt idx="1335">
                  <c:v>102.811713977722</c:v>
                </c:pt>
                <c:pt idx="1336">
                  <c:v>103.439840791619</c:v>
                </c:pt>
                <c:pt idx="1337">
                  <c:v>104.756212167279</c:v>
                </c:pt>
                <c:pt idx="1338">
                  <c:v>104.665690041184</c:v>
                </c:pt>
                <c:pt idx="1339">
                  <c:v>104.908925067028</c:v>
                </c:pt>
                <c:pt idx="1340">
                  <c:v>105.392631084331</c:v>
                </c:pt>
                <c:pt idx="1341">
                  <c:v>106.400812626109</c:v>
                </c:pt>
                <c:pt idx="1342">
                  <c:v>106.516211061666</c:v>
                </c:pt>
                <c:pt idx="1343">
                  <c:v>106.709693468587</c:v>
                </c:pt>
                <c:pt idx="1344">
                  <c:v>107.18787141712</c:v>
                </c:pt>
                <c:pt idx="1345">
                  <c:v>107.536139749578</c:v>
                </c:pt>
                <c:pt idx="1346">
                  <c:v>107.27770253462</c:v>
                </c:pt>
                <c:pt idx="1347">
                  <c:v>107.418668288234</c:v>
                </c:pt>
                <c:pt idx="1348">
                  <c:v>108.020536775477</c:v>
                </c:pt>
                <c:pt idx="1349">
                  <c:v>107.845711600652</c:v>
                </c:pt>
                <c:pt idx="1350">
                  <c:v>107.251444207966</c:v>
                </c:pt>
                <c:pt idx="1351">
                  <c:v>106.991624975815</c:v>
                </c:pt>
                <c:pt idx="1352">
                  <c:v>107.708200890019</c:v>
                </c:pt>
                <c:pt idx="1353">
                  <c:v>106.816108792393</c:v>
                </c:pt>
                <c:pt idx="1354">
                  <c:v>107.58243732552</c:v>
                </c:pt>
                <c:pt idx="1355">
                  <c:v>107.223112855524</c:v>
                </c:pt>
                <c:pt idx="1356">
                  <c:v>108.057851239669</c:v>
                </c:pt>
                <c:pt idx="1357">
                  <c:v>107.994278448824</c:v>
                </c:pt>
                <c:pt idx="1358">
                  <c:v>108.432377898781</c:v>
                </c:pt>
                <c:pt idx="1359">
                  <c:v>108.432377898781</c:v>
                </c:pt>
                <c:pt idx="1360">
                  <c:v>107.947289864286</c:v>
                </c:pt>
                <c:pt idx="1361">
                  <c:v>108.505624809973</c:v>
                </c:pt>
                <c:pt idx="1362">
                  <c:v>107.361314574753</c:v>
                </c:pt>
                <c:pt idx="1363">
                  <c:v>107.79595898173</c:v>
                </c:pt>
                <c:pt idx="1364">
                  <c:v>107.332983222311</c:v>
                </c:pt>
                <c:pt idx="1365">
                  <c:v>108.009480637939</c:v>
                </c:pt>
                <c:pt idx="1366">
                  <c:v>108.392299400205</c:v>
                </c:pt>
                <c:pt idx="1367">
                  <c:v>109.713507836037</c:v>
                </c:pt>
                <c:pt idx="1368">
                  <c:v>110.103236684264</c:v>
                </c:pt>
                <c:pt idx="1369">
                  <c:v>109.790900798806</c:v>
                </c:pt>
                <c:pt idx="1370">
                  <c:v>107.269410431466</c:v>
                </c:pt>
                <c:pt idx="1371">
                  <c:v>108.804140523508</c:v>
                </c:pt>
                <c:pt idx="1372">
                  <c:v>107.245225130601</c:v>
                </c:pt>
                <c:pt idx="1373">
                  <c:v>106.526576190608</c:v>
                </c:pt>
                <c:pt idx="1374">
                  <c:v>107.469111915752</c:v>
                </c:pt>
                <c:pt idx="1375">
                  <c:v>107.970093147959</c:v>
                </c:pt>
                <c:pt idx="1376">
                  <c:v>109.095055142486</c:v>
                </c:pt>
                <c:pt idx="1377">
                  <c:v>109.095746151082</c:v>
                </c:pt>
                <c:pt idx="1378">
                  <c:v>109.535918626828</c:v>
                </c:pt>
                <c:pt idx="1379">
                  <c:v>109.334144116753</c:v>
                </c:pt>
                <c:pt idx="1380">
                  <c:v>110.119820890572</c:v>
                </c:pt>
                <c:pt idx="1381">
                  <c:v>110.393460294646</c:v>
                </c:pt>
                <c:pt idx="1382">
                  <c:v>109.365930512176</c:v>
                </c:pt>
                <c:pt idx="1383">
                  <c:v>110.394842311838</c:v>
                </c:pt>
                <c:pt idx="1384">
                  <c:v>111.557809779154</c:v>
                </c:pt>
                <c:pt idx="1385">
                  <c:v>111.770640426767</c:v>
                </c:pt>
                <c:pt idx="1386">
                  <c:v>112.355233699107</c:v>
                </c:pt>
                <c:pt idx="1387">
                  <c:v>112.820282484314</c:v>
                </c:pt>
                <c:pt idx="1388">
                  <c:v>112.404295309434</c:v>
                </c:pt>
                <c:pt idx="1389">
                  <c:v>112.890074352525</c:v>
                </c:pt>
                <c:pt idx="1390">
                  <c:v>112.894911412698</c:v>
                </c:pt>
                <c:pt idx="1391">
                  <c:v>114.039912656513</c:v>
                </c:pt>
                <c:pt idx="1392">
                  <c:v>114.623123911661</c:v>
                </c:pt>
                <c:pt idx="1393">
                  <c:v>114.048895768263</c:v>
                </c:pt>
                <c:pt idx="1394">
                  <c:v>115.223610381713</c:v>
                </c:pt>
                <c:pt idx="1395">
                  <c:v>115.142071367368</c:v>
                </c:pt>
                <c:pt idx="1396">
                  <c:v>115.340390834462</c:v>
                </c:pt>
                <c:pt idx="1397">
                  <c:v>114.386107963183</c:v>
                </c:pt>
                <c:pt idx="1398">
                  <c:v>114.051659802648</c:v>
                </c:pt>
                <c:pt idx="1399">
                  <c:v>113.988778020399</c:v>
                </c:pt>
                <c:pt idx="1400">
                  <c:v>113.988778020399</c:v>
                </c:pt>
                <c:pt idx="1401">
                  <c:v>114.711573011968</c:v>
                </c:pt>
                <c:pt idx="1402">
                  <c:v>113.903092954476</c:v>
                </c:pt>
                <c:pt idx="1403">
                  <c:v>114.321153155145</c:v>
                </c:pt>
                <c:pt idx="1404">
                  <c:v>112.685535808065</c:v>
                </c:pt>
                <c:pt idx="1405">
                  <c:v>113.354432129136</c:v>
                </c:pt>
                <c:pt idx="1406">
                  <c:v>112.729760358219</c:v>
                </c:pt>
                <c:pt idx="1407">
                  <c:v>111.176373034081</c:v>
                </c:pt>
                <c:pt idx="1408">
                  <c:v>112.120290776417</c:v>
                </c:pt>
                <c:pt idx="1409">
                  <c:v>113.558970673595</c:v>
                </c:pt>
                <c:pt idx="1410">
                  <c:v>113.519583183615</c:v>
                </c:pt>
                <c:pt idx="1411">
                  <c:v>112.366980845242</c:v>
                </c:pt>
                <c:pt idx="1412">
                  <c:v>111.426518145886</c:v>
                </c:pt>
                <c:pt idx="1413">
                  <c:v>113.0738826391</c:v>
                </c:pt>
                <c:pt idx="1414">
                  <c:v>112.408441361011</c:v>
                </c:pt>
                <c:pt idx="1415">
                  <c:v>113.259072942867</c:v>
                </c:pt>
                <c:pt idx="1416">
                  <c:v>114.141490920147</c:v>
                </c:pt>
                <c:pt idx="1417">
                  <c:v>112.560463252163</c:v>
                </c:pt>
                <c:pt idx="1418">
                  <c:v>109.74529423146</c:v>
                </c:pt>
                <c:pt idx="1419">
                  <c:v>110.038281876227</c:v>
                </c:pt>
                <c:pt idx="1420">
                  <c:v>108.701871251278</c:v>
                </c:pt>
                <c:pt idx="1421">
                  <c:v>109.734238093922</c:v>
                </c:pt>
                <c:pt idx="1422">
                  <c:v>110.786644185854</c:v>
                </c:pt>
                <c:pt idx="1423">
                  <c:v>111.473506730424</c:v>
                </c:pt>
                <c:pt idx="1424">
                  <c:v>110.99532878189</c:v>
                </c:pt>
                <c:pt idx="1425">
                  <c:v>111.595124243346</c:v>
                </c:pt>
                <c:pt idx="1426">
                  <c:v>111.534315486885</c:v>
                </c:pt>
                <c:pt idx="1427">
                  <c:v>111.626219630172</c:v>
                </c:pt>
                <c:pt idx="1428">
                  <c:v>111.626219630172</c:v>
                </c:pt>
                <c:pt idx="1429">
                  <c:v>112.765001796622</c:v>
                </c:pt>
                <c:pt idx="1430">
                  <c:v>113.35719616352</c:v>
                </c:pt>
                <c:pt idx="1431">
                  <c:v>114.176732358551</c:v>
                </c:pt>
                <c:pt idx="1432">
                  <c:v>114.197462616435</c:v>
                </c:pt>
                <c:pt idx="1433">
                  <c:v>115.745321871804</c:v>
                </c:pt>
                <c:pt idx="1434">
                  <c:v>116.102573316012</c:v>
                </c:pt>
                <c:pt idx="1435">
                  <c:v>116.262196301722</c:v>
                </c:pt>
                <c:pt idx="1436">
                  <c:v>115.831006937726</c:v>
                </c:pt>
                <c:pt idx="1437">
                  <c:v>116.152325934935</c:v>
                </c:pt>
                <c:pt idx="1438">
                  <c:v>116.736919207275</c:v>
                </c:pt>
                <c:pt idx="1439">
                  <c:v>116.924873545427</c:v>
                </c:pt>
                <c:pt idx="1440">
                  <c:v>117.162580502501</c:v>
                </c:pt>
                <c:pt idx="1441">
                  <c:v>116.945603803311</c:v>
                </c:pt>
                <c:pt idx="1442">
                  <c:v>116.499903258797</c:v>
                </c:pt>
                <c:pt idx="1443">
                  <c:v>116.797727963736</c:v>
                </c:pt>
                <c:pt idx="1444">
                  <c:v>116.894469167196</c:v>
                </c:pt>
                <c:pt idx="1445">
                  <c:v>116.457751734432</c:v>
                </c:pt>
                <c:pt idx="1446">
                  <c:v>116.501285275989</c:v>
                </c:pt>
                <c:pt idx="1447">
                  <c:v>116.485392078277</c:v>
                </c:pt>
                <c:pt idx="1448">
                  <c:v>117.946184250532</c:v>
                </c:pt>
                <c:pt idx="1449">
                  <c:v>118.139666657453</c:v>
                </c:pt>
                <c:pt idx="1450">
                  <c:v>117.964841482628</c:v>
                </c:pt>
                <c:pt idx="1451">
                  <c:v>117.289726084192</c:v>
                </c:pt>
                <c:pt idx="1452">
                  <c:v>116.843334531082</c:v>
                </c:pt>
                <c:pt idx="1453">
                  <c:v>117.29732717875</c:v>
                </c:pt>
                <c:pt idx="1454">
                  <c:v>116.878575969485</c:v>
                </c:pt>
                <c:pt idx="1455">
                  <c:v>116.743829293236</c:v>
                </c:pt>
                <c:pt idx="1456">
                  <c:v>117.067912324829</c:v>
                </c:pt>
                <c:pt idx="1457">
                  <c:v>116.461897786008</c:v>
                </c:pt>
                <c:pt idx="1458">
                  <c:v>114.798640095083</c:v>
                </c:pt>
                <c:pt idx="1459">
                  <c:v>114.419276375798</c:v>
                </c:pt>
                <c:pt idx="1460">
                  <c:v>113.744160977363</c:v>
                </c:pt>
                <c:pt idx="1461">
                  <c:v>114.178805384339</c:v>
                </c:pt>
                <c:pt idx="1462">
                  <c:v>113.518892175019</c:v>
                </c:pt>
                <c:pt idx="1463">
                  <c:v>114.497360347163</c:v>
                </c:pt>
                <c:pt idx="1464">
                  <c:v>114.949279969043</c:v>
                </c:pt>
                <c:pt idx="1465">
                  <c:v>114.484922192432</c:v>
                </c:pt>
                <c:pt idx="1466">
                  <c:v>112.667569584566</c:v>
                </c:pt>
                <c:pt idx="1467">
                  <c:v>112.977141435639</c:v>
                </c:pt>
                <c:pt idx="1468">
                  <c:v>113.198955195003</c:v>
                </c:pt>
                <c:pt idx="1469">
                  <c:v>112.839630725006</c:v>
                </c:pt>
                <c:pt idx="1470">
                  <c:v>112.839630725006</c:v>
                </c:pt>
                <c:pt idx="1471">
                  <c:v>113.309516570386</c:v>
                </c:pt>
                <c:pt idx="1472">
                  <c:v>114.229249011858</c:v>
                </c:pt>
                <c:pt idx="1473">
                  <c:v>114.367450731087</c:v>
                </c:pt>
                <c:pt idx="1474">
                  <c:v>114.373669808452</c:v>
                </c:pt>
                <c:pt idx="1475">
                  <c:v>115.516598026479</c:v>
                </c:pt>
                <c:pt idx="1476">
                  <c:v>116.365156582548</c:v>
                </c:pt>
                <c:pt idx="1477">
                  <c:v>116.720335000967</c:v>
                </c:pt>
                <c:pt idx="1478">
                  <c:v>116.325769092567</c:v>
                </c:pt>
                <c:pt idx="1479">
                  <c:v>116.641560021007</c:v>
                </c:pt>
                <c:pt idx="1480">
                  <c:v>117.305619281904</c:v>
                </c:pt>
                <c:pt idx="1481">
                  <c:v>117.800381436745</c:v>
                </c:pt>
                <c:pt idx="1482">
                  <c:v>119.234915282346</c:v>
                </c:pt>
                <c:pt idx="1483">
                  <c:v>119.015174548771</c:v>
                </c:pt>
                <c:pt idx="1484">
                  <c:v>118.156250863761</c:v>
                </c:pt>
                <c:pt idx="1485">
                  <c:v>117.59860692667</c:v>
                </c:pt>
                <c:pt idx="1486">
                  <c:v>117.293181127173</c:v>
                </c:pt>
                <c:pt idx="1487">
                  <c:v>116.971862129965</c:v>
                </c:pt>
                <c:pt idx="1488">
                  <c:v>117.379557201692</c:v>
                </c:pt>
                <c:pt idx="1489">
                  <c:v>116.901379253158</c:v>
                </c:pt>
                <c:pt idx="1490">
                  <c:v>116.196550485088</c:v>
                </c:pt>
                <c:pt idx="1491">
                  <c:v>117.125957046906</c:v>
                </c:pt>
                <c:pt idx="1492">
                  <c:v>117.047873075541</c:v>
                </c:pt>
                <c:pt idx="1493">
                  <c:v>115.996849000802</c:v>
                </c:pt>
                <c:pt idx="1494">
                  <c:v>116.81500317864</c:v>
                </c:pt>
                <c:pt idx="1495">
                  <c:v>115.82133281738</c:v>
                </c:pt>
                <c:pt idx="1496">
                  <c:v>114.393018049145</c:v>
                </c:pt>
                <c:pt idx="1497">
                  <c:v>114.458663865779</c:v>
                </c:pt>
                <c:pt idx="1498">
                  <c:v>116.957350949446</c:v>
                </c:pt>
                <c:pt idx="1499">
                  <c:v>117.692584095746</c:v>
                </c:pt>
                <c:pt idx="1500">
                  <c:v>118.172144061472</c:v>
                </c:pt>
                <c:pt idx="1501">
                  <c:v>117.337405677327</c:v>
                </c:pt>
                <c:pt idx="1502">
                  <c:v>118.95989386108</c:v>
                </c:pt>
                <c:pt idx="1503">
                  <c:v>119.762154841206</c:v>
                </c:pt>
                <c:pt idx="1504">
                  <c:v>120.546449597833</c:v>
                </c:pt>
                <c:pt idx="1505">
                  <c:v>120.557505735371</c:v>
                </c:pt>
                <c:pt idx="1506">
                  <c:v>121.249205340114</c:v>
                </c:pt>
                <c:pt idx="1507">
                  <c:v>120.676359213909</c:v>
                </c:pt>
                <c:pt idx="1508">
                  <c:v>121.069543105116</c:v>
                </c:pt>
                <c:pt idx="1509">
                  <c:v>121.601619724149</c:v>
                </c:pt>
                <c:pt idx="1510">
                  <c:v>121.763315735648</c:v>
                </c:pt>
                <c:pt idx="1511">
                  <c:v>122.443268194256</c:v>
                </c:pt>
                <c:pt idx="1512">
                  <c:v>121.846236767185</c:v>
                </c:pt>
                <c:pt idx="1513">
                  <c:v>121.378423947594</c:v>
                </c:pt>
                <c:pt idx="1514">
                  <c:v>121.730838331629</c:v>
                </c:pt>
                <c:pt idx="1515">
                  <c:v>122.165482738605</c:v>
                </c:pt>
                <c:pt idx="1516">
                  <c:v>121.822742474916</c:v>
                </c:pt>
                <c:pt idx="1517">
                  <c:v>122.342380939219</c:v>
                </c:pt>
                <c:pt idx="1518">
                  <c:v>120.729566875812</c:v>
                </c:pt>
                <c:pt idx="1519">
                  <c:v>122.350673042373</c:v>
                </c:pt>
                <c:pt idx="1520">
                  <c:v>122.439122142679</c:v>
                </c:pt>
                <c:pt idx="1521">
                  <c:v>122.148898532298</c:v>
                </c:pt>
                <c:pt idx="1522">
                  <c:v>123.137731833384</c:v>
                </c:pt>
                <c:pt idx="1523">
                  <c:v>123.733381243263</c:v>
                </c:pt>
                <c:pt idx="1524">
                  <c:v>124.25578374195</c:v>
                </c:pt>
                <c:pt idx="1525">
                  <c:v>123.796263025512</c:v>
                </c:pt>
                <c:pt idx="1526">
                  <c:v>123.543353879322</c:v>
                </c:pt>
                <c:pt idx="1527">
                  <c:v>123.094198291827</c:v>
                </c:pt>
                <c:pt idx="1528">
                  <c:v>124.094778739048</c:v>
                </c:pt>
                <c:pt idx="1529">
                  <c:v>124.710467398214</c:v>
                </c:pt>
                <c:pt idx="1530">
                  <c:v>124.552917438293</c:v>
                </c:pt>
                <c:pt idx="1531">
                  <c:v>124.571574670389</c:v>
                </c:pt>
                <c:pt idx="1532">
                  <c:v>124.881146521463</c:v>
                </c:pt>
                <c:pt idx="1533">
                  <c:v>124.881146521463</c:v>
                </c:pt>
                <c:pt idx="1534">
                  <c:v>124.78302330081</c:v>
                </c:pt>
                <c:pt idx="1535">
                  <c:v>124.443738080102</c:v>
                </c:pt>
                <c:pt idx="1536">
                  <c:v>124.046408137317</c:v>
                </c:pt>
                <c:pt idx="1537">
                  <c:v>123.884712125819</c:v>
                </c:pt>
                <c:pt idx="1538">
                  <c:v>123.347107438017</c:v>
                </c:pt>
                <c:pt idx="1539">
                  <c:v>124.733270681887</c:v>
                </c:pt>
                <c:pt idx="1540">
                  <c:v>124.959921501423</c:v>
                </c:pt>
                <c:pt idx="1541">
                  <c:v>124.562591558639</c:v>
                </c:pt>
                <c:pt idx="1542">
                  <c:v>123.152934022499</c:v>
                </c:pt>
                <c:pt idx="1543">
                  <c:v>122.688576245889</c:v>
                </c:pt>
                <c:pt idx="1544">
                  <c:v>122.676138091158</c:v>
                </c:pt>
                <c:pt idx="1545">
                  <c:v>123.451449736035</c:v>
                </c:pt>
                <c:pt idx="1546">
                  <c:v>123.068630973769</c:v>
                </c:pt>
                <c:pt idx="1547">
                  <c:v>125.117471461345</c:v>
                </c:pt>
                <c:pt idx="1548">
                  <c:v>125.04491555875</c:v>
                </c:pt>
                <c:pt idx="1549">
                  <c:v>125.64747505459</c:v>
                </c:pt>
                <c:pt idx="1550">
                  <c:v>126.315680367064</c:v>
                </c:pt>
                <c:pt idx="1551">
                  <c:v>126.68398794881</c:v>
                </c:pt>
                <c:pt idx="1552">
                  <c:v>127.285165427458</c:v>
                </c:pt>
                <c:pt idx="1553">
                  <c:v>127.242322894497</c:v>
                </c:pt>
                <c:pt idx="1554">
                  <c:v>127.219519610824</c:v>
                </c:pt>
                <c:pt idx="1555">
                  <c:v>127.723264877415</c:v>
                </c:pt>
                <c:pt idx="1556">
                  <c:v>126.591392796926</c:v>
                </c:pt>
                <c:pt idx="1557">
                  <c:v>126.549241272561</c:v>
                </c:pt>
                <c:pt idx="1558">
                  <c:v>126.231377318334</c:v>
                </c:pt>
                <c:pt idx="1559">
                  <c:v>126.999087868653</c:v>
                </c:pt>
                <c:pt idx="1560">
                  <c:v>126.972138533403</c:v>
                </c:pt>
                <c:pt idx="1561">
                  <c:v>127.016363083557</c:v>
                </c:pt>
                <c:pt idx="1562">
                  <c:v>127.309350728323</c:v>
                </c:pt>
                <c:pt idx="1563">
                  <c:v>125.708283811051</c:v>
                </c:pt>
                <c:pt idx="1564">
                  <c:v>127.068188728268</c:v>
                </c:pt>
                <c:pt idx="1565">
                  <c:v>127.724646894607</c:v>
                </c:pt>
                <c:pt idx="1566">
                  <c:v>127.552585754167</c:v>
                </c:pt>
                <c:pt idx="1567">
                  <c:v>127.055750573537</c:v>
                </c:pt>
                <c:pt idx="1568">
                  <c:v>127.055750573537</c:v>
                </c:pt>
                <c:pt idx="1569">
                  <c:v>127.408164957572</c:v>
                </c:pt>
                <c:pt idx="1570">
                  <c:v>127.481411868764</c:v>
                </c:pt>
                <c:pt idx="1571">
                  <c:v>126.348157771083</c:v>
                </c:pt>
                <c:pt idx="1572">
                  <c:v>123.71057795959</c:v>
                </c:pt>
                <c:pt idx="1573">
                  <c:v>123.107327455154</c:v>
                </c:pt>
                <c:pt idx="1574">
                  <c:v>123.863290859338</c:v>
                </c:pt>
                <c:pt idx="1575">
                  <c:v>122.598745128389</c:v>
                </c:pt>
                <c:pt idx="1576">
                  <c:v>123.980071312087</c:v>
                </c:pt>
                <c:pt idx="1577">
                  <c:v>123.178501340557</c:v>
                </c:pt>
                <c:pt idx="1578">
                  <c:v>120.366096354239</c:v>
                </c:pt>
                <c:pt idx="1579">
                  <c:v>121.28582879571</c:v>
                </c:pt>
                <c:pt idx="1580">
                  <c:v>121.039829735482</c:v>
                </c:pt>
                <c:pt idx="1581">
                  <c:v>122.545537466486</c:v>
                </c:pt>
                <c:pt idx="1582">
                  <c:v>124.175626744797</c:v>
                </c:pt>
                <c:pt idx="1583">
                  <c:v>124.37049116891</c:v>
                </c:pt>
                <c:pt idx="1584">
                  <c:v>125.746289283839</c:v>
                </c:pt>
                <c:pt idx="1585">
                  <c:v>125.712429862628</c:v>
                </c:pt>
                <c:pt idx="1586">
                  <c:v>126.442825948755</c:v>
                </c:pt>
                <c:pt idx="1587">
                  <c:v>127.050913513364</c:v>
                </c:pt>
                <c:pt idx="1588">
                  <c:v>127.050913513364</c:v>
                </c:pt>
                <c:pt idx="1589">
                  <c:v>127.198098344343</c:v>
                </c:pt>
                <c:pt idx="1590">
                  <c:v>126.368197020371</c:v>
                </c:pt>
                <c:pt idx="1591">
                  <c:v>127.130379501921</c:v>
                </c:pt>
                <c:pt idx="1592">
                  <c:v>126.886453467481</c:v>
                </c:pt>
                <c:pt idx="1593">
                  <c:v>127.671439232704</c:v>
                </c:pt>
                <c:pt idx="1594">
                  <c:v>127.499378092263</c:v>
                </c:pt>
                <c:pt idx="1595">
                  <c:v>127.502142126648</c:v>
                </c:pt>
                <c:pt idx="1596">
                  <c:v>128.13303297493</c:v>
                </c:pt>
                <c:pt idx="1597">
                  <c:v>128.489593410542</c:v>
                </c:pt>
                <c:pt idx="1598">
                  <c:v>127.541529616628</c:v>
                </c:pt>
                <c:pt idx="1599">
                  <c:v>129.488791840571</c:v>
                </c:pt>
                <c:pt idx="1600">
                  <c:v>129.481881754609</c:v>
                </c:pt>
                <c:pt idx="1601">
                  <c:v>129.704386522568</c:v>
                </c:pt>
                <c:pt idx="1602">
                  <c:v>129.774178390779</c:v>
                </c:pt>
                <c:pt idx="1603">
                  <c:v>129.714060642914</c:v>
                </c:pt>
                <c:pt idx="1604">
                  <c:v>129.05483844219</c:v>
                </c:pt>
                <c:pt idx="1605">
                  <c:v>129.094225932171</c:v>
                </c:pt>
                <c:pt idx="1606">
                  <c:v>127.583681140993</c:v>
                </c:pt>
                <c:pt idx="1607">
                  <c:v>127.223665662401</c:v>
                </c:pt>
                <c:pt idx="1608">
                  <c:v>128.446750877581</c:v>
                </c:pt>
                <c:pt idx="1609">
                  <c:v>129.37408441361</c:v>
                </c:pt>
                <c:pt idx="1610">
                  <c:v>128.580806545233</c:v>
                </c:pt>
                <c:pt idx="1611">
                  <c:v>129.357500207303</c:v>
                </c:pt>
                <c:pt idx="1612">
                  <c:v>128.978136488018</c:v>
                </c:pt>
                <c:pt idx="1613">
                  <c:v>128.350700682716</c:v>
                </c:pt>
                <c:pt idx="1614">
                  <c:v>128.915945714365</c:v>
                </c:pt>
                <c:pt idx="1615">
                  <c:v>128.013488487797</c:v>
                </c:pt>
                <c:pt idx="1616">
                  <c:v>127.770253461953</c:v>
                </c:pt>
                <c:pt idx="1617">
                  <c:v>128.363138837447</c:v>
                </c:pt>
                <c:pt idx="1618">
                  <c:v>129.380303490975</c:v>
                </c:pt>
                <c:pt idx="1619">
                  <c:v>130.291052820697</c:v>
                </c:pt>
                <c:pt idx="1620">
                  <c:v>130.662815445424</c:v>
                </c:pt>
                <c:pt idx="1621">
                  <c:v>130.515630614445</c:v>
                </c:pt>
                <c:pt idx="1622">
                  <c:v>128.879322258769</c:v>
                </c:pt>
                <c:pt idx="1623">
                  <c:v>127.493850023494</c:v>
                </c:pt>
                <c:pt idx="1624">
                  <c:v>127.972027972028</c:v>
                </c:pt>
                <c:pt idx="1625">
                  <c:v>129.369247353437</c:v>
                </c:pt>
                <c:pt idx="1626">
                  <c:v>126.667403742503</c:v>
                </c:pt>
                <c:pt idx="1627">
                  <c:v>125.465739793803</c:v>
                </c:pt>
                <c:pt idx="1628">
                  <c:v>126.496724619254</c:v>
                </c:pt>
                <c:pt idx="1629">
                  <c:v>127.351502252688</c:v>
                </c:pt>
                <c:pt idx="1630">
                  <c:v>128.68722186904</c:v>
                </c:pt>
                <c:pt idx="1631">
                  <c:v>128.862738052461</c:v>
                </c:pt>
                <c:pt idx="1632">
                  <c:v>128.862738052461</c:v>
                </c:pt>
                <c:pt idx="1633">
                  <c:v>129.349208104149</c:v>
                </c:pt>
                <c:pt idx="1634">
                  <c:v>129.878520688797</c:v>
                </c:pt>
                <c:pt idx="1635">
                  <c:v>129.5910611128</c:v>
                </c:pt>
                <c:pt idx="1636">
                  <c:v>129.81356588076</c:v>
                </c:pt>
                <c:pt idx="1637">
                  <c:v>128.76254180602</c:v>
                </c:pt>
                <c:pt idx="1638">
                  <c:v>129.179219989497</c:v>
                </c:pt>
                <c:pt idx="1639">
                  <c:v>129.794217640067</c:v>
                </c:pt>
                <c:pt idx="1640">
                  <c:v>130.182564471102</c:v>
                </c:pt>
                <c:pt idx="1641">
                  <c:v>130.163907239006</c:v>
                </c:pt>
                <c:pt idx="1642">
                  <c:v>129.988391055585</c:v>
                </c:pt>
                <c:pt idx="1643">
                  <c:v>130.231626081428</c:v>
                </c:pt>
                <c:pt idx="1644">
                  <c:v>129.061057519556</c:v>
                </c:pt>
                <c:pt idx="1645">
                  <c:v>129.785925536914</c:v>
                </c:pt>
                <c:pt idx="1646">
                  <c:v>129.607645319108</c:v>
                </c:pt>
                <c:pt idx="1647">
                  <c:v>129.80458276901</c:v>
                </c:pt>
                <c:pt idx="1648">
                  <c:v>131.060145388209</c:v>
                </c:pt>
                <c:pt idx="1649">
                  <c:v>131.1154260759</c:v>
                </c:pt>
                <c:pt idx="1650">
                  <c:v>130.499046408137</c:v>
                </c:pt>
                <c:pt idx="1651">
                  <c:v>129.27734321015</c:v>
                </c:pt>
                <c:pt idx="1652">
                  <c:v>129.761740236049</c:v>
                </c:pt>
                <c:pt idx="1653">
                  <c:v>130.260648442467</c:v>
                </c:pt>
                <c:pt idx="1654">
                  <c:v>129.414162912187</c:v>
                </c:pt>
                <c:pt idx="1655">
                  <c:v>130.46449597833</c:v>
                </c:pt>
                <c:pt idx="1656">
                  <c:v>130.772685812212</c:v>
                </c:pt>
                <c:pt idx="1657">
                  <c:v>131.328256723514</c:v>
                </c:pt>
                <c:pt idx="1658">
                  <c:v>131.328256723514</c:v>
                </c:pt>
                <c:pt idx="1659">
                  <c:v>132.114624505929</c:v>
                </c:pt>
                <c:pt idx="1660">
                  <c:v>131.96743967495</c:v>
                </c:pt>
                <c:pt idx="1661">
                  <c:v>132.675723486</c:v>
                </c:pt>
                <c:pt idx="1662">
                  <c:v>132.920340529036</c:v>
                </c:pt>
                <c:pt idx="1663">
                  <c:v>133.017081732497</c:v>
                </c:pt>
                <c:pt idx="1664">
                  <c:v>132.966638104978</c:v>
                </c:pt>
                <c:pt idx="1665">
                  <c:v>133.218165233976</c:v>
                </c:pt>
                <c:pt idx="1666">
                  <c:v>134.087454047928</c:v>
                </c:pt>
                <c:pt idx="1667">
                  <c:v>134.707979767268</c:v>
                </c:pt>
                <c:pt idx="1668">
                  <c:v>134.834434340363</c:v>
                </c:pt>
                <c:pt idx="1669">
                  <c:v>134.801265927748</c:v>
                </c:pt>
                <c:pt idx="1670">
                  <c:v>134.324469996407</c:v>
                </c:pt>
                <c:pt idx="1671">
                  <c:v>133.372260150916</c:v>
                </c:pt>
                <c:pt idx="1672">
                  <c:v>133.790320351585</c:v>
                </c:pt>
                <c:pt idx="1673">
                  <c:v>133.902263744161</c:v>
                </c:pt>
                <c:pt idx="1674">
                  <c:v>134.193178363139</c:v>
                </c:pt>
                <c:pt idx="1675">
                  <c:v>135.229000248763</c:v>
                </c:pt>
                <c:pt idx="1676">
                  <c:v>135.4017523978</c:v>
                </c:pt>
                <c:pt idx="1677">
                  <c:v>135.636004311894</c:v>
                </c:pt>
                <c:pt idx="1678">
                  <c:v>135.618038088394</c:v>
                </c:pt>
                <c:pt idx="1679">
                  <c:v>134.74529423146</c:v>
                </c:pt>
                <c:pt idx="1680">
                  <c:v>135.405207440781</c:v>
                </c:pt>
                <c:pt idx="1681">
                  <c:v>135.245584455071</c:v>
                </c:pt>
                <c:pt idx="1682">
                  <c:v>135.50402167003</c:v>
                </c:pt>
                <c:pt idx="1683">
                  <c:v>135.453578042511</c:v>
                </c:pt>
                <c:pt idx="1684">
                  <c:v>136.358108294867</c:v>
                </c:pt>
                <c:pt idx="1685">
                  <c:v>136.447939412366</c:v>
                </c:pt>
                <c:pt idx="1686">
                  <c:v>137.195610713397</c:v>
                </c:pt>
                <c:pt idx="1687">
                  <c:v>137.195610713397</c:v>
                </c:pt>
                <c:pt idx="1688">
                  <c:v>136.657315016999</c:v>
                </c:pt>
                <c:pt idx="1689">
                  <c:v>135.69404903397</c:v>
                </c:pt>
                <c:pt idx="1690">
                  <c:v>136.324248873656</c:v>
                </c:pt>
                <c:pt idx="1691">
                  <c:v>135.761076867796</c:v>
                </c:pt>
                <c:pt idx="1692">
                  <c:v>135.960778352083</c:v>
                </c:pt>
                <c:pt idx="1693">
                  <c:v>136.619309544211</c:v>
                </c:pt>
                <c:pt idx="1694">
                  <c:v>136.355344260483</c:v>
                </c:pt>
                <c:pt idx="1695">
                  <c:v>136.928190386688</c:v>
                </c:pt>
                <c:pt idx="1696">
                  <c:v>135.307775228724</c:v>
                </c:pt>
                <c:pt idx="1697">
                  <c:v>136.696702506979</c:v>
                </c:pt>
                <c:pt idx="1698">
                  <c:v>136.379529561348</c:v>
                </c:pt>
                <c:pt idx="1699">
                  <c:v>137.063628071533</c:v>
                </c:pt>
                <c:pt idx="1700">
                  <c:v>137.304099062992</c:v>
                </c:pt>
                <c:pt idx="1701">
                  <c:v>137.371126896819</c:v>
                </c:pt>
                <c:pt idx="1702">
                  <c:v>136.704994610133</c:v>
                </c:pt>
                <c:pt idx="1703">
                  <c:v>136.744382100113</c:v>
                </c:pt>
                <c:pt idx="1704">
                  <c:v>136.125238397966</c:v>
                </c:pt>
                <c:pt idx="1705">
                  <c:v>136.133530501119</c:v>
                </c:pt>
                <c:pt idx="1706">
                  <c:v>133.410956632301</c:v>
                </c:pt>
                <c:pt idx="1707">
                  <c:v>133.029519887227</c:v>
                </c:pt>
                <c:pt idx="1708">
                  <c:v>133.985875784295</c:v>
                </c:pt>
                <c:pt idx="1709">
                  <c:v>132.688161640731</c:v>
                </c:pt>
                <c:pt idx="1710">
                  <c:v>132.690234666519</c:v>
                </c:pt>
                <c:pt idx="1711">
                  <c:v>131.95292849443</c:v>
                </c:pt>
                <c:pt idx="1712">
                  <c:v>133.474529423146</c:v>
                </c:pt>
                <c:pt idx="1713">
                  <c:v>133.842837004892</c:v>
                </c:pt>
                <c:pt idx="1714">
                  <c:v>133.623787279914</c:v>
                </c:pt>
                <c:pt idx="1715">
                  <c:v>134.520025429116</c:v>
                </c:pt>
                <c:pt idx="1716">
                  <c:v>135.104618701457</c:v>
                </c:pt>
                <c:pt idx="1717">
                  <c:v>135.096326598303</c:v>
                </c:pt>
                <c:pt idx="1718">
                  <c:v>136.248928936676</c:v>
                </c:pt>
                <c:pt idx="1719">
                  <c:v>136.930263412477</c:v>
                </c:pt>
                <c:pt idx="1720">
                  <c:v>137.269548633185</c:v>
                </c:pt>
                <c:pt idx="1721">
                  <c:v>137.674479670527</c:v>
                </c:pt>
                <c:pt idx="1722">
                  <c:v>137.400149257857</c:v>
                </c:pt>
                <c:pt idx="1723">
                  <c:v>138.057989441389</c:v>
                </c:pt>
                <c:pt idx="1724">
                  <c:v>138.20310124658</c:v>
                </c:pt>
                <c:pt idx="1725">
                  <c:v>138.210011332541</c:v>
                </c:pt>
                <c:pt idx="1726">
                  <c:v>137.976450427043</c:v>
                </c:pt>
                <c:pt idx="1727">
                  <c:v>138.434589126289</c:v>
                </c:pt>
                <c:pt idx="1728">
                  <c:v>138.434589126289</c:v>
                </c:pt>
                <c:pt idx="1729">
                  <c:v>138.359269189309</c:v>
                </c:pt>
                <c:pt idx="1730">
                  <c:v>138.25147184831</c:v>
                </c:pt>
                <c:pt idx="1731">
                  <c:v>138.039332209293</c:v>
                </c:pt>
                <c:pt idx="1732">
                  <c:v>138.734486857016</c:v>
                </c:pt>
                <c:pt idx="1733">
                  <c:v>138.308134553194</c:v>
                </c:pt>
                <c:pt idx="1734">
                  <c:v>137.402913292241</c:v>
                </c:pt>
                <c:pt idx="1735">
                  <c:v>137.903894524448</c:v>
                </c:pt>
                <c:pt idx="1736">
                  <c:v>138.02551203737</c:v>
                </c:pt>
                <c:pt idx="1737">
                  <c:v>137.202520799359</c:v>
                </c:pt>
                <c:pt idx="1738">
                  <c:v>137.105088587302</c:v>
                </c:pt>
                <c:pt idx="1739">
                  <c:v>138.13123635258</c:v>
                </c:pt>
                <c:pt idx="1740">
                  <c:v>138.310207578982</c:v>
                </c:pt>
                <c:pt idx="1741">
                  <c:v>138.98670499461</c:v>
                </c:pt>
                <c:pt idx="1742">
                  <c:v>138.92036816938</c:v>
                </c:pt>
                <c:pt idx="1743">
                  <c:v>137.807153320987</c:v>
                </c:pt>
                <c:pt idx="1744">
                  <c:v>137.011111418226</c:v>
                </c:pt>
                <c:pt idx="1745">
                  <c:v>138.084247768042</c:v>
                </c:pt>
                <c:pt idx="1746">
                  <c:v>135.851598993891</c:v>
                </c:pt>
                <c:pt idx="1747">
                  <c:v>137.016639486995</c:v>
                </c:pt>
                <c:pt idx="1748">
                  <c:v>136.667680145941</c:v>
                </c:pt>
                <c:pt idx="1749">
                  <c:v>136.286934409464</c:v>
                </c:pt>
                <c:pt idx="1750">
                  <c:v>134.481328947732</c:v>
                </c:pt>
                <c:pt idx="1751">
                  <c:v>134.482019956328</c:v>
                </c:pt>
                <c:pt idx="1752">
                  <c:v>135.983581635756</c:v>
                </c:pt>
                <c:pt idx="1753">
                  <c:v>135.770750988142</c:v>
                </c:pt>
                <c:pt idx="1754">
                  <c:v>133.717073440394</c:v>
                </c:pt>
                <c:pt idx="1755">
                  <c:v>136.051991486774</c:v>
                </c:pt>
                <c:pt idx="1756">
                  <c:v>133.240968517648</c:v>
                </c:pt>
                <c:pt idx="1757">
                  <c:v>131.715221537356</c:v>
                </c:pt>
                <c:pt idx="1758">
                  <c:v>129.546145554051</c:v>
                </c:pt>
                <c:pt idx="1759">
                  <c:v>129.75068409851</c:v>
                </c:pt>
                <c:pt idx="1760">
                  <c:v>128.699660023771</c:v>
                </c:pt>
                <c:pt idx="1761">
                  <c:v>128.718317255867</c:v>
                </c:pt>
                <c:pt idx="1762">
                  <c:v>130.376737886619</c:v>
                </c:pt>
                <c:pt idx="1763">
                  <c:v>131.568727714973</c:v>
                </c:pt>
                <c:pt idx="1764">
                  <c:v>134.144116752812</c:v>
                </c:pt>
                <c:pt idx="1765">
                  <c:v>133.164957572072</c:v>
                </c:pt>
                <c:pt idx="1766">
                  <c:v>134.803338953537</c:v>
                </c:pt>
                <c:pt idx="1767">
                  <c:v>135.754166781835</c:v>
                </c:pt>
                <c:pt idx="1768">
                  <c:v>135.550319245971</c:v>
                </c:pt>
                <c:pt idx="1769">
                  <c:v>137.168661378148</c:v>
                </c:pt>
                <c:pt idx="1770">
                  <c:v>136.978634014207</c:v>
                </c:pt>
                <c:pt idx="1771">
                  <c:v>137.832029630449</c:v>
                </c:pt>
                <c:pt idx="1772">
                  <c:v>139.448989745432</c:v>
                </c:pt>
                <c:pt idx="1773">
                  <c:v>139.432405539125</c:v>
                </c:pt>
                <c:pt idx="1774">
                  <c:v>139.037839630725</c:v>
                </c:pt>
                <c:pt idx="1775">
                  <c:v>139.830426490506</c:v>
                </c:pt>
                <c:pt idx="1776">
                  <c:v>140.358357057962</c:v>
                </c:pt>
                <c:pt idx="1777">
                  <c:v>140.407418668288</c:v>
                </c:pt>
                <c:pt idx="1778">
                  <c:v>140.845518118245</c:v>
                </c:pt>
                <c:pt idx="1779">
                  <c:v>140.943641338898</c:v>
                </c:pt>
                <c:pt idx="1780">
                  <c:v>140.844827109649</c:v>
                </c:pt>
                <c:pt idx="1781">
                  <c:v>140.919456038033</c:v>
                </c:pt>
                <c:pt idx="1782">
                  <c:v>140.953315459244</c:v>
                </c:pt>
                <c:pt idx="1783">
                  <c:v>141.056966748666</c:v>
                </c:pt>
                <c:pt idx="1784">
                  <c:v>141.781143757428</c:v>
                </c:pt>
                <c:pt idx="1785">
                  <c:v>141.568313109815</c:v>
                </c:pt>
                <c:pt idx="1786">
                  <c:v>141.846789574062</c:v>
                </c:pt>
                <c:pt idx="1787">
                  <c:v>142.58962381492</c:v>
                </c:pt>
                <c:pt idx="1788">
                  <c:v>142.998009895243</c:v>
                </c:pt>
                <c:pt idx="1789">
                  <c:v>142.83354984936</c:v>
                </c:pt>
                <c:pt idx="1790">
                  <c:v>143.234334835125</c:v>
                </c:pt>
                <c:pt idx="1791">
                  <c:v>143.234334835125</c:v>
                </c:pt>
                <c:pt idx="1792">
                  <c:v>142.870173304956</c:v>
                </c:pt>
                <c:pt idx="1793">
                  <c:v>141.894469167196</c:v>
                </c:pt>
                <c:pt idx="1794">
                  <c:v>142.800381436745</c:v>
                </c:pt>
                <c:pt idx="1795">
                  <c:v>143.337986124547</c:v>
                </c:pt>
                <c:pt idx="1796">
                  <c:v>143.171453052876</c:v>
                </c:pt>
                <c:pt idx="1797">
                  <c:v>143.409851018547</c:v>
                </c:pt>
                <c:pt idx="1798">
                  <c:v>142.369192072749</c:v>
                </c:pt>
                <c:pt idx="1799">
                  <c:v>142.335332651538</c:v>
                </c:pt>
                <c:pt idx="1800">
                  <c:v>140.008015699715</c:v>
                </c:pt>
                <c:pt idx="1801">
                  <c:v>140.643052599574</c:v>
                </c:pt>
                <c:pt idx="1802">
                  <c:v>138.362724232289</c:v>
                </c:pt>
                <c:pt idx="1803">
                  <c:v>137.485143315183</c:v>
                </c:pt>
                <c:pt idx="1804">
                  <c:v>136.318029796291</c:v>
                </c:pt>
                <c:pt idx="1805">
                  <c:v>139.092429309821</c:v>
                </c:pt>
                <c:pt idx="1806">
                  <c:v>142.432764863595</c:v>
                </c:pt>
                <c:pt idx="1807">
                  <c:v>143.083694961165</c:v>
                </c:pt>
                <c:pt idx="1808">
                  <c:v>143.628900743525</c:v>
                </c:pt>
                <c:pt idx="1809">
                  <c:v>143.879736863927</c:v>
                </c:pt>
                <c:pt idx="1810">
                  <c:v>143.859697614638</c:v>
                </c:pt>
                <c:pt idx="1811">
                  <c:v>144.335802537384</c:v>
                </c:pt>
                <c:pt idx="1812">
                  <c:v>144.46018408469</c:v>
                </c:pt>
                <c:pt idx="1813">
                  <c:v>143.753973299428</c:v>
                </c:pt>
                <c:pt idx="1814">
                  <c:v>142.271759860693</c:v>
                </c:pt>
                <c:pt idx="1815">
                  <c:v>142.223389258962</c:v>
                </c:pt>
                <c:pt idx="1816">
                  <c:v>139.623814920258</c:v>
                </c:pt>
                <c:pt idx="1817">
                  <c:v>138.382072472982</c:v>
                </c:pt>
                <c:pt idx="1818">
                  <c:v>139.991431493408</c:v>
                </c:pt>
                <c:pt idx="1819">
                  <c:v>142.495646645844</c:v>
                </c:pt>
                <c:pt idx="1820">
                  <c:v>141.298128748722</c:v>
                </c:pt>
                <c:pt idx="1821">
                  <c:v>140.154509522098</c:v>
                </c:pt>
                <c:pt idx="1822">
                  <c:v>139.793112026314</c:v>
                </c:pt>
                <c:pt idx="1823">
                  <c:v>138.980485917245</c:v>
                </c:pt>
                <c:pt idx="1824">
                  <c:v>137.695209928412</c:v>
                </c:pt>
                <c:pt idx="1825">
                  <c:v>139.543657923105</c:v>
                </c:pt>
                <c:pt idx="1826">
                  <c:v>139.543657923105</c:v>
                </c:pt>
                <c:pt idx="1827">
                  <c:v>139.759943613699</c:v>
                </c:pt>
                <c:pt idx="1828">
                  <c:v>140.421238840211</c:v>
                </c:pt>
                <c:pt idx="1829">
                  <c:v>142.565438514055</c:v>
                </c:pt>
                <c:pt idx="1830">
                  <c:v>141.782525774621</c:v>
                </c:pt>
                <c:pt idx="1831">
                  <c:v>142.14668730479</c:v>
                </c:pt>
                <c:pt idx="1832">
                  <c:v>140.243649631001</c:v>
                </c:pt>
                <c:pt idx="1833">
                  <c:v>138.350977086155</c:v>
                </c:pt>
                <c:pt idx="1834">
                  <c:v>139.670112496199</c:v>
                </c:pt>
                <c:pt idx="1835">
                  <c:v>137.855523922718</c:v>
                </c:pt>
                <c:pt idx="1836">
                  <c:v>139.642472152354</c:v>
                </c:pt>
                <c:pt idx="1837">
                  <c:v>141.65883523591</c:v>
                </c:pt>
                <c:pt idx="1838">
                  <c:v>141.070095911993</c:v>
                </c:pt>
                <c:pt idx="1839">
                  <c:v>142.521904972498</c:v>
                </c:pt>
                <c:pt idx="1840">
                  <c:v>142.034743912214</c:v>
                </c:pt>
                <c:pt idx="1841">
                  <c:v>141.431493407778</c:v>
                </c:pt>
                <c:pt idx="1842">
                  <c:v>142.941347190359</c:v>
                </c:pt>
                <c:pt idx="1843">
                  <c:v>142.937201138782</c:v>
                </c:pt>
                <c:pt idx="1844">
                  <c:v>144.315763288095</c:v>
                </c:pt>
                <c:pt idx="1845">
                  <c:v>144.903811603416</c:v>
                </c:pt>
                <c:pt idx="1846">
                  <c:v>144.903811603416</c:v>
                </c:pt>
                <c:pt idx="1847">
                  <c:v>145.135299483126</c:v>
                </c:pt>
                <c:pt idx="1848">
                  <c:v>145.08969291578</c:v>
                </c:pt>
                <c:pt idx="1849">
                  <c:v>144.935597998839</c:v>
                </c:pt>
                <c:pt idx="1850">
                  <c:v>145.823544044888</c:v>
                </c:pt>
                <c:pt idx="1851">
                  <c:v>145.779319494735</c:v>
                </c:pt>
                <c:pt idx="1852">
                  <c:v>146.181486497692</c:v>
                </c:pt>
                <c:pt idx="1853">
                  <c:v>146.069543105116</c:v>
                </c:pt>
                <c:pt idx="1854">
                  <c:v>145.853948423118</c:v>
                </c:pt>
                <c:pt idx="1855">
                  <c:v>145.422759059123</c:v>
                </c:pt>
                <c:pt idx="1856">
                  <c:v>146.313469139556</c:v>
                </c:pt>
                <c:pt idx="1857">
                  <c:v>145.649409878659</c:v>
                </c:pt>
                <c:pt idx="1858">
                  <c:v>145.010226927223</c:v>
                </c:pt>
                <c:pt idx="1859">
                  <c:v>145.183670084856</c:v>
                </c:pt>
                <c:pt idx="1860">
                  <c:v>143.12584648553</c:v>
                </c:pt>
                <c:pt idx="1861">
                  <c:v>143.690400508582</c:v>
                </c:pt>
                <c:pt idx="1862">
                  <c:v>141.253213189972</c:v>
                </c:pt>
                <c:pt idx="1863">
                  <c:v>140.982337820283</c:v>
                </c:pt>
                <c:pt idx="1864">
                  <c:v>142.758920920976</c:v>
                </c:pt>
                <c:pt idx="1865">
                  <c:v>141.891705132812</c:v>
                </c:pt>
                <c:pt idx="1866">
                  <c:v>143.812018021504</c:v>
                </c:pt>
                <c:pt idx="1867">
                  <c:v>143.334531081567</c:v>
                </c:pt>
                <c:pt idx="1868">
                  <c:v>145.077254761049</c:v>
                </c:pt>
                <c:pt idx="1869">
                  <c:v>144.370352967191</c:v>
                </c:pt>
                <c:pt idx="1870">
                  <c:v>145.671522153736</c:v>
                </c:pt>
                <c:pt idx="1871">
                  <c:v>145.417230990354</c:v>
                </c:pt>
                <c:pt idx="1872">
                  <c:v>144.524447884132</c:v>
                </c:pt>
                <c:pt idx="1873">
                  <c:v>142.420326708864</c:v>
                </c:pt>
                <c:pt idx="1874">
                  <c:v>142.081732496752</c:v>
                </c:pt>
                <c:pt idx="1875">
                  <c:v>142.418253683076</c:v>
                </c:pt>
                <c:pt idx="1876">
                  <c:v>144.160977362558</c:v>
                </c:pt>
                <c:pt idx="1877">
                  <c:v>142.892976588629</c:v>
                </c:pt>
                <c:pt idx="1878">
                  <c:v>142.326349539788</c:v>
                </c:pt>
                <c:pt idx="1879">
                  <c:v>142.828712789187</c:v>
                </c:pt>
                <c:pt idx="1880">
                  <c:v>142.828712789187</c:v>
                </c:pt>
                <c:pt idx="1881">
                  <c:v>143.772630531524</c:v>
                </c:pt>
                <c:pt idx="1882">
                  <c:v>143.476187843777</c:v>
                </c:pt>
                <c:pt idx="1883">
                  <c:v>143.861079631831</c:v>
                </c:pt>
                <c:pt idx="1884">
                  <c:v>144.502335609055</c:v>
                </c:pt>
                <c:pt idx="1885">
                  <c:v>145.254152961663</c:v>
                </c:pt>
                <c:pt idx="1886">
                  <c:v>144.588711683573</c:v>
                </c:pt>
                <c:pt idx="1887">
                  <c:v>144.824345614859</c:v>
                </c:pt>
                <c:pt idx="1888">
                  <c:v>145.569943890102</c:v>
                </c:pt>
                <c:pt idx="1889">
                  <c:v>145.456618480334</c:v>
                </c:pt>
                <c:pt idx="1890">
                  <c:v>143.811327012908</c:v>
                </c:pt>
                <c:pt idx="1891">
                  <c:v>145.139445534702</c:v>
                </c:pt>
                <c:pt idx="1892">
                  <c:v>144.924541861301</c:v>
                </c:pt>
                <c:pt idx="1893">
                  <c:v>145.66184803339</c:v>
                </c:pt>
                <c:pt idx="1894">
                  <c:v>146.005279305675</c:v>
                </c:pt>
                <c:pt idx="1895">
                  <c:v>146.334199397441</c:v>
                </c:pt>
                <c:pt idx="1896">
                  <c:v>145.72818485862</c:v>
                </c:pt>
                <c:pt idx="1897">
                  <c:v>146.131733878769</c:v>
                </c:pt>
                <c:pt idx="1898">
                  <c:v>145.585146079217</c:v>
                </c:pt>
                <c:pt idx="1899">
                  <c:v>144.11053373504</c:v>
                </c:pt>
                <c:pt idx="1900">
                  <c:v>145.684651317062</c:v>
                </c:pt>
                <c:pt idx="1901">
                  <c:v>146.113076646673</c:v>
                </c:pt>
                <c:pt idx="1902">
                  <c:v>144.383482130518</c:v>
                </c:pt>
                <c:pt idx="1903">
                  <c:v>143.740153127505</c:v>
                </c:pt>
                <c:pt idx="1904">
                  <c:v>144.28259487548</c:v>
                </c:pt>
                <c:pt idx="1905">
                  <c:v>146.224329030653</c:v>
                </c:pt>
                <c:pt idx="1906">
                  <c:v>145.480112772603</c:v>
                </c:pt>
                <c:pt idx="1907">
                  <c:v>145.050996434396</c:v>
                </c:pt>
                <c:pt idx="1908">
                  <c:v>145.006771884242</c:v>
                </c:pt>
                <c:pt idx="1909">
                  <c:v>146.569833328727</c:v>
                </c:pt>
                <c:pt idx="1910">
                  <c:v>146.682467729899</c:v>
                </c:pt>
                <c:pt idx="1911">
                  <c:v>147.129550291606</c:v>
                </c:pt>
                <c:pt idx="1912">
                  <c:v>147.034882113934</c:v>
                </c:pt>
                <c:pt idx="1913">
                  <c:v>146.898062411896</c:v>
                </c:pt>
                <c:pt idx="1914">
                  <c:v>147.241493684181</c:v>
                </c:pt>
                <c:pt idx="1915">
                  <c:v>146.912573592415</c:v>
                </c:pt>
                <c:pt idx="1916">
                  <c:v>145.402028801238</c:v>
                </c:pt>
                <c:pt idx="1917">
                  <c:v>146.73429337461</c:v>
                </c:pt>
                <c:pt idx="1918">
                  <c:v>146.548412062246</c:v>
                </c:pt>
                <c:pt idx="1919">
                  <c:v>145.622460543409</c:v>
                </c:pt>
                <c:pt idx="1920">
                  <c:v>145.922358274137</c:v>
                </c:pt>
                <c:pt idx="1921">
                  <c:v>145.775173443158</c:v>
                </c:pt>
                <c:pt idx="1922">
                  <c:v>146.084054285635</c:v>
                </c:pt>
                <c:pt idx="1923">
                  <c:v>144.824345614859</c:v>
                </c:pt>
                <c:pt idx="1924">
                  <c:v>144.616352027419</c:v>
                </c:pt>
                <c:pt idx="1925">
                  <c:v>143.68003537964</c:v>
                </c:pt>
                <c:pt idx="1926">
                  <c:v>143.740153127505</c:v>
                </c:pt>
                <c:pt idx="1927">
                  <c:v>145.471129660853</c:v>
                </c:pt>
                <c:pt idx="1928">
                  <c:v>145.724038807043</c:v>
                </c:pt>
                <c:pt idx="1929">
                  <c:v>144.704801127726</c:v>
                </c:pt>
                <c:pt idx="1930">
                  <c:v>144.035904806656</c:v>
                </c:pt>
                <c:pt idx="1931">
                  <c:v>144.855441001686</c:v>
                </c:pt>
                <c:pt idx="1932">
                  <c:v>145.142209569087</c:v>
                </c:pt>
                <c:pt idx="1933">
                  <c:v>146.579507449073</c:v>
                </c:pt>
                <c:pt idx="1934">
                  <c:v>145.802122778407</c:v>
                </c:pt>
                <c:pt idx="1935">
                  <c:v>146.690759833052</c:v>
                </c:pt>
                <c:pt idx="1936">
                  <c:v>146.784045993532</c:v>
                </c:pt>
                <c:pt idx="1937">
                  <c:v>145.704690566351</c:v>
                </c:pt>
                <c:pt idx="1938">
                  <c:v>145.271428176567</c:v>
                </c:pt>
                <c:pt idx="1939">
                  <c:v>145.214765471682</c:v>
                </c:pt>
                <c:pt idx="1940">
                  <c:v>142.184692777578</c:v>
                </c:pt>
                <c:pt idx="1941">
                  <c:v>142.562674479671</c:v>
                </c:pt>
                <c:pt idx="1942">
                  <c:v>143.551507780757</c:v>
                </c:pt>
                <c:pt idx="1943">
                  <c:v>143.507283230603</c:v>
                </c:pt>
                <c:pt idx="1944">
                  <c:v>143.507283230603</c:v>
                </c:pt>
                <c:pt idx="1945">
                  <c:v>142.953094336494</c:v>
                </c:pt>
                <c:pt idx="1946">
                  <c:v>143.822383150446</c:v>
                </c:pt>
                <c:pt idx="1947">
                  <c:v>141.427347356201</c:v>
                </c:pt>
                <c:pt idx="1948">
                  <c:v>141.747284336217</c:v>
                </c:pt>
                <c:pt idx="1949">
                  <c:v>143.496227093065</c:v>
                </c:pt>
                <c:pt idx="1950">
                  <c:v>145.084164847011</c:v>
                </c:pt>
                <c:pt idx="1951">
                  <c:v>145.730257884408</c:v>
                </c:pt>
                <c:pt idx="1952">
                  <c:v>145.623151552005</c:v>
                </c:pt>
                <c:pt idx="1953">
                  <c:v>146.790265070897</c:v>
                </c:pt>
                <c:pt idx="1954">
                  <c:v>146.952652090992</c:v>
                </c:pt>
                <c:pt idx="1955">
                  <c:v>147.06597750076</c:v>
                </c:pt>
                <c:pt idx="1956">
                  <c:v>146.439232704055</c:v>
                </c:pt>
                <c:pt idx="1957">
                  <c:v>146.089582354404</c:v>
                </c:pt>
                <c:pt idx="1958">
                  <c:v>145.260372039028</c:v>
                </c:pt>
                <c:pt idx="1959">
                  <c:v>143.705602697698</c:v>
                </c:pt>
                <c:pt idx="1960">
                  <c:v>142.875701373725</c:v>
                </c:pt>
                <c:pt idx="1961">
                  <c:v>142.875701373725</c:v>
                </c:pt>
                <c:pt idx="1962">
                  <c:v>145.703999557755</c:v>
                </c:pt>
                <c:pt idx="1963">
                  <c:v>145.708145609331</c:v>
                </c:pt>
                <c:pt idx="1964">
                  <c:v>145.377152491777</c:v>
                </c:pt>
                <c:pt idx="1965">
                  <c:v>144.976367506012</c:v>
                </c:pt>
                <c:pt idx="1966">
                  <c:v>144.65021144863</c:v>
                </c:pt>
                <c:pt idx="1967">
                  <c:v>145.100749053318</c:v>
                </c:pt>
                <c:pt idx="1968">
                  <c:v>143.975787058791</c:v>
                </c:pt>
                <c:pt idx="1969">
                  <c:v>143.561872909699</c:v>
                </c:pt>
                <c:pt idx="1970">
                  <c:v>145.400646784046</c:v>
                </c:pt>
                <c:pt idx="1971">
                  <c:v>144.011028497195</c:v>
                </c:pt>
                <c:pt idx="1972">
                  <c:v>144.147848199232</c:v>
                </c:pt>
                <c:pt idx="1973">
                  <c:v>143.964039912657</c:v>
                </c:pt>
                <c:pt idx="1974">
                  <c:v>144.527211918516</c:v>
                </c:pt>
                <c:pt idx="1975">
                  <c:v>145.280411288316</c:v>
                </c:pt>
                <c:pt idx="1976">
                  <c:v>144.898974543243</c:v>
                </c:pt>
                <c:pt idx="1977">
                  <c:v>143.702838663313</c:v>
                </c:pt>
                <c:pt idx="1978">
                  <c:v>140.67069294342</c:v>
                </c:pt>
                <c:pt idx="1979">
                  <c:v>136.190193206003</c:v>
                </c:pt>
                <c:pt idx="1980">
                  <c:v>130.822438431134</c:v>
                </c:pt>
                <c:pt idx="1981">
                  <c:v>129.054147433594</c:v>
                </c:pt>
                <c:pt idx="1982">
                  <c:v>134.090909090909</c:v>
                </c:pt>
                <c:pt idx="1983">
                  <c:v>137.349014621742</c:v>
                </c:pt>
                <c:pt idx="1984">
                  <c:v>137.432626661876</c:v>
                </c:pt>
                <c:pt idx="1985">
                  <c:v>136.279333314906</c:v>
                </c:pt>
                <c:pt idx="1986">
                  <c:v>132.248680173581</c:v>
                </c:pt>
                <c:pt idx="1987">
                  <c:v>134.667901268692</c:v>
                </c:pt>
                <c:pt idx="1988">
                  <c:v>134.824760220017</c:v>
                </c:pt>
                <c:pt idx="1989">
                  <c:v>132.757953508942</c:v>
                </c:pt>
                <c:pt idx="1990">
                  <c:v>132.757953508942</c:v>
                </c:pt>
                <c:pt idx="1991">
                  <c:v>136.087923933774</c:v>
                </c:pt>
                <c:pt idx="1992">
                  <c:v>134.19663340612</c:v>
                </c:pt>
                <c:pt idx="1993">
                  <c:v>134.90491721717</c:v>
                </c:pt>
                <c:pt idx="1994">
                  <c:v>135.510240747395</c:v>
                </c:pt>
                <c:pt idx="1995">
                  <c:v>134.956051853285</c:v>
                </c:pt>
                <c:pt idx="1996">
                  <c:v>136.687719395229</c:v>
                </c:pt>
                <c:pt idx="1997">
                  <c:v>137.877636197794</c:v>
                </c:pt>
                <c:pt idx="1998">
                  <c:v>137.524530805163</c:v>
                </c:pt>
                <c:pt idx="1999">
                  <c:v>135.305011194339</c:v>
                </c:pt>
                <c:pt idx="2000">
                  <c:v>135.919317836314</c:v>
                </c:pt>
                <c:pt idx="2001">
                  <c:v>134.24500400785</c:v>
                </c:pt>
                <c:pt idx="2002">
                  <c:v>133.969982586583</c:v>
                </c:pt>
                <c:pt idx="2003">
                  <c:v>133.519444981896</c:v>
                </c:pt>
                <c:pt idx="2004">
                  <c:v>133.457254208242</c:v>
                </c:pt>
                <c:pt idx="2005">
                  <c:v>130.031924597142</c:v>
                </c:pt>
                <c:pt idx="2006">
                  <c:v>130.192238591448</c:v>
                </c:pt>
                <c:pt idx="2007">
                  <c:v>132.675723486</c:v>
                </c:pt>
                <c:pt idx="2008">
                  <c:v>132.93761574394</c:v>
                </c:pt>
                <c:pt idx="2009">
                  <c:v>134.840653417729</c:v>
                </c:pt>
                <c:pt idx="2010">
                  <c:v>137.306863097377</c:v>
                </c:pt>
                <c:pt idx="2011">
                  <c:v>136.814173968324</c:v>
                </c:pt>
                <c:pt idx="2012">
                  <c:v>137.913568644794</c:v>
                </c:pt>
                <c:pt idx="2013">
                  <c:v>139.129743774013</c:v>
                </c:pt>
                <c:pt idx="2014">
                  <c:v>139.23063102905</c:v>
                </c:pt>
                <c:pt idx="2015">
                  <c:v>139.40822023826</c:v>
                </c:pt>
                <c:pt idx="2016">
                  <c:v>138.456701401365</c:v>
                </c:pt>
                <c:pt idx="2017">
                  <c:v>137.803698278007</c:v>
                </c:pt>
                <c:pt idx="2018">
                  <c:v>139.850465739794</c:v>
                </c:pt>
                <c:pt idx="2019">
                  <c:v>140.48964869123</c:v>
                </c:pt>
                <c:pt idx="2020">
                  <c:v>140.527654164018</c:v>
                </c:pt>
                <c:pt idx="2021">
                  <c:v>140.327952679731</c:v>
                </c:pt>
                <c:pt idx="2022">
                  <c:v>139.51048951049</c:v>
                </c:pt>
                <c:pt idx="2023">
                  <c:v>141.830205367755</c:v>
                </c:pt>
                <c:pt idx="2024">
                  <c:v>143.394648829431</c:v>
                </c:pt>
                <c:pt idx="2025">
                  <c:v>143.120318416761</c:v>
                </c:pt>
                <c:pt idx="2026">
                  <c:v>142.754774869399</c:v>
                </c:pt>
                <c:pt idx="2027">
                  <c:v>144.444981895575</c:v>
                </c:pt>
                <c:pt idx="2028">
                  <c:v>144.380027087537</c:v>
                </c:pt>
                <c:pt idx="2029">
                  <c:v>143.685563448409</c:v>
                </c:pt>
                <c:pt idx="2030">
                  <c:v>145.391663672296</c:v>
                </c:pt>
                <c:pt idx="2031">
                  <c:v>145.788302606484</c:v>
                </c:pt>
                <c:pt idx="2032">
                  <c:v>145.271428176567</c:v>
                </c:pt>
                <c:pt idx="2033">
                  <c:v>145.106968130684</c:v>
                </c:pt>
                <c:pt idx="2034">
                  <c:v>145.056524503165</c:v>
                </c:pt>
                <c:pt idx="2035">
                  <c:v>143.63166477791</c:v>
                </c:pt>
                <c:pt idx="2036">
                  <c:v>143.8486414771</c:v>
                </c:pt>
                <c:pt idx="2037">
                  <c:v>143.384283700489</c:v>
                </c:pt>
                <c:pt idx="2038">
                  <c:v>141.378285745875</c:v>
                </c:pt>
                <c:pt idx="2039">
                  <c:v>139.79380303491</c:v>
                </c:pt>
                <c:pt idx="2040">
                  <c:v>141.877193952293</c:v>
                </c:pt>
                <c:pt idx="2041">
                  <c:v>141.687166588352</c:v>
                </c:pt>
                <c:pt idx="2042">
                  <c:v>143.977169075983</c:v>
                </c:pt>
                <c:pt idx="2043">
                  <c:v>143.815473064485</c:v>
                </c:pt>
                <c:pt idx="2044">
                  <c:v>144.363442881229</c:v>
                </c:pt>
                <c:pt idx="2045">
                  <c:v>144.185162663424</c:v>
                </c:pt>
                <c:pt idx="2046">
                  <c:v>144.361369855441</c:v>
                </c:pt>
                <c:pt idx="2047">
                  <c:v>144.342712623345</c:v>
                </c:pt>
                <c:pt idx="2048">
                  <c:v>144.342712623345</c:v>
                </c:pt>
                <c:pt idx="2049">
                  <c:v>144.428397689267</c:v>
                </c:pt>
                <c:pt idx="2050">
                  <c:v>143.758119351005</c:v>
                </c:pt>
                <c:pt idx="2051">
                  <c:v>145.293540451643</c:v>
                </c:pt>
                <c:pt idx="2052">
                  <c:v>143.695928577352</c:v>
                </c:pt>
                <c:pt idx="2053">
                  <c:v>141.630503883468</c:v>
                </c:pt>
                <c:pt idx="2054">
                  <c:v>144.537577047458</c:v>
                </c:pt>
                <c:pt idx="2055">
                  <c:v>143.527322479892</c:v>
                </c:pt>
                <c:pt idx="2056">
                  <c:v>142.595842892286</c:v>
                </c:pt>
                <c:pt idx="2057">
                  <c:v>141.492302164239</c:v>
                </c:pt>
                <c:pt idx="2058">
                  <c:v>141.810857127063</c:v>
                </c:pt>
                <c:pt idx="2059">
                  <c:v>139.056496862821</c:v>
                </c:pt>
                <c:pt idx="2060">
                  <c:v>139.717792089334</c:v>
                </c:pt>
                <c:pt idx="2061">
                  <c:v>141.201387545261</c:v>
                </c:pt>
                <c:pt idx="2062">
                  <c:v>143.250919041433</c:v>
                </c:pt>
                <c:pt idx="2063">
                  <c:v>141.096354238647</c:v>
                </c:pt>
                <c:pt idx="2064">
                  <c:v>138.585229000249</c:v>
                </c:pt>
                <c:pt idx="2065">
                  <c:v>139.663202410238</c:v>
                </c:pt>
                <c:pt idx="2066">
                  <c:v>140.894579728572</c:v>
                </c:pt>
                <c:pt idx="2067">
                  <c:v>142.644213494016</c:v>
                </c:pt>
                <c:pt idx="2068">
                  <c:v>142.416180657287</c:v>
                </c:pt>
                <c:pt idx="2069">
                  <c:v>142.105917797617</c:v>
                </c:pt>
                <c:pt idx="2070">
                  <c:v>143.616462588795</c:v>
                </c:pt>
                <c:pt idx="2071">
                  <c:v>142.579949694574</c:v>
                </c:pt>
                <c:pt idx="2072">
                  <c:v>141.238011000857</c:v>
                </c:pt>
                <c:pt idx="2073">
                  <c:v>139.076536112109</c:v>
                </c:pt>
                <c:pt idx="2074">
                  <c:v>139.356394593549</c:v>
                </c:pt>
                <c:pt idx="2075">
                  <c:v>137.52867685674</c:v>
                </c:pt>
                <c:pt idx="2076">
                  <c:v>134.269189308715</c:v>
                </c:pt>
                <c:pt idx="2077">
                  <c:v>132.81392520523</c:v>
                </c:pt>
                <c:pt idx="2078">
                  <c:v>132.927250614998</c:v>
                </c:pt>
                <c:pt idx="2079">
                  <c:v>133.964454517814</c:v>
                </c:pt>
                <c:pt idx="2080">
                  <c:v>130.619972912463</c:v>
                </c:pt>
                <c:pt idx="2081">
                  <c:v>132.800796041903</c:v>
                </c:pt>
                <c:pt idx="2082">
                  <c:v>129.929655324912</c:v>
                </c:pt>
                <c:pt idx="2083">
                  <c:v>129.929655324912</c:v>
                </c:pt>
                <c:pt idx="2084">
                  <c:v>130.001520218912</c:v>
                </c:pt>
                <c:pt idx="2085">
                  <c:v>128.481301307388</c:v>
                </c:pt>
                <c:pt idx="2086">
                  <c:v>129.148815611266</c:v>
                </c:pt>
                <c:pt idx="2087">
                  <c:v>131.768429199259</c:v>
                </c:pt>
                <c:pt idx="2088">
                  <c:v>129.707841565549</c:v>
                </c:pt>
                <c:pt idx="2089">
                  <c:v>131.542469388319</c:v>
                </c:pt>
                <c:pt idx="2090">
                  <c:v>130.113463611487</c:v>
                </c:pt>
                <c:pt idx="2091">
                  <c:v>130.832803560076</c:v>
                </c:pt>
                <c:pt idx="2092">
                  <c:v>134.072251858813</c:v>
                </c:pt>
                <c:pt idx="2093">
                  <c:v>134.012825119544</c:v>
                </c:pt>
                <c:pt idx="2094">
                  <c:v>131.50100887255</c:v>
                </c:pt>
                <c:pt idx="2095">
                  <c:v>132.15746703889</c:v>
                </c:pt>
                <c:pt idx="2096">
                  <c:v>132.359241548965</c:v>
                </c:pt>
                <c:pt idx="2097">
                  <c:v>129.910998092816</c:v>
                </c:pt>
                <c:pt idx="2098">
                  <c:v>128.074297244258</c:v>
                </c:pt>
                <c:pt idx="2099">
                  <c:v>127.989303186932</c:v>
                </c:pt>
                <c:pt idx="2100">
                  <c:v>127.965117886067</c:v>
                </c:pt>
                <c:pt idx="2101">
                  <c:v>126.391000304044</c:v>
                </c:pt>
                <c:pt idx="2102">
                  <c:v>128.857900992288</c:v>
                </c:pt>
                <c:pt idx="2103">
                  <c:v>128.857900992288</c:v>
                </c:pt>
                <c:pt idx="2104">
                  <c:v>130.986207468421</c:v>
                </c:pt>
                <c:pt idx="2105">
                  <c:v>133.144918322784</c:v>
                </c:pt>
                <c:pt idx="2106">
                  <c:v>132.523701594848</c:v>
                </c:pt>
                <c:pt idx="2107">
                  <c:v>132.520246551867</c:v>
                </c:pt>
                <c:pt idx="2108">
                  <c:v>134.435722380386</c:v>
                </c:pt>
                <c:pt idx="2109">
                  <c:v>132.761408551922</c:v>
                </c:pt>
                <c:pt idx="2110">
                  <c:v>133.350838884436</c:v>
                </c:pt>
                <c:pt idx="2111">
                  <c:v>134.864147709998</c:v>
                </c:pt>
                <c:pt idx="2112">
                  <c:v>134.611929572404</c:v>
                </c:pt>
                <c:pt idx="2113">
                  <c:v>133.518753973299</c:v>
                </c:pt>
                <c:pt idx="2114">
                  <c:v>136.705685618729</c:v>
                </c:pt>
                <c:pt idx="2115">
                  <c:v>137.265402581608</c:v>
                </c:pt>
                <c:pt idx="2116">
                  <c:v>137.74565355593</c:v>
                </c:pt>
                <c:pt idx="2117">
                  <c:v>138.201028220791</c:v>
                </c:pt>
                <c:pt idx="2118">
                  <c:v>138.323336742309</c:v>
                </c:pt>
                <c:pt idx="2119">
                  <c:v>136.768567400978</c:v>
                </c:pt>
                <c:pt idx="2120">
                  <c:v>137.459575997125</c:v>
                </c:pt>
                <c:pt idx="2121">
                  <c:v>137.480997263606</c:v>
                </c:pt>
                <c:pt idx="2122">
                  <c:v>139.735067304237</c:v>
                </c:pt>
                <c:pt idx="2123">
                  <c:v>139.55886011222</c:v>
                </c:pt>
                <c:pt idx="2124">
                  <c:v>139.302495923049</c:v>
                </c:pt>
                <c:pt idx="2125">
                  <c:v>140.082644628099</c:v>
                </c:pt>
                <c:pt idx="2126">
                  <c:v>141.006523121148</c:v>
                </c:pt>
                <c:pt idx="2127">
                  <c:v>141.626357831891</c:v>
                </c:pt>
                <c:pt idx="2128">
                  <c:v>141.767323585505</c:v>
                </c:pt>
                <c:pt idx="2129">
                  <c:v>141.642942038199</c:v>
                </c:pt>
                <c:pt idx="2130">
                  <c:v>140.738411785843</c:v>
                </c:pt>
                <c:pt idx="2131">
                  <c:v>140.685204123939</c:v>
                </c:pt>
                <c:pt idx="2132">
                  <c:v>140.685204123939</c:v>
                </c:pt>
                <c:pt idx="2133">
                  <c:v>140.761906078112</c:v>
                </c:pt>
                <c:pt idx="2134">
                  <c:v>142.002957516792</c:v>
                </c:pt>
                <c:pt idx="2135">
                  <c:v>142.620719201747</c:v>
                </c:pt>
                <c:pt idx="2136">
                  <c:v>142.329804582769</c:v>
                </c:pt>
                <c:pt idx="2137">
                  <c:v>143.230879792145</c:v>
                </c:pt>
                <c:pt idx="2138">
                  <c:v>142.771359075707</c:v>
                </c:pt>
                <c:pt idx="2139">
                  <c:v>141.323005058183</c:v>
                </c:pt>
                <c:pt idx="2140">
                  <c:v>142.807982531303</c:v>
                </c:pt>
                <c:pt idx="2141">
                  <c:v>141.097736255839</c:v>
                </c:pt>
                <c:pt idx="2142">
                  <c:v>141.490920147047</c:v>
                </c:pt>
                <c:pt idx="2143">
                  <c:v>141.103264324608</c:v>
                </c:pt>
                <c:pt idx="2144">
                  <c:v>142.466624284806</c:v>
                </c:pt>
                <c:pt idx="2145">
                  <c:v>143.89701207883</c:v>
                </c:pt>
                <c:pt idx="2146">
                  <c:v>143.921888388292</c:v>
                </c:pt>
                <c:pt idx="2147">
                  <c:v>143.780231626081</c:v>
                </c:pt>
                <c:pt idx="2148">
                  <c:v>144.720694325437</c:v>
                </c:pt>
                <c:pt idx="2149">
                  <c:v>145.167085878548</c:v>
                </c:pt>
                <c:pt idx="2150">
                  <c:v>145.277647253932</c:v>
                </c:pt>
                <c:pt idx="2151">
                  <c:v>144.523065866939</c:v>
                </c:pt>
                <c:pt idx="2152">
                  <c:v>144.529975952901</c:v>
                </c:pt>
                <c:pt idx="2153">
                  <c:v>144.268083694961</c:v>
                </c:pt>
                <c:pt idx="2154">
                  <c:v>144.538268056055</c:v>
                </c:pt>
                <c:pt idx="2155">
                  <c:v>144.776666021725</c:v>
                </c:pt>
                <c:pt idx="2156">
                  <c:v>143.440255396777</c:v>
                </c:pt>
                <c:pt idx="2157">
                  <c:v>142.714005362227</c:v>
                </c:pt>
                <c:pt idx="2158">
                  <c:v>143.828602227812</c:v>
                </c:pt>
                <c:pt idx="2159">
                  <c:v>142.58064070317</c:v>
                </c:pt>
                <c:pt idx="2160">
                  <c:v>141.73415517289</c:v>
                </c:pt>
                <c:pt idx="2161">
                  <c:v>141.700295751679</c:v>
                </c:pt>
                <c:pt idx="2162">
                  <c:v>142.150142347771</c:v>
                </c:pt>
                <c:pt idx="2163">
                  <c:v>142.257248680174</c:v>
                </c:pt>
                <c:pt idx="2164">
                  <c:v>144.033140772271</c:v>
                </c:pt>
                <c:pt idx="2165">
                  <c:v>142.65596064015</c:v>
                </c:pt>
                <c:pt idx="2166">
                  <c:v>142.631775339285</c:v>
                </c:pt>
                <c:pt idx="2167">
                  <c:v>141.422510296028</c:v>
                </c:pt>
                <c:pt idx="2168">
                  <c:v>142.807982531303</c:v>
                </c:pt>
                <c:pt idx="2169">
                  <c:v>141.463970811797</c:v>
                </c:pt>
                <c:pt idx="2170">
                  <c:v>141.492993172835</c:v>
                </c:pt>
                <c:pt idx="2171">
                  <c:v>140.96851764836</c:v>
                </c:pt>
                <c:pt idx="2172">
                  <c:v>141.817076204428</c:v>
                </c:pt>
                <c:pt idx="2173">
                  <c:v>141.521324525277</c:v>
                </c:pt>
                <c:pt idx="2174">
                  <c:v>143.457530611681</c:v>
                </c:pt>
                <c:pt idx="2175">
                  <c:v>144.458111058902</c:v>
                </c:pt>
                <c:pt idx="2176">
                  <c:v>144.427706680671</c:v>
                </c:pt>
                <c:pt idx="2177">
                  <c:v>145.046850382819</c:v>
                </c:pt>
                <c:pt idx="2178">
                  <c:v>145.046850382819</c:v>
                </c:pt>
                <c:pt idx="2179">
                  <c:v>144.901738577628</c:v>
                </c:pt>
                <c:pt idx="2180">
                  <c:v>145.065507614915</c:v>
                </c:pt>
                <c:pt idx="2181">
                  <c:v>145.47527571243</c:v>
                </c:pt>
                <c:pt idx="2182">
                  <c:v>145.051687442992</c:v>
                </c:pt>
                <c:pt idx="2183">
                  <c:v>145.762044279831</c:v>
                </c:pt>
                <c:pt idx="2184">
                  <c:v>145.949998617983</c:v>
                </c:pt>
                <c:pt idx="2185">
                  <c:v>146.43301362669</c:v>
                </c:pt>
                <c:pt idx="2186">
                  <c:v>146.181486497692</c:v>
                </c:pt>
                <c:pt idx="2187">
                  <c:v>144.840238812571</c:v>
                </c:pt>
                <c:pt idx="2188">
                  <c:v>143.664833190525</c:v>
                </c:pt>
                <c:pt idx="2189">
                  <c:v>143.406395975566</c:v>
                </c:pt>
                <c:pt idx="2190">
                  <c:v>143.142430691838</c:v>
                </c:pt>
                <c:pt idx="2191">
                  <c:v>143.590895270737</c:v>
                </c:pt>
                <c:pt idx="2192">
                  <c:v>143.123082451146</c:v>
                </c:pt>
                <c:pt idx="2193">
                  <c:v>143.95436579231</c:v>
                </c:pt>
                <c:pt idx="2194">
                  <c:v>144.344785649133</c:v>
                </c:pt>
                <c:pt idx="2195">
                  <c:v>144.106387683463</c:v>
                </c:pt>
                <c:pt idx="2196">
                  <c:v>146.032228640924</c:v>
                </c:pt>
                <c:pt idx="2197">
                  <c:v>140.786782387573</c:v>
                </c:pt>
                <c:pt idx="2198">
                  <c:v>138.239033693579</c:v>
                </c:pt>
                <c:pt idx="2199">
                  <c:v>140.695569252882</c:v>
                </c:pt>
                <c:pt idx="2200">
                  <c:v>143.091987064319</c:v>
                </c:pt>
                <c:pt idx="2201">
                  <c:v>145.033030210896</c:v>
                </c:pt>
                <c:pt idx="2202">
                  <c:v>145.31565272672</c:v>
                </c:pt>
                <c:pt idx="2203">
                  <c:v>145.31565272672</c:v>
                </c:pt>
                <c:pt idx="2204">
                  <c:v>144.320600348268</c:v>
                </c:pt>
                <c:pt idx="2205">
                  <c:v>145.093147958761</c:v>
                </c:pt>
                <c:pt idx="2206">
                  <c:v>144.966693385666</c:v>
                </c:pt>
                <c:pt idx="2207">
                  <c:v>147.177920893336</c:v>
                </c:pt>
                <c:pt idx="2208">
                  <c:v>147.679593134139</c:v>
                </c:pt>
                <c:pt idx="2209">
                  <c:v>148.714724011167</c:v>
                </c:pt>
                <c:pt idx="2210">
                  <c:v>148.734763260455</c:v>
                </c:pt>
                <c:pt idx="2211">
                  <c:v>149.516984991293</c:v>
                </c:pt>
                <c:pt idx="2212">
                  <c:v>149.378092263468</c:v>
                </c:pt>
                <c:pt idx="2213">
                  <c:v>149.733961690483</c:v>
                </c:pt>
                <c:pt idx="2214">
                  <c:v>149.519058017082</c:v>
                </c:pt>
                <c:pt idx="2215">
                  <c:v>150.157549959921</c:v>
                </c:pt>
                <c:pt idx="2216">
                  <c:v>149.615108211946</c:v>
                </c:pt>
                <c:pt idx="2217">
                  <c:v>150.296442687747</c:v>
                </c:pt>
                <c:pt idx="2218">
                  <c:v>149.843832057271</c:v>
                </c:pt>
                <c:pt idx="2219">
                  <c:v>149.892202659001</c:v>
                </c:pt>
                <c:pt idx="2220">
                  <c:v>149.712540424003</c:v>
                </c:pt>
                <c:pt idx="2221">
                  <c:v>149.953011415462</c:v>
                </c:pt>
                <c:pt idx="2222">
                  <c:v>150.197628458498</c:v>
                </c:pt>
                <c:pt idx="2223">
                  <c:v>150.006910085961</c:v>
                </c:pt>
                <c:pt idx="2224">
                  <c:v>149.052627214683</c:v>
                </c:pt>
                <c:pt idx="2225">
                  <c:v>149.519749025678</c:v>
                </c:pt>
                <c:pt idx="2226">
                  <c:v>149.551535421101</c:v>
                </c:pt>
                <c:pt idx="2227">
                  <c:v>150.838193427126</c:v>
                </c:pt>
                <c:pt idx="2228">
                  <c:v>150.701373725089</c:v>
                </c:pt>
                <c:pt idx="2229">
                  <c:v>150.760109455762</c:v>
                </c:pt>
                <c:pt idx="2230">
                  <c:v>150.32822908317</c:v>
                </c:pt>
                <c:pt idx="2231">
                  <c:v>151.039967937201</c:v>
                </c:pt>
                <c:pt idx="2232">
                  <c:v>150.919732441472</c:v>
                </c:pt>
                <c:pt idx="2233">
                  <c:v>151.341247685121</c:v>
                </c:pt>
                <c:pt idx="2234">
                  <c:v>150.512037369745</c:v>
                </c:pt>
                <c:pt idx="2235">
                  <c:v>150.793277868377</c:v>
                </c:pt>
                <c:pt idx="2236">
                  <c:v>151.124961994527</c:v>
                </c:pt>
                <c:pt idx="2237">
                  <c:v>150.907294286741</c:v>
                </c:pt>
                <c:pt idx="2238">
                  <c:v>150.822300229415</c:v>
                </c:pt>
                <c:pt idx="2239">
                  <c:v>151.116669891373</c:v>
                </c:pt>
                <c:pt idx="2240">
                  <c:v>150.324774040189</c:v>
                </c:pt>
                <c:pt idx="2241">
                  <c:v>150.119544487133</c:v>
                </c:pt>
                <c:pt idx="2242">
                  <c:v>149.882528538655</c:v>
                </c:pt>
                <c:pt idx="2243">
                  <c:v>150.666132286686</c:v>
                </c:pt>
                <c:pt idx="2244">
                  <c:v>150.371762624727</c:v>
                </c:pt>
                <c:pt idx="2245">
                  <c:v>150.014511180519</c:v>
                </c:pt>
                <c:pt idx="2246">
                  <c:v>150.008292103154</c:v>
                </c:pt>
                <c:pt idx="2247">
                  <c:v>150.63849194284</c:v>
                </c:pt>
                <c:pt idx="2248">
                  <c:v>150.63849194284</c:v>
                </c:pt>
                <c:pt idx="2249">
                  <c:v>151.087647530335</c:v>
                </c:pt>
                <c:pt idx="2250">
                  <c:v>151.065535255259</c:v>
                </c:pt>
                <c:pt idx="2251">
                  <c:v>150.729705077531</c:v>
                </c:pt>
                <c:pt idx="2252">
                  <c:v>147.033500096741</c:v>
                </c:pt>
                <c:pt idx="2253">
                  <c:v>149.191519942508</c:v>
                </c:pt>
                <c:pt idx="2254">
                  <c:v>146.978910417646</c:v>
                </c:pt>
                <c:pt idx="2255">
                  <c:v>146.892534343127</c:v>
                </c:pt>
                <c:pt idx="2256">
                  <c:v>148.377511816247</c:v>
                </c:pt>
                <c:pt idx="2257">
                  <c:v>147.817794853368</c:v>
                </c:pt>
                <c:pt idx="2258">
                  <c:v>147.815030818983</c:v>
                </c:pt>
                <c:pt idx="2259">
                  <c:v>147.859255369137</c:v>
                </c:pt>
                <c:pt idx="2260">
                  <c:v>149.473451449736</c:v>
                </c:pt>
                <c:pt idx="2261">
                  <c:v>150.445009535919</c:v>
                </c:pt>
                <c:pt idx="2262">
                  <c:v>149.581939799331</c:v>
                </c:pt>
                <c:pt idx="2263">
                  <c:v>148.297354819094</c:v>
                </c:pt>
                <c:pt idx="2264">
                  <c:v>149.253019707565</c:v>
                </c:pt>
                <c:pt idx="2265">
                  <c:v>150.043533541557</c:v>
                </c:pt>
                <c:pt idx="2266">
                  <c:v>148.644932142956</c:v>
                </c:pt>
                <c:pt idx="2267">
                  <c:v>149.829320876752</c:v>
                </c:pt>
                <c:pt idx="2268">
                  <c:v>149.340777799276</c:v>
                </c:pt>
                <c:pt idx="2269">
                  <c:v>148.600707592802</c:v>
                </c:pt>
                <c:pt idx="2270">
                  <c:v>149.239199535642</c:v>
                </c:pt>
                <c:pt idx="2271">
                  <c:v>149.311064429642</c:v>
                </c:pt>
                <c:pt idx="2272">
                  <c:v>148.82528538655</c:v>
                </c:pt>
                <c:pt idx="2273">
                  <c:v>149.510765913928</c:v>
                </c:pt>
                <c:pt idx="2274">
                  <c:v>147.649879764504</c:v>
                </c:pt>
                <c:pt idx="2275">
                  <c:v>147.81917687056</c:v>
                </c:pt>
                <c:pt idx="2276">
                  <c:v>147.361038171315</c:v>
                </c:pt>
                <c:pt idx="2277">
                  <c:v>147.390751540949</c:v>
                </c:pt>
                <c:pt idx="2278">
                  <c:v>146.942977970646</c:v>
                </c:pt>
                <c:pt idx="2279">
                  <c:v>147.848199231598</c:v>
                </c:pt>
                <c:pt idx="2280">
                  <c:v>148.172282263191</c:v>
                </c:pt>
                <c:pt idx="2281">
                  <c:v>147.968434727328</c:v>
                </c:pt>
                <c:pt idx="2282">
                  <c:v>147.955996572597</c:v>
                </c:pt>
                <c:pt idx="2283">
                  <c:v>148.658752314879</c:v>
                </c:pt>
                <c:pt idx="2284">
                  <c:v>148.094198291827</c:v>
                </c:pt>
                <c:pt idx="2285">
                  <c:v>147.836452085464</c:v>
                </c:pt>
                <c:pt idx="2286">
                  <c:v>147.394897592526</c:v>
                </c:pt>
                <c:pt idx="2287">
                  <c:v>146.936758893281</c:v>
                </c:pt>
                <c:pt idx="2288">
                  <c:v>146.918792669781</c:v>
                </c:pt>
                <c:pt idx="2289">
                  <c:v>145.921667265541</c:v>
                </c:pt>
                <c:pt idx="2290">
                  <c:v>144.96945742005</c:v>
                </c:pt>
                <c:pt idx="2291">
                  <c:v>144.328201442826</c:v>
                </c:pt>
                <c:pt idx="2292">
                  <c:v>144.087730451367</c:v>
                </c:pt>
                <c:pt idx="2293">
                  <c:v>147.289864285912</c:v>
                </c:pt>
                <c:pt idx="2294">
                  <c:v>147.845435197214</c:v>
                </c:pt>
                <c:pt idx="2295">
                  <c:v>149.483125570082</c:v>
                </c:pt>
                <c:pt idx="2296">
                  <c:v>149.774731197656</c:v>
                </c:pt>
                <c:pt idx="2297">
                  <c:v>149.565355593024</c:v>
                </c:pt>
                <c:pt idx="2298">
                  <c:v>149.54808037812</c:v>
                </c:pt>
                <c:pt idx="2299">
                  <c:v>150.666823295282</c:v>
                </c:pt>
                <c:pt idx="2300">
                  <c:v>150.428425329611</c:v>
                </c:pt>
                <c:pt idx="2301">
                  <c:v>151.131872080489</c:v>
                </c:pt>
                <c:pt idx="2302">
                  <c:v>150.7711655933</c:v>
                </c:pt>
                <c:pt idx="2303">
                  <c:v>151.896127587827</c:v>
                </c:pt>
                <c:pt idx="2304">
                  <c:v>152.225047679593</c:v>
                </c:pt>
                <c:pt idx="2305">
                  <c:v>152.348047209707</c:v>
                </c:pt>
                <c:pt idx="2306">
                  <c:v>152.348047209707</c:v>
                </c:pt>
                <c:pt idx="2307">
                  <c:v>152.944387628182</c:v>
                </c:pt>
                <c:pt idx="2308">
                  <c:v>152.140744630863</c:v>
                </c:pt>
                <c:pt idx="2309">
                  <c:v>152.34390115813</c:v>
                </c:pt>
                <c:pt idx="2310">
                  <c:v>151.939661129384</c:v>
                </c:pt>
                <c:pt idx="2311">
                  <c:v>151.405511484563</c:v>
                </c:pt>
                <c:pt idx="2312">
                  <c:v>151.465629232428</c:v>
                </c:pt>
                <c:pt idx="2313">
                  <c:v>152.347356201111</c:v>
                </c:pt>
                <c:pt idx="2314">
                  <c:v>152.866994665414</c:v>
                </c:pt>
                <c:pt idx="2315">
                  <c:v>154.879211697394</c:v>
                </c:pt>
                <c:pt idx="2316">
                  <c:v>155.213659857929</c:v>
                </c:pt>
                <c:pt idx="2317">
                  <c:v>156.135465325189</c:v>
                </c:pt>
                <c:pt idx="2318">
                  <c:v>155.957876115979</c:v>
                </c:pt>
                <c:pt idx="2319">
                  <c:v>156.977804803892</c:v>
                </c:pt>
                <c:pt idx="2320">
                  <c:v>155.703584952597</c:v>
                </c:pt>
                <c:pt idx="2321">
                  <c:v>156.308217474225</c:v>
                </c:pt>
                <c:pt idx="2322">
                  <c:v>156.034578070151</c:v>
                </c:pt>
                <c:pt idx="2323">
                  <c:v>156.342767904033</c:v>
                </c:pt>
                <c:pt idx="2324">
                  <c:v>156.911467978662</c:v>
                </c:pt>
                <c:pt idx="2325">
                  <c:v>156.525885182012</c:v>
                </c:pt>
                <c:pt idx="2326">
                  <c:v>156.234279554438</c:v>
                </c:pt>
                <c:pt idx="2327">
                  <c:v>156.429834987147</c:v>
                </c:pt>
                <c:pt idx="2328">
                  <c:v>156.429834987147</c:v>
                </c:pt>
                <c:pt idx="2329">
                  <c:v>156.781558362586</c:v>
                </c:pt>
                <c:pt idx="2330">
                  <c:v>155.471406064291</c:v>
                </c:pt>
                <c:pt idx="2331">
                  <c:v>155.425799496946</c:v>
                </c:pt>
                <c:pt idx="2332">
                  <c:v>154.705077531164</c:v>
                </c:pt>
                <c:pt idx="2333">
                  <c:v>154.705077531164</c:v>
                </c:pt>
                <c:pt idx="2334">
                  <c:v>156.017993863844</c:v>
                </c:pt>
                <c:pt idx="2335">
                  <c:v>156.910776970066</c:v>
                </c:pt>
                <c:pt idx="2336">
                  <c:v>156.78985046574</c:v>
                </c:pt>
                <c:pt idx="2337">
                  <c:v>157.341275325465</c:v>
                </c:pt>
                <c:pt idx="2338">
                  <c:v>156.782940379778</c:v>
                </c:pt>
                <c:pt idx="2339">
                  <c:v>156.782940379778</c:v>
                </c:pt>
                <c:pt idx="2340">
                  <c:v>157.226567898505</c:v>
                </c:pt>
                <c:pt idx="2341">
                  <c:v>156.889355703585</c:v>
                </c:pt>
                <c:pt idx="2342">
                  <c:v>157.179579313967</c:v>
                </c:pt>
                <c:pt idx="2343">
                  <c:v>157.179579313967</c:v>
                </c:pt>
                <c:pt idx="2344">
                  <c:v>156.713148511567</c:v>
                </c:pt>
                <c:pt idx="2345">
                  <c:v>156.989551950026</c:v>
                </c:pt>
                <c:pt idx="2346">
                  <c:v>156.422924901186</c:v>
                </c:pt>
                <c:pt idx="2347">
                  <c:v>156.94947345145</c:v>
                </c:pt>
                <c:pt idx="2348">
                  <c:v>156.527267199204</c:v>
                </c:pt>
                <c:pt idx="2349">
                  <c:v>157.554796981674</c:v>
                </c:pt>
                <c:pt idx="2350">
                  <c:v>158.819342712623</c:v>
                </c:pt>
                <c:pt idx="2351">
                  <c:v>158.702562259875</c:v>
                </c:pt>
                <c:pt idx="2352">
                  <c:v>158.565051549241</c:v>
                </c:pt>
                <c:pt idx="2353">
                  <c:v>157.612150695155</c:v>
                </c:pt>
                <c:pt idx="2354">
                  <c:v>157.471875950137</c:v>
                </c:pt>
                <c:pt idx="2355">
                  <c:v>157.518864534675</c:v>
                </c:pt>
                <c:pt idx="2356">
                  <c:v>157.608695652174</c:v>
                </c:pt>
                <c:pt idx="2357">
                  <c:v>158.753696895989</c:v>
                </c:pt>
                <c:pt idx="2358">
                  <c:v>158.417866718262</c:v>
                </c:pt>
                <c:pt idx="2359">
                  <c:v>158.453799165262</c:v>
                </c:pt>
                <c:pt idx="2360">
                  <c:v>158.563669532049</c:v>
                </c:pt>
                <c:pt idx="2361">
                  <c:v>159.475800878963</c:v>
                </c:pt>
                <c:pt idx="2362">
                  <c:v>160.044500953592</c:v>
                </c:pt>
                <c:pt idx="2363">
                  <c:v>160.88407639791</c:v>
                </c:pt>
                <c:pt idx="2364">
                  <c:v>161.528787418115</c:v>
                </c:pt>
                <c:pt idx="2365">
                  <c:v>162.335194449819</c:v>
                </c:pt>
                <c:pt idx="2366">
                  <c:v>162.194919704801</c:v>
                </c:pt>
                <c:pt idx="2367">
                  <c:v>162.467177091683</c:v>
                </c:pt>
                <c:pt idx="2368">
                  <c:v>162.467177091683</c:v>
                </c:pt>
                <c:pt idx="2369">
                  <c:v>163.449791315404</c:v>
                </c:pt>
                <c:pt idx="2370">
                  <c:v>163.27289311479</c:v>
                </c:pt>
                <c:pt idx="2371">
                  <c:v>163.341302965809</c:v>
                </c:pt>
                <c:pt idx="2372">
                  <c:v>163.585229000249</c:v>
                </c:pt>
                <c:pt idx="2373">
                  <c:v>163.75176207192</c:v>
                </c:pt>
                <c:pt idx="2374">
                  <c:v>163.329555819674</c:v>
                </c:pt>
                <c:pt idx="2375">
                  <c:v>165.562895602421</c:v>
                </c:pt>
                <c:pt idx="2376">
                  <c:v>164.592719533431</c:v>
                </c:pt>
                <c:pt idx="2377">
                  <c:v>164.675640564969</c:v>
                </c:pt>
                <c:pt idx="2378">
                  <c:v>164.135962851378</c:v>
                </c:pt>
                <c:pt idx="2379">
                  <c:v>163.657784902844</c:v>
                </c:pt>
                <c:pt idx="2380">
                  <c:v>163.283949252329</c:v>
                </c:pt>
                <c:pt idx="2381">
                  <c:v>163.414549877</c:v>
                </c:pt>
                <c:pt idx="2382">
                  <c:v>163.948699521822</c:v>
                </c:pt>
                <c:pt idx="2383">
                  <c:v>164.008817269687</c:v>
                </c:pt>
                <c:pt idx="2384">
                  <c:v>163.454628375577</c:v>
                </c:pt>
                <c:pt idx="2385">
                  <c:v>164.823516404544</c:v>
                </c:pt>
                <c:pt idx="2386">
                  <c:v>164.555405069239</c:v>
                </c:pt>
                <c:pt idx="2387">
                  <c:v>164.339119378645</c:v>
                </c:pt>
                <c:pt idx="2388">
                  <c:v>164.008817269687</c:v>
                </c:pt>
                <c:pt idx="2389">
                  <c:v>161.973796954034</c:v>
                </c:pt>
                <c:pt idx="2390">
                  <c:v>162.279913762127</c:v>
                </c:pt>
                <c:pt idx="2391">
                  <c:v>162.107852621687</c:v>
                </c:pt>
                <c:pt idx="2392">
                  <c:v>161.971032919649</c:v>
                </c:pt>
                <c:pt idx="2393">
                  <c:v>161.80588186517</c:v>
                </c:pt>
                <c:pt idx="2394">
                  <c:v>162.979214461428</c:v>
                </c:pt>
                <c:pt idx="2395">
                  <c:v>163.156112662041</c:v>
                </c:pt>
                <c:pt idx="2396">
                  <c:v>163.634981619171</c:v>
                </c:pt>
                <c:pt idx="2397">
                  <c:v>163.265983028829</c:v>
                </c:pt>
                <c:pt idx="2398">
                  <c:v>162.997871693524</c:v>
                </c:pt>
                <c:pt idx="2399">
                  <c:v>163.089084828215</c:v>
                </c:pt>
                <c:pt idx="2400">
                  <c:v>162.590867630393</c:v>
                </c:pt>
                <c:pt idx="2401">
                  <c:v>162.904585533044</c:v>
                </c:pt>
                <c:pt idx="2402">
                  <c:v>162.769838856795</c:v>
                </c:pt>
                <c:pt idx="2403">
                  <c:v>162.881782249371</c:v>
                </c:pt>
                <c:pt idx="2404">
                  <c:v>162.648221343874</c:v>
                </c:pt>
                <c:pt idx="2405">
                  <c:v>162.036678736283</c:v>
                </c:pt>
                <c:pt idx="2406">
                  <c:v>160.932446999641</c:v>
                </c:pt>
                <c:pt idx="2407">
                  <c:v>160.932446999641</c:v>
                </c:pt>
                <c:pt idx="2408">
                  <c:v>162.318610243511</c:v>
                </c:pt>
                <c:pt idx="2409">
                  <c:v>161.847342380939</c:v>
                </c:pt>
                <c:pt idx="2410">
                  <c:v>161.569556925288</c:v>
                </c:pt>
                <c:pt idx="2411">
                  <c:v>162.79056911468</c:v>
                </c:pt>
                <c:pt idx="2412">
                  <c:v>162.296497968435</c:v>
                </c:pt>
                <c:pt idx="2413">
                  <c:v>164.055805854225</c:v>
                </c:pt>
                <c:pt idx="2414">
                  <c:v>165.055004284253</c:v>
                </c:pt>
                <c:pt idx="2415">
                  <c:v>164.9748472871</c:v>
                </c:pt>
                <c:pt idx="2416">
                  <c:v>165.066060421792</c:v>
                </c:pt>
                <c:pt idx="2417">
                  <c:v>164.750269493352</c:v>
                </c:pt>
                <c:pt idx="2418">
                  <c:v>165.035656043561</c:v>
                </c:pt>
                <c:pt idx="2419">
                  <c:v>165.231902484867</c:v>
                </c:pt>
                <c:pt idx="2420">
                  <c:v>165.021835871638</c:v>
                </c:pt>
                <c:pt idx="2421">
                  <c:v>165.117886066503</c:v>
                </c:pt>
                <c:pt idx="2422">
                  <c:v>165.793001464938</c:v>
                </c:pt>
                <c:pt idx="2423">
                  <c:v>165.799220542304</c:v>
                </c:pt>
                <c:pt idx="2424">
                  <c:v>165.629232427651</c:v>
                </c:pt>
                <c:pt idx="2425">
                  <c:v>165.816495757207</c:v>
                </c:pt>
                <c:pt idx="2426">
                  <c:v>165.457862295807</c:v>
                </c:pt>
                <c:pt idx="2427">
                  <c:v>165.213245252771</c:v>
                </c:pt>
                <c:pt idx="2428">
                  <c:v>166.002377069571</c:v>
                </c:pt>
                <c:pt idx="2429">
                  <c:v>165.888360651207</c:v>
                </c:pt>
                <c:pt idx="2430">
                  <c:v>162.872799137621</c:v>
                </c:pt>
                <c:pt idx="2431">
                  <c:v>163.473285607673</c:v>
                </c:pt>
                <c:pt idx="2432">
                  <c:v>164.579590370104</c:v>
                </c:pt>
                <c:pt idx="2433">
                  <c:v>165.428839934769</c:v>
                </c:pt>
                <c:pt idx="2434">
                  <c:v>165.732883717073</c:v>
                </c:pt>
                <c:pt idx="2435">
                  <c:v>166.145415848973</c:v>
                </c:pt>
                <c:pt idx="2436">
                  <c:v>166.883413029658</c:v>
                </c:pt>
                <c:pt idx="2437">
                  <c:v>166.935238674369</c:v>
                </c:pt>
                <c:pt idx="2438">
                  <c:v>166.935238674369</c:v>
                </c:pt>
                <c:pt idx="2439">
                  <c:v>166.73415517289</c:v>
                </c:pt>
                <c:pt idx="2440">
                  <c:v>166.657453218718</c:v>
                </c:pt>
                <c:pt idx="2441">
                  <c:v>167.919234915282</c:v>
                </c:pt>
                <c:pt idx="2442">
                  <c:v>168.541833660411</c:v>
                </c:pt>
                <c:pt idx="2443">
                  <c:v>168.336604107355</c:v>
                </c:pt>
                <c:pt idx="2444">
                  <c:v>167.868791287764</c:v>
                </c:pt>
                <c:pt idx="2445">
                  <c:v>168.132065562896</c:v>
                </c:pt>
                <c:pt idx="2446">
                  <c:v>168.176981121645</c:v>
                </c:pt>
                <c:pt idx="2447">
                  <c:v>168.037397385223</c:v>
                </c:pt>
                <c:pt idx="2448">
                  <c:v>167.872937339341</c:v>
                </c:pt>
                <c:pt idx="2449">
                  <c:v>168.630282760718</c:v>
                </c:pt>
                <c:pt idx="2450">
                  <c:v>168.462367671854</c:v>
                </c:pt>
                <c:pt idx="2451">
                  <c:v>168.085076978358</c:v>
                </c:pt>
                <c:pt idx="2452">
                  <c:v>168.132756571492</c:v>
                </c:pt>
                <c:pt idx="2453">
                  <c:v>169.536195030266</c:v>
                </c:pt>
                <c:pt idx="2454">
                  <c:v>168.400867906797</c:v>
                </c:pt>
                <c:pt idx="2455">
                  <c:v>168.302744686144</c:v>
                </c:pt>
                <c:pt idx="2456">
                  <c:v>168.226042731972</c:v>
                </c:pt>
                <c:pt idx="2457">
                  <c:v>168.488625998507</c:v>
                </c:pt>
                <c:pt idx="2458">
                  <c:v>168.541833660411</c:v>
                </c:pt>
                <c:pt idx="2459">
                  <c:v>167.181237734597</c:v>
                </c:pt>
                <c:pt idx="2460">
                  <c:v>168.653777052987</c:v>
                </c:pt>
                <c:pt idx="2461">
                  <c:v>167.203350009674</c:v>
                </c:pt>
                <c:pt idx="2462">
                  <c:v>167.459714198845</c:v>
                </c:pt>
                <c:pt idx="2463">
                  <c:v>167.846679012687</c:v>
                </c:pt>
                <c:pt idx="2464">
                  <c:v>167.846679012687</c:v>
                </c:pt>
                <c:pt idx="2465">
                  <c:v>168.090605047127</c:v>
                </c:pt>
                <c:pt idx="2466">
                  <c:v>166.515796456508</c:v>
                </c:pt>
                <c:pt idx="2467">
                  <c:v>167.582022720363</c:v>
                </c:pt>
                <c:pt idx="2468">
                  <c:v>167.737499654496</c:v>
                </c:pt>
                <c:pt idx="2469">
                  <c:v>167.606208021228</c:v>
                </c:pt>
                <c:pt idx="2470">
                  <c:v>168.8306752536</c:v>
                </c:pt>
                <c:pt idx="2471">
                  <c:v>169.147157190635</c:v>
                </c:pt>
                <c:pt idx="2472">
                  <c:v>169.937671024628</c:v>
                </c:pt>
                <c:pt idx="2473">
                  <c:v>169.928687912878</c:v>
                </c:pt>
                <c:pt idx="2474">
                  <c:v>170.030266176511</c:v>
                </c:pt>
                <c:pt idx="2475">
                  <c:v>170.943779540617</c:v>
                </c:pt>
                <c:pt idx="2476">
                  <c:v>170.917521213964</c:v>
                </c:pt>
                <c:pt idx="2477">
                  <c:v>170.854639431715</c:v>
                </c:pt>
                <c:pt idx="2478">
                  <c:v>170.672904170928</c:v>
                </c:pt>
                <c:pt idx="2479">
                  <c:v>171.171812377346</c:v>
                </c:pt>
                <c:pt idx="2480">
                  <c:v>171.220182979076</c:v>
                </c:pt>
                <c:pt idx="2481">
                  <c:v>171.053649907405</c:v>
                </c:pt>
                <c:pt idx="2482">
                  <c:v>170.824235053484</c:v>
                </c:pt>
                <c:pt idx="2483">
                  <c:v>170.699853506178</c:v>
                </c:pt>
                <c:pt idx="2484">
                  <c:v>171.117913706847</c:v>
                </c:pt>
                <c:pt idx="2485">
                  <c:v>171.202216755576</c:v>
                </c:pt>
                <c:pt idx="2486">
                  <c:v>170.828381105061</c:v>
                </c:pt>
                <c:pt idx="2487">
                  <c:v>171.151082119462</c:v>
                </c:pt>
                <c:pt idx="2488">
                  <c:v>171.43301362669</c:v>
                </c:pt>
                <c:pt idx="2489">
                  <c:v>171.019099477597</c:v>
                </c:pt>
                <c:pt idx="2490">
                  <c:v>170.956908703944</c:v>
                </c:pt>
                <c:pt idx="2491">
                  <c:v>168.482406921142</c:v>
                </c:pt>
                <c:pt idx="2492">
                  <c:v>168.697310594544</c:v>
                </c:pt>
                <c:pt idx="2493">
                  <c:v>170.391663672296</c:v>
                </c:pt>
                <c:pt idx="2494">
                  <c:v>170.30666961497</c:v>
                </c:pt>
                <c:pt idx="2495">
                  <c:v>170.548522623621</c:v>
                </c:pt>
                <c:pt idx="2496">
                  <c:v>167.915779872302</c:v>
                </c:pt>
                <c:pt idx="2497">
                  <c:v>167.60759003842</c:v>
                </c:pt>
                <c:pt idx="2498">
                  <c:v>167.802454462534</c:v>
                </c:pt>
                <c:pt idx="2499">
                  <c:v>169.470549213632</c:v>
                </c:pt>
                <c:pt idx="2500">
                  <c:v>168.885264932696</c:v>
                </c:pt>
                <c:pt idx="2501">
                  <c:v>168.534923574449</c:v>
                </c:pt>
                <c:pt idx="2502">
                  <c:v>168.816855081677</c:v>
                </c:pt>
                <c:pt idx="2503">
                  <c:v>168.899085104619</c:v>
                </c:pt>
                <c:pt idx="2504">
                  <c:v>169.041432875425</c:v>
                </c:pt>
                <c:pt idx="2505">
                  <c:v>169.821581580475</c:v>
                </c:pt>
                <c:pt idx="2506">
                  <c:v>170.793139666657</c:v>
                </c:pt>
                <c:pt idx="2507">
                  <c:v>171.131733878769</c:v>
                </c:pt>
                <c:pt idx="2508">
                  <c:v>171.131733878769</c:v>
                </c:pt>
                <c:pt idx="2509">
                  <c:v>169.839547803975</c:v>
                </c:pt>
                <c:pt idx="2510">
                  <c:v>170.370933414412</c:v>
                </c:pt>
                <c:pt idx="2511">
                  <c:v>170.340529036181</c:v>
                </c:pt>
                <c:pt idx="2512">
                  <c:v>170.086928881395</c:v>
                </c:pt>
                <c:pt idx="2513">
                  <c:v>171.930539815915</c:v>
                </c:pt>
                <c:pt idx="2514">
                  <c:v>172.50891401089</c:v>
                </c:pt>
                <c:pt idx="2515">
                  <c:v>172.639514635562</c:v>
                </c:pt>
                <c:pt idx="2516">
                  <c:v>172.449487271622</c:v>
                </c:pt>
                <c:pt idx="2517">
                  <c:v>172.768042234445</c:v>
                </c:pt>
                <c:pt idx="2518">
                  <c:v>173.019569363443</c:v>
                </c:pt>
                <c:pt idx="2519">
                  <c:v>173.211669753172</c:v>
                </c:pt>
                <c:pt idx="2520">
                  <c:v>173.321540119959</c:v>
                </c:pt>
                <c:pt idx="2521">
                  <c:v>172.793609552503</c:v>
                </c:pt>
                <c:pt idx="2522">
                  <c:v>172.905552945079</c:v>
                </c:pt>
                <c:pt idx="2523">
                  <c:v>172.521352165621</c:v>
                </c:pt>
                <c:pt idx="2524">
                  <c:v>172.533790320352</c:v>
                </c:pt>
                <c:pt idx="2525">
                  <c:v>173.238619088421</c:v>
                </c:pt>
                <c:pt idx="2526">
                  <c:v>173.447303684458</c:v>
                </c:pt>
                <c:pt idx="2527">
                  <c:v>174.089941678874</c:v>
                </c:pt>
                <c:pt idx="2528">
                  <c:v>174.764366068714</c:v>
                </c:pt>
                <c:pt idx="2529">
                  <c:v>175.14165676221</c:v>
                </c:pt>
                <c:pt idx="2530">
                  <c:v>175.360015478593</c:v>
                </c:pt>
                <c:pt idx="2531">
                  <c:v>176.350230796871</c:v>
                </c:pt>
                <c:pt idx="2532">
                  <c:v>176.160894441527</c:v>
                </c:pt>
                <c:pt idx="2533">
                  <c:v>175.843030487299</c:v>
                </c:pt>
                <c:pt idx="2534">
                  <c:v>176.251416567622</c:v>
                </c:pt>
                <c:pt idx="2535">
                  <c:v>176.56928052185</c:v>
                </c:pt>
                <c:pt idx="2536">
                  <c:v>176.27145581691</c:v>
                </c:pt>
                <c:pt idx="2537">
                  <c:v>176.426241742447</c:v>
                </c:pt>
                <c:pt idx="2538">
                  <c:v>176.735122584925</c:v>
                </c:pt>
                <c:pt idx="2539">
                  <c:v>176.853976063462</c:v>
                </c:pt>
                <c:pt idx="2540">
                  <c:v>176.98526769673</c:v>
                </c:pt>
                <c:pt idx="2541">
                  <c:v>177.043312418807</c:v>
                </c:pt>
                <c:pt idx="2542">
                  <c:v>177.949224688355</c:v>
                </c:pt>
                <c:pt idx="2543">
                  <c:v>177.242322894497</c:v>
                </c:pt>
                <c:pt idx="2544">
                  <c:v>177.529091461898</c:v>
                </c:pt>
                <c:pt idx="2545">
                  <c:v>176.701263163714</c:v>
                </c:pt>
                <c:pt idx="2546">
                  <c:v>176.925840957462</c:v>
                </c:pt>
                <c:pt idx="2547">
                  <c:v>178.354155725697</c:v>
                </c:pt>
                <c:pt idx="2548">
                  <c:v>177.784764642472</c:v>
                </c:pt>
                <c:pt idx="2549">
                  <c:v>177.952679731336</c:v>
                </c:pt>
                <c:pt idx="2550">
                  <c:v>178.235993255756</c:v>
                </c:pt>
                <c:pt idx="2551">
                  <c:v>178.269852676967</c:v>
                </c:pt>
                <c:pt idx="2552">
                  <c:v>178.821968545289</c:v>
                </c:pt>
                <c:pt idx="2553">
                  <c:v>179.049310373421</c:v>
                </c:pt>
                <c:pt idx="2554">
                  <c:v>179.01545095221</c:v>
                </c:pt>
                <c:pt idx="2555">
                  <c:v>179.273888167169</c:v>
                </c:pt>
                <c:pt idx="2556">
                  <c:v>178.599463777329</c:v>
                </c:pt>
                <c:pt idx="2557">
                  <c:v>178.439149783023</c:v>
                </c:pt>
                <c:pt idx="2558">
                  <c:v>178.614665966445</c:v>
                </c:pt>
                <c:pt idx="2559">
                  <c:v>178.202133834545</c:v>
                </c:pt>
                <c:pt idx="2560">
                  <c:v>177.217446585036</c:v>
                </c:pt>
                <c:pt idx="2561">
                  <c:v>178.669946654136</c:v>
                </c:pt>
                <c:pt idx="2562">
                  <c:v>178.200751817353</c:v>
                </c:pt>
                <c:pt idx="2563">
                  <c:v>178.428093645485</c:v>
                </c:pt>
                <c:pt idx="2564">
                  <c:v>179.595207164377</c:v>
                </c:pt>
                <c:pt idx="2565">
                  <c:v>179.460460488128</c:v>
                </c:pt>
                <c:pt idx="2566">
                  <c:v>179.460460488128</c:v>
                </c:pt>
                <c:pt idx="2567">
                  <c:v>179.829459078471</c:v>
                </c:pt>
                <c:pt idx="2568">
                  <c:v>179.760358218856</c:v>
                </c:pt>
                <c:pt idx="2569">
                  <c:v>181.530722242185</c:v>
                </c:pt>
                <c:pt idx="2570">
                  <c:v>181.463694408358</c:v>
                </c:pt>
                <c:pt idx="2571">
                  <c:v>182.950053898671</c:v>
                </c:pt>
                <c:pt idx="2572">
                  <c:v>182.579673291136</c:v>
                </c:pt>
                <c:pt idx="2573">
                  <c:v>182.387572901407</c:v>
                </c:pt>
                <c:pt idx="2574">
                  <c:v>181.70554741701</c:v>
                </c:pt>
                <c:pt idx="2575">
                  <c:v>181.684817159125</c:v>
                </c:pt>
                <c:pt idx="2576">
                  <c:v>182.217584786755</c:v>
                </c:pt>
                <c:pt idx="2577">
                  <c:v>183.22092926836</c:v>
                </c:pt>
                <c:pt idx="2578">
                  <c:v>183.807595566489</c:v>
                </c:pt>
                <c:pt idx="2579">
                  <c:v>184.092291108101</c:v>
                </c:pt>
                <c:pt idx="2580">
                  <c:v>184.005224024987</c:v>
                </c:pt>
                <c:pt idx="2581">
                  <c:v>183.256170706764</c:v>
                </c:pt>
                <c:pt idx="2582">
                  <c:v>184.900771165593</c:v>
                </c:pt>
                <c:pt idx="2583">
                  <c:v>185.892368501064</c:v>
                </c:pt>
                <c:pt idx="2584">
                  <c:v>185.291882031012</c:v>
                </c:pt>
                <c:pt idx="2585">
                  <c:v>185.138478122668</c:v>
                </c:pt>
                <c:pt idx="2586">
                  <c:v>185.506094695818</c:v>
                </c:pt>
                <c:pt idx="2587">
                  <c:v>185.421100638492</c:v>
                </c:pt>
                <c:pt idx="2588">
                  <c:v>185.224854197186</c:v>
                </c:pt>
                <c:pt idx="2589">
                  <c:v>185.371348019569</c:v>
                </c:pt>
                <c:pt idx="2590">
                  <c:v>185.711324248874</c:v>
                </c:pt>
                <c:pt idx="2591">
                  <c:v>184.748749274441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'그래프 분석'!$E$1</c:f>
              <c:strCache>
                <c:ptCount val="1"/>
                <c:pt idx="0">
                  <c:v>KOSPI200 nor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'그래프 분석'!$A$2:$A$2593</c:f>
              <c:strCache>
                <c:ptCount val="2592"/>
                <c:pt idx="0">
                  <c:v>2008-01-02</c:v>
                </c:pt>
                <c:pt idx="1">
                  <c:v>2008-01-03</c:v>
                </c:pt>
                <c:pt idx="2">
                  <c:v>2008-01-04</c:v>
                </c:pt>
                <c:pt idx="3">
                  <c:v>2008-01-07</c:v>
                </c:pt>
                <c:pt idx="4">
                  <c:v>2008-01-08</c:v>
                </c:pt>
                <c:pt idx="5">
                  <c:v>2008-01-09</c:v>
                </c:pt>
                <c:pt idx="6">
                  <c:v>2008-01-10</c:v>
                </c:pt>
                <c:pt idx="7">
                  <c:v>2008-01-11</c:v>
                </c:pt>
                <c:pt idx="8">
                  <c:v>2008-01-14</c:v>
                </c:pt>
                <c:pt idx="9">
                  <c:v>2008-01-15</c:v>
                </c:pt>
                <c:pt idx="10">
                  <c:v>2008-01-16</c:v>
                </c:pt>
                <c:pt idx="11">
                  <c:v>2008-01-17</c:v>
                </c:pt>
                <c:pt idx="12">
                  <c:v>2008-01-18</c:v>
                </c:pt>
                <c:pt idx="13">
                  <c:v>2008-01-21</c:v>
                </c:pt>
                <c:pt idx="14">
                  <c:v>2008-01-22</c:v>
                </c:pt>
                <c:pt idx="15">
                  <c:v>2008-01-23</c:v>
                </c:pt>
                <c:pt idx="16">
                  <c:v>2008-01-24</c:v>
                </c:pt>
                <c:pt idx="17">
                  <c:v>2008-01-25</c:v>
                </c:pt>
                <c:pt idx="18">
                  <c:v>2008-01-28</c:v>
                </c:pt>
                <c:pt idx="19">
                  <c:v>2008-01-29</c:v>
                </c:pt>
                <c:pt idx="20">
                  <c:v>2008-01-30</c:v>
                </c:pt>
                <c:pt idx="21">
                  <c:v>2008-01-31</c:v>
                </c:pt>
                <c:pt idx="22">
                  <c:v>2008-02-01</c:v>
                </c:pt>
                <c:pt idx="23">
                  <c:v>2008-02-04</c:v>
                </c:pt>
                <c:pt idx="24">
                  <c:v>2008-02-05</c:v>
                </c:pt>
                <c:pt idx="25">
                  <c:v>2008-02-06</c:v>
                </c:pt>
                <c:pt idx="26">
                  <c:v>2008-02-07</c:v>
                </c:pt>
                <c:pt idx="27">
                  <c:v>2008-02-08</c:v>
                </c:pt>
                <c:pt idx="28">
                  <c:v>2008-02-11</c:v>
                </c:pt>
                <c:pt idx="29">
                  <c:v>2008-02-12</c:v>
                </c:pt>
                <c:pt idx="30">
                  <c:v>2008-02-13</c:v>
                </c:pt>
                <c:pt idx="31">
                  <c:v>2008-02-14</c:v>
                </c:pt>
                <c:pt idx="32">
                  <c:v>2008-02-15</c:v>
                </c:pt>
                <c:pt idx="33">
                  <c:v>2008-02-18</c:v>
                </c:pt>
                <c:pt idx="34">
                  <c:v>2008-02-19</c:v>
                </c:pt>
                <c:pt idx="35">
                  <c:v>2008-02-20</c:v>
                </c:pt>
                <c:pt idx="36">
                  <c:v>2008-02-21</c:v>
                </c:pt>
                <c:pt idx="37">
                  <c:v>2008-02-22</c:v>
                </c:pt>
                <c:pt idx="38">
                  <c:v>2008-02-25</c:v>
                </c:pt>
                <c:pt idx="39">
                  <c:v>2008-02-26</c:v>
                </c:pt>
                <c:pt idx="40">
                  <c:v>2008-02-27</c:v>
                </c:pt>
                <c:pt idx="41">
                  <c:v>2008-02-28</c:v>
                </c:pt>
                <c:pt idx="42">
                  <c:v>2008-02-29</c:v>
                </c:pt>
                <c:pt idx="43">
                  <c:v>2008-03-03</c:v>
                </c:pt>
                <c:pt idx="44">
                  <c:v>2008-03-04</c:v>
                </c:pt>
                <c:pt idx="45">
                  <c:v>2008-03-05</c:v>
                </c:pt>
                <c:pt idx="46">
                  <c:v>2008-03-06</c:v>
                </c:pt>
                <c:pt idx="47">
                  <c:v>2008-03-07</c:v>
                </c:pt>
                <c:pt idx="48">
                  <c:v>2008-03-10</c:v>
                </c:pt>
                <c:pt idx="49">
                  <c:v>2008-03-11</c:v>
                </c:pt>
                <c:pt idx="50">
                  <c:v>2008-03-12</c:v>
                </c:pt>
                <c:pt idx="51">
                  <c:v>2008-03-13</c:v>
                </c:pt>
                <c:pt idx="52">
                  <c:v>2008-03-14</c:v>
                </c:pt>
                <c:pt idx="53">
                  <c:v>2008-03-17</c:v>
                </c:pt>
                <c:pt idx="54">
                  <c:v>2008-03-18</c:v>
                </c:pt>
                <c:pt idx="55">
                  <c:v>2008-03-19</c:v>
                </c:pt>
                <c:pt idx="56">
                  <c:v>2008-03-20</c:v>
                </c:pt>
                <c:pt idx="57">
                  <c:v>2008-03-21</c:v>
                </c:pt>
                <c:pt idx="58">
                  <c:v>2008-03-24</c:v>
                </c:pt>
                <c:pt idx="59">
                  <c:v>2008-03-25</c:v>
                </c:pt>
                <c:pt idx="60">
                  <c:v>2008-03-26</c:v>
                </c:pt>
                <c:pt idx="61">
                  <c:v>2008-03-27</c:v>
                </c:pt>
                <c:pt idx="62">
                  <c:v>2008-03-28</c:v>
                </c:pt>
                <c:pt idx="63">
                  <c:v>2008-03-31</c:v>
                </c:pt>
                <c:pt idx="64">
                  <c:v>2008-04-01</c:v>
                </c:pt>
                <c:pt idx="65">
                  <c:v>2008-04-02</c:v>
                </c:pt>
                <c:pt idx="66">
                  <c:v>2008-04-03</c:v>
                </c:pt>
                <c:pt idx="67">
                  <c:v>2008-04-04</c:v>
                </c:pt>
                <c:pt idx="68">
                  <c:v>2008-04-07</c:v>
                </c:pt>
                <c:pt idx="69">
                  <c:v>2008-04-08</c:v>
                </c:pt>
                <c:pt idx="70">
                  <c:v>2008-04-09</c:v>
                </c:pt>
                <c:pt idx="71">
                  <c:v>2008-04-10</c:v>
                </c:pt>
                <c:pt idx="72">
                  <c:v>2008-04-11</c:v>
                </c:pt>
                <c:pt idx="73">
                  <c:v>2008-04-14</c:v>
                </c:pt>
                <c:pt idx="74">
                  <c:v>2008-04-15</c:v>
                </c:pt>
                <c:pt idx="75">
                  <c:v>2008-04-16</c:v>
                </c:pt>
                <c:pt idx="76">
                  <c:v>2008-04-17</c:v>
                </c:pt>
                <c:pt idx="77">
                  <c:v>2008-04-18</c:v>
                </c:pt>
                <c:pt idx="78">
                  <c:v>2008-04-21</c:v>
                </c:pt>
                <c:pt idx="79">
                  <c:v>2008-04-22</c:v>
                </c:pt>
                <c:pt idx="80">
                  <c:v>2008-04-23</c:v>
                </c:pt>
                <c:pt idx="81">
                  <c:v>2008-04-24</c:v>
                </c:pt>
                <c:pt idx="82">
                  <c:v>2008-04-25</c:v>
                </c:pt>
                <c:pt idx="83">
                  <c:v>2008-04-28</c:v>
                </c:pt>
                <c:pt idx="84">
                  <c:v>2008-04-29</c:v>
                </c:pt>
                <c:pt idx="85">
                  <c:v>2008-04-30</c:v>
                </c:pt>
                <c:pt idx="86">
                  <c:v>2008-05-01</c:v>
                </c:pt>
                <c:pt idx="87">
                  <c:v>2008-05-02</c:v>
                </c:pt>
                <c:pt idx="88">
                  <c:v>2008-05-05</c:v>
                </c:pt>
                <c:pt idx="89">
                  <c:v>2008-05-06</c:v>
                </c:pt>
                <c:pt idx="90">
                  <c:v>2008-05-07</c:v>
                </c:pt>
                <c:pt idx="91">
                  <c:v>2008-05-08</c:v>
                </c:pt>
                <c:pt idx="92">
                  <c:v>2008-05-09</c:v>
                </c:pt>
                <c:pt idx="93">
                  <c:v>2008-05-12</c:v>
                </c:pt>
                <c:pt idx="94">
                  <c:v>2008-05-13</c:v>
                </c:pt>
                <c:pt idx="95">
                  <c:v>2008-05-14</c:v>
                </c:pt>
                <c:pt idx="96">
                  <c:v>2008-05-15</c:v>
                </c:pt>
                <c:pt idx="97">
                  <c:v>2008-05-16</c:v>
                </c:pt>
                <c:pt idx="98">
                  <c:v>2008-05-19</c:v>
                </c:pt>
                <c:pt idx="99">
                  <c:v>2008-05-20</c:v>
                </c:pt>
                <c:pt idx="100">
                  <c:v>2008-05-21</c:v>
                </c:pt>
                <c:pt idx="101">
                  <c:v>2008-05-22</c:v>
                </c:pt>
                <c:pt idx="102">
                  <c:v>2008-05-23</c:v>
                </c:pt>
                <c:pt idx="103">
                  <c:v>2008-05-26</c:v>
                </c:pt>
                <c:pt idx="104">
                  <c:v>2008-05-27</c:v>
                </c:pt>
                <c:pt idx="105">
                  <c:v>2008-05-28</c:v>
                </c:pt>
                <c:pt idx="106">
                  <c:v>2008-05-29</c:v>
                </c:pt>
                <c:pt idx="107">
                  <c:v>2008-05-30</c:v>
                </c:pt>
                <c:pt idx="108">
                  <c:v>2008-06-02</c:v>
                </c:pt>
                <c:pt idx="109">
                  <c:v>2008-06-03</c:v>
                </c:pt>
                <c:pt idx="110">
                  <c:v>2008-06-04</c:v>
                </c:pt>
                <c:pt idx="111">
                  <c:v>2008-06-05</c:v>
                </c:pt>
                <c:pt idx="112">
                  <c:v>2008-06-06</c:v>
                </c:pt>
                <c:pt idx="113">
                  <c:v>2008-06-09</c:v>
                </c:pt>
                <c:pt idx="114">
                  <c:v>2008-06-10</c:v>
                </c:pt>
                <c:pt idx="115">
                  <c:v>2008-06-11</c:v>
                </c:pt>
                <c:pt idx="116">
                  <c:v>2008-06-12</c:v>
                </c:pt>
                <c:pt idx="117">
                  <c:v>2008-06-13</c:v>
                </c:pt>
                <c:pt idx="118">
                  <c:v>2008-06-16</c:v>
                </c:pt>
                <c:pt idx="119">
                  <c:v>2008-06-17</c:v>
                </c:pt>
                <c:pt idx="120">
                  <c:v>2008-06-18</c:v>
                </c:pt>
                <c:pt idx="121">
                  <c:v>2008-06-19</c:v>
                </c:pt>
                <c:pt idx="122">
                  <c:v>2008-06-20</c:v>
                </c:pt>
                <c:pt idx="123">
                  <c:v>2008-06-23</c:v>
                </c:pt>
                <c:pt idx="124">
                  <c:v>2008-06-24</c:v>
                </c:pt>
                <c:pt idx="125">
                  <c:v>2008-06-25</c:v>
                </c:pt>
                <c:pt idx="126">
                  <c:v>2008-06-26</c:v>
                </c:pt>
                <c:pt idx="127">
                  <c:v>2008-06-27</c:v>
                </c:pt>
                <c:pt idx="128">
                  <c:v>2008-06-30</c:v>
                </c:pt>
                <c:pt idx="129">
                  <c:v>2008-07-01</c:v>
                </c:pt>
                <c:pt idx="130">
                  <c:v>2008-07-02</c:v>
                </c:pt>
                <c:pt idx="131">
                  <c:v>2008-07-03</c:v>
                </c:pt>
                <c:pt idx="132">
                  <c:v>2008-07-04</c:v>
                </c:pt>
                <c:pt idx="133">
                  <c:v>2008-07-07</c:v>
                </c:pt>
                <c:pt idx="134">
                  <c:v>2008-07-08</c:v>
                </c:pt>
                <c:pt idx="135">
                  <c:v>2008-07-09</c:v>
                </c:pt>
                <c:pt idx="136">
                  <c:v>2008-07-10</c:v>
                </c:pt>
                <c:pt idx="137">
                  <c:v>2008-07-11</c:v>
                </c:pt>
                <c:pt idx="138">
                  <c:v>2008-07-14</c:v>
                </c:pt>
                <c:pt idx="139">
                  <c:v>2008-07-15</c:v>
                </c:pt>
                <c:pt idx="140">
                  <c:v>2008-07-16</c:v>
                </c:pt>
                <c:pt idx="141">
                  <c:v>2008-07-17</c:v>
                </c:pt>
                <c:pt idx="142">
                  <c:v>2008-07-18</c:v>
                </c:pt>
                <c:pt idx="143">
                  <c:v>2008-07-21</c:v>
                </c:pt>
                <c:pt idx="144">
                  <c:v>2008-07-22</c:v>
                </c:pt>
                <c:pt idx="145">
                  <c:v>2008-07-23</c:v>
                </c:pt>
                <c:pt idx="146">
                  <c:v>2008-07-24</c:v>
                </c:pt>
                <c:pt idx="147">
                  <c:v>2008-07-25</c:v>
                </c:pt>
                <c:pt idx="148">
                  <c:v>2008-07-28</c:v>
                </c:pt>
                <c:pt idx="149">
                  <c:v>2008-07-29</c:v>
                </c:pt>
                <c:pt idx="150">
                  <c:v>2008-07-30</c:v>
                </c:pt>
                <c:pt idx="151">
                  <c:v>2008-07-31</c:v>
                </c:pt>
                <c:pt idx="152">
                  <c:v>2008-08-01</c:v>
                </c:pt>
                <c:pt idx="153">
                  <c:v>2008-08-04</c:v>
                </c:pt>
                <c:pt idx="154">
                  <c:v>2008-08-05</c:v>
                </c:pt>
                <c:pt idx="155">
                  <c:v>2008-08-06</c:v>
                </c:pt>
                <c:pt idx="156">
                  <c:v>2008-08-07</c:v>
                </c:pt>
                <c:pt idx="157">
                  <c:v>2008-08-08</c:v>
                </c:pt>
                <c:pt idx="158">
                  <c:v>2008-08-11</c:v>
                </c:pt>
                <c:pt idx="159">
                  <c:v>2008-08-12</c:v>
                </c:pt>
                <c:pt idx="160">
                  <c:v>2008-08-13</c:v>
                </c:pt>
                <c:pt idx="161">
                  <c:v>2008-08-14</c:v>
                </c:pt>
                <c:pt idx="162">
                  <c:v>2008-08-15</c:v>
                </c:pt>
                <c:pt idx="163">
                  <c:v>2008-08-18</c:v>
                </c:pt>
                <c:pt idx="164">
                  <c:v>2008-08-19</c:v>
                </c:pt>
                <c:pt idx="165">
                  <c:v>2008-08-20</c:v>
                </c:pt>
                <c:pt idx="166">
                  <c:v>2008-08-21</c:v>
                </c:pt>
                <c:pt idx="167">
                  <c:v>2008-08-22</c:v>
                </c:pt>
                <c:pt idx="168">
                  <c:v>2008-08-25</c:v>
                </c:pt>
                <c:pt idx="169">
                  <c:v>2008-08-26</c:v>
                </c:pt>
                <c:pt idx="170">
                  <c:v>2008-08-27</c:v>
                </c:pt>
                <c:pt idx="171">
                  <c:v>2008-08-28</c:v>
                </c:pt>
                <c:pt idx="172">
                  <c:v>2008-08-29</c:v>
                </c:pt>
                <c:pt idx="173">
                  <c:v>2008-09-01</c:v>
                </c:pt>
                <c:pt idx="174">
                  <c:v>2008-09-02</c:v>
                </c:pt>
                <c:pt idx="175">
                  <c:v>2008-09-03</c:v>
                </c:pt>
                <c:pt idx="176">
                  <c:v>2008-09-04</c:v>
                </c:pt>
                <c:pt idx="177">
                  <c:v>2008-09-05</c:v>
                </c:pt>
                <c:pt idx="178">
                  <c:v>2008-09-08</c:v>
                </c:pt>
                <c:pt idx="179">
                  <c:v>2008-09-09</c:v>
                </c:pt>
                <c:pt idx="180">
                  <c:v>2008-09-10</c:v>
                </c:pt>
                <c:pt idx="181">
                  <c:v>2008-09-11</c:v>
                </c:pt>
                <c:pt idx="182">
                  <c:v>2008-09-12</c:v>
                </c:pt>
                <c:pt idx="183">
                  <c:v>2008-09-15</c:v>
                </c:pt>
                <c:pt idx="184">
                  <c:v>2008-09-16</c:v>
                </c:pt>
                <c:pt idx="185">
                  <c:v>2008-09-17</c:v>
                </c:pt>
                <c:pt idx="186">
                  <c:v>2008-09-18</c:v>
                </c:pt>
                <c:pt idx="187">
                  <c:v>2008-09-19</c:v>
                </c:pt>
                <c:pt idx="188">
                  <c:v>2008-09-22</c:v>
                </c:pt>
                <c:pt idx="189">
                  <c:v>2008-09-23</c:v>
                </c:pt>
                <c:pt idx="190">
                  <c:v>2008-09-24</c:v>
                </c:pt>
                <c:pt idx="191">
                  <c:v>2008-09-25</c:v>
                </c:pt>
                <c:pt idx="192">
                  <c:v>2008-09-26</c:v>
                </c:pt>
                <c:pt idx="193">
                  <c:v>2008-09-29</c:v>
                </c:pt>
                <c:pt idx="194">
                  <c:v>2008-09-30</c:v>
                </c:pt>
                <c:pt idx="195">
                  <c:v>2008-10-01</c:v>
                </c:pt>
                <c:pt idx="196">
                  <c:v>2008-10-02</c:v>
                </c:pt>
                <c:pt idx="197">
                  <c:v>2008-10-03</c:v>
                </c:pt>
                <c:pt idx="198">
                  <c:v>2008-10-06</c:v>
                </c:pt>
                <c:pt idx="199">
                  <c:v>2008-10-07</c:v>
                </c:pt>
                <c:pt idx="200">
                  <c:v>2008-10-08</c:v>
                </c:pt>
                <c:pt idx="201">
                  <c:v>2008-10-09</c:v>
                </c:pt>
                <c:pt idx="202">
                  <c:v>2008-10-10</c:v>
                </c:pt>
                <c:pt idx="203">
                  <c:v>2008-10-13</c:v>
                </c:pt>
                <c:pt idx="204">
                  <c:v>2008-10-14</c:v>
                </c:pt>
                <c:pt idx="205">
                  <c:v>2008-10-15</c:v>
                </c:pt>
                <c:pt idx="206">
                  <c:v>2008-10-16</c:v>
                </c:pt>
                <c:pt idx="207">
                  <c:v>2008-10-17</c:v>
                </c:pt>
                <c:pt idx="208">
                  <c:v>2008-10-20</c:v>
                </c:pt>
                <c:pt idx="209">
                  <c:v>2008-10-21</c:v>
                </c:pt>
                <c:pt idx="210">
                  <c:v>2008-10-22</c:v>
                </c:pt>
                <c:pt idx="211">
                  <c:v>2008-10-23</c:v>
                </c:pt>
                <c:pt idx="212">
                  <c:v>2008-10-24</c:v>
                </c:pt>
                <c:pt idx="213">
                  <c:v>2008-10-27</c:v>
                </c:pt>
                <c:pt idx="214">
                  <c:v>2008-10-28</c:v>
                </c:pt>
                <c:pt idx="215">
                  <c:v>2008-10-29</c:v>
                </c:pt>
                <c:pt idx="216">
                  <c:v>2008-10-30</c:v>
                </c:pt>
                <c:pt idx="217">
                  <c:v>2008-10-31</c:v>
                </c:pt>
                <c:pt idx="218">
                  <c:v>2008-11-03</c:v>
                </c:pt>
                <c:pt idx="219">
                  <c:v>2008-11-04</c:v>
                </c:pt>
                <c:pt idx="220">
                  <c:v>2008-11-05</c:v>
                </c:pt>
                <c:pt idx="221">
                  <c:v>2008-11-06</c:v>
                </c:pt>
                <c:pt idx="222">
                  <c:v>2008-11-07</c:v>
                </c:pt>
                <c:pt idx="223">
                  <c:v>2008-11-10</c:v>
                </c:pt>
                <c:pt idx="224">
                  <c:v>2008-11-11</c:v>
                </c:pt>
                <c:pt idx="225">
                  <c:v>2008-11-12</c:v>
                </c:pt>
                <c:pt idx="226">
                  <c:v>2008-11-13</c:v>
                </c:pt>
                <c:pt idx="227">
                  <c:v>2008-11-14</c:v>
                </c:pt>
                <c:pt idx="228">
                  <c:v>2008-11-17</c:v>
                </c:pt>
                <c:pt idx="229">
                  <c:v>2008-11-18</c:v>
                </c:pt>
                <c:pt idx="230">
                  <c:v>2008-11-19</c:v>
                </c:pt>
                <c:pt idx="231">
                  <c:v>2008-11-20</c:v>
                </c:pt>
                <c:pt idx="232">
                  <c:v>2008-11-21</c:v>
                </c:pt>
                <c:pt idx="233">
                  <c:v>2008-11-24</c:v>
                </c:pt>
                <c:pt idx="234">
                  <c:v>2008-11-25</c:v>
                </c:pt>
                <c:pt idx="235">
                  <c:v>2008-11-26</c:v>
                </c:pt>
                <c:pt idx="236">
                  <c:v>2008-11-27</c:v>
                </c:pt>
                <c:pt idx="237">
                  <c:v>2008-11-28</c:v>
                </c:pt>
                <c:pt idx="238">
                  <c:v>2008-12-01</c:v>
                </c:pt>
                <c:pt idx="239">
                  <c:v>2008-12-02</c:v>
                </c:pt>
                <c:pt idx="240">
                  <c:v>2008-12-03</c:v>
                </c:pt>
                <c:pt idx="241">
                  <c:v>2008-12-04</c:v>
                </c:pt>
                <c:pt idx="242">
                  <c:v>2008-12-05</c:v>
                </c:pt>
                <c:pt idx="243">
                  <c:v>2008-12-08</c:v>
                </c:pt>
                <c:pt idx="244">
                  <c:v>2008-12-09</c:v>
                </c:pt>
                <c:pt idx="245">
                  <c:v>2008-12-10</c:v>
                </c:pt>
                <c:pt idx="246">
                  <c:v>2008-12-11</c:v>
                </c:pt>
                <c:pt idx="247">
                  <c:v>2008-12-12</c:v>
                </c:pt>
                <c:pt idx="248">
                  <c:v>2008-12-15</c:v>
                </c:pt>
                <c:pt idx="249">
                  <c:v>2008-12-16</c:v>
                </c:pt>
                <c:pt idx="250">
                  <c:v>2008-12-17</c:v>
                </c:pt>
                <c:pt idx="251">
                  <c:v>2008-12-18</c:v>
                </c:pt>
                <c:pt idx="252">
                  <c:v>2008-12-19</c:v>
                </c:pt>
                <c:pt idx="253">
                  <c:v>2008-12-22</c:v>
                </c:pt>
                <c:pt idx="254">
                  <c:v>2008-12-23</c:v>
                </c:pt>
                <c:pt idx="255">
                  <c:v>2008-12-24</c:v>
                </c:pt>
                <c:pt idx="256">
                  <c:v>2008-12-26</c:v>
                </c:pt>
                <c:pt idx="257">
                  <c:v>2008-12-29</c:v>
                </c:pt>
                <c:pt idx="258">
                  <c:v>2008-12-30</c:v>
                </c:pt>
                <c:pt idx="259">
                  <c:v>2008-12-31</c:v>
                </c:pt>
                <c:pt idx="260">
                  <c:v>2009-01-02</c:v>
                </c:pt>
                <c:pt idx="261">
                  <c:v>2009-01-05</c:v>
                </c:pt>
                <c:pt idx="262">
                  <c:v>2009-01-06</c:v>
                </c:pt>
                <c:pt idx="263">
                  <c:v>2009-01-07</c:v>
                </c:pt>
                <c:pt idx="264">
                  <c:v>2009-01-08</c:v>
                </c:pt>
                <c:pt idx="265">
                  <c:v>2009-01-09</c:v>
                </c:pt>
                <c:pt idx="266">
                  <c:v>2009-01-12</c:v>
                </c:pt>
                <c:pt idx="267">
                  <c:v>2009-01-13</c:v>
                </c:pt>
                <c:pt idx="268">
                  <c:v>2009-01-14</c:v>
                </c:pt>
                <c:pt idx="269">
                  <c:v>2009-01-15</c:v>
                </c:pt>
                <c:pt idx="270">
                  <c:v>2009-01-16</c:v>
                </c:pt>
                <c:pt idx="271">
                  <c:v>2009-01-19</c:v>
                </c:pt>
                <c:pt idx="272">
                  <c:v>2009-01-20</c:v>
                </c:pt>
                <c:pt idx="273">
                  <c:v>2009-01-21</c:v>
                </c:pt>
                <c:pt idx="274">
                  <c:v>2009-01-22</c:v>
                </c:pt>
                <c:pt idx="275">
                  <c:v>2009-01-23</c:v>
                </c:pt>
                <c:pt idx="276">
                  <c:v>2009-01-26</c:v>
                </c:pt>
                <c:pt idx="277">
                  <c:v>2009-01-27</c:v>
                </c:pt>
                <c:pt idx="278">
                  <c:v>2009-01-28</c:v>
                </c:pt>
                <c:pt idx="279">
                  <c:v>2009-01-29</c:v>
                </c:pt>
                <c:pt idx="280">
                  <c:v>2009-01-30</c:v>
                </c:pt>
                <c:pt idx="281">
                  <c:v>2009-02-02</c:v>
                </c:pt>
                <c:pt idx="282">
                  <c:v>2009-02-03</c:v>
                </c:pt>
                <c:pt idx="283">
                  <c:v>2009-02-04</c:v>
                </c:pt>
                <c:pt idx="284">
                  <c:v>2009-02-05</c:v>
                </c:pt>
                <c:pt idx="285">
                  <c:v>2009-02-06</c:v>
                </c:pt>
                <c:pt idx="286">
                  <c:v>2009-02-09</c:v>
                </c:pt>
                <c:pt idx="287">
                  <c:v>2009-02-10</c:v>
                </c:pt>
                <c:pt idx="288">
                  <c:v>2009-02-11</c:v>
                </c:pt>
                <c:pt idx="289">
                  <c:v>2009-02-12</c:v>
                </c:pt>
                <c:pt idx="290">
                  <c:v>2009-02-13</c:v>
                </c:pt>
                <c:pt idx="291">
                  <c:v>2009-02-16</c:v>
                </c:pt>
                <c:pt idx="292">
                  <c:v>2009-02-17</c:v>
                </c:pt>
                <c:pt idx="293">
                  <c:v>2009-02-18</c:v>
                </c:pt>
                <c:pt idx="294">
                  <c:v>2009-02-19</c:v>
                </c:pt>
                <c:pt idx="295">
                  <c:v>2009-02-20</c:v>
                </c:pt>
                <c:pt idx="296">
                  <c:v>2009-02-23</c:v>
                </c:pt>
                <c:pt idx="297">
                  <c:v>2009-02-24</c:v>
                </c:pt>
                <c:pt idx="298">
                  <c:v>2009-02-25</c:v>
                </c:pt>
                <c:pt idx="299">
                  <c:v>2009-02-26</c:v>
                </c:pt>
                <c:pt idx="300">
                  <c:v>2009-02-27</c:v>
                </c:pt>
                <c:pt idx="301">
                  <c:v>2009-03-02</c:v>
                </c:pt>
                <c:pt idx="302">
                  <c:v>2009-03-03</c:v>
                </c:pt>
                <c:pt idx="303">
                  <c:v>2009-03-04</c:v>
                </c:pt>
                <c:pt idx="304">
                  <c:v>2009-03-05</c:v>
                </c:pt>
                <c:pt idx="305">
                  <c:v>2009-03-06</c:v>
                </c:pt>
                <c:pt idx="306">
                  <c:v>2009-03-09</c:v>
                </c:pt>
                <c:pt idx="307">
                  <c:v>2009-03-10</c:v>
                </c:pt>
                <c:pt idx="308">
                  <c:v>2009-03-11</c:v>
                </c:pt>
                <c:pt idx="309">
                  <c:v>2009-03-12</c:v>
                </c:pt>
                <c:pt idx="310">
                  <c:v>2009-03-13</c:v>
                </c:pt>
                <c:pt idx="311">
                  <c:v>2009-03-16</c:v>
                </c:pt>
                <c:pt idx="312">
                  <c:v>2009-03-17</c:v>
                </c:pt>
                <c:pt idx="313">
                  <c:v>2009-03-18</c:v>
                </c:pt>
                <c:pt idx="314">
                  <c:v>2009-03-19</c:v>
                </c:pt>
                <c:pt idx="315">
                  <c:v>2009-03-20</c:v>
                </c:pt>
                <c:pt idx="316">
                  <c:v>2009-03-23</c:v>
                </c:pt>
                <c:pt idx="317">
                  <c:v>2009-03-24</c:v>
                </c:pt>
                <c:pt idx="318">
                  <c:v>2009-03-25</c:v>
                </c:pt>
                <c:pt idx="319">
                  <c:v>2009-03-26</c:v>
                </c:pt>
                <c:pt idx="320">
                  <c:v>2009-03-27</c:v>
                </c:pt>
                <c:pt idx="321">
                  <c:v>2009-03-30</c:v>
                </c:pt>
                <c:pt idx="322">
                  <c:v>2009-03-31</c:v>
                </c:pt>
                <c:pt idx="323">
                  <c:v>2009-04-01</c:v>
                </c:pt>
                <c:pt idx="324">
                  <c:v>2009-04-02</c:v>
                </c:pt>
                <c:pt idx="325">
                  <c:v>2009-04-03</c:v>
                </c:pt>
                <c:pt idx="326">
                  <c:v>2009-04-06</c:v>
                </c:pt>
                <c:pt idx="327">
                  <c:v>2009-04-07</c:v>
                </c:pt>
                <c:pt idx="328">
                  <c:v>2009-04-08</c:v>
                </c:pt>
                <c:pt idx="329">
                  <c:v>2009-04-09</c:v>
                </c:pt>
                <c:pt idx="330">
                  <c:v>2009-04-10</c:v>
                </c:pt>
                <c:pt idx="331">
                  <c:v>2009-04-13</c:v>
                </c:pt>
                <c:pt idx="332">
                  <c:v>2009-04-14</c:v>
                </c:pt>
                <c:pt idx="333">
                  <c:v>2009-04-15</c:v>
                </c:pt>
                <c:pt idx="334">
                  <c:v>2009-04-16</c:v>
                </c:pt>
                <c:pt idx="335">
                  <c:v>2009-04-17</c:v>
                </c:pt>
                <c:pt idx="336">
                  <c:v>2009-04-20</c:v>
                </c:pt>
                <c:pt idx="337">
                  <c:v>2009-04-21</c:v>
                </c:pt>
                <c:pt idx="338">
                  <c:v>2009-04-22</c:v>
                </c:pt>
                <c:pt idx="339">
                  <c:v>2009-04-23</c:v>
                </c:pt>
                <c:pt idx="340">
                  <c:v>2009-04-24</c:v>
                </c:pt>
                <c:pt idx="341">
                  <c:v>2009-04-27</c:v>
                </c:pt>
                <c:pt idx="342">
                  <c:v>2009-04-28</c:v>
                </c:pt>
                <c:pt idx="343">
                  <c:v>2009-04-29</c:v>
                </c:pt>
                <c:pt idx="344">
                  <c:v>2009-04-30</c:v>
                </c:pt>
                <c:pt idx="345">
                  <c:v>2009-05-01</c:v>
                </c:pt>
                <c:pt idx="346">
                  <c:v>2009-05-04</c:v>
                </c:pt>
                <c:pt idx="347">
                  <c:v>2009-05-05</c:v>
                </c:pt>
                <c:pt idx="348">
                  <c:v>2009-05-06</c:v>
                </c:pt>
                <c:pt idx="349">
                  <c:v>2009-05-07</c:v>
                </c:pt>
                <c:pt idx="350">
                  <c:v>2009-05-08</c:v>
                </c:pt>
                <c:pt idx="351">
                  <c:v>2009-05-11</c:v>
                </c:pt>
                <c:pt idx="352">
                  <c:v>2009-05-12</c:v>
                </c:pt>
                <c:pt idx="353">
                  <c:v>2009-05-13</c:v>
                </c:pt>
                <c:pt idx="354">
                  <c:v>2009-05-14</c:v>
                </c:pt>
                <c:pt idx="355">
                  <c:v>2009-05-15</c:v>
                </c:pt>
                <c:pt idx="356">
                  <c:v>2009-05-18</c:v>
                </c:pt>
                <c:pt idx="357">
                  <c:v>2009-05-19</c:v>
                </c:pt>
                <c:pt idx="358">
                  <c:v>2009-05-20</c:v>
                </c:pt>
                <c:pt idx="359">
                  <c:v>2009-05-21</c:v>
                </c:pt>
                <c:pt idx="360">
                  <c:v>2009-05-22</c:v>
                </c:pt>
                <c:pt idx="361">
                  <c:v>2009-05-25</c:v>
                </c:pt>
                <c:pt idx="362">
                  <c:v>2009-05-26</c:v>
                </c:pt>
                <c:pt idx="363">
                  <c:v>2009-05-27</c:v>
                </c:pt>
                <c:pt idx="364">
                  <c:v>2009-05-28</c:v>
                </c:pt>
                <c:pt idx="365">
                  <c:v>2009-05-29</c:v>
                </c:pt>
                <c:pt idx="366">
                  <c:v>2009-06-01</c:v>
                </c:pt>
                <c:pt idx="367">
                  <c:v>2009-06-02</c:v>
                </c:pt>
                <c:pt idx="368">
                  <c:v>2009-06-03</c:v>
                </c:pt>
                <c:pt idx="369">
                  <c:v>2009-06-04</c:v>
                </c:pt>
                <c:pt idx="370">
                  <c:v>2009-06-05</c:v>
                </c:pt>
                <c:pt idx="371">
                  <c:v>2009-06-08</c:v>
                </c:pt>
                <c:pt idx="372">
                  <c:v>2009-06-09</c:v>
                </c:pt>
                <c:pt idx="373">
                  <c:v>2009-06-10</c:v>
                </c:pt>
                <c:pt idx="374">
                  <c:v>2009-06-11</c:v>
                </c:pt>
                <c:pt idx="375">
                  <c:v>2009-06-12</c:v>
                </c:pt>
                <c:pt idx="376">
                  <c:v>2009-06-15</c:v>
                </c:pt>
                <c:pt idx="377">
                  <c:v>2009-06-16</c:v>
                </c:pt>
                <c:pt idx="378">
                  <c:v>2009-06-17</c:v>
                </c:pt>
                <c:pt idx="379">
                  <c:v>2009-06-18</c:v>
                </c:pt>
                <c:pt idx="380">
                  <c:v>2009-06-19</c:v>
                </c:pt>
                <c:pt idx="381">
                  <c:v>2009-06-22</c:v>
                </c:pt>
                <c:pt idx="382">
                  <c:v>2009-06-23</c:v>
                </c:pt>
                <c:pt idx="383">
                  <c:v>2009-06-24</c:v>
                </c:pt>
                <c:pt idx="384">
                  <c:v>2009-06-25</c:v>
                </c:pt>
                <c:pt idx="385">
                  <c:v>2009-06-26</c:v>
                </c:pt>
                <c:pt idx="386">
                  <c:v>2009-06-29</c:v>
                </c:pt>
                <c:pt idx="387">
                  <c:v>2009-06-30</c:v>
                </c:pt>
                <c:pt idx="388">
                  <c:v>2009-07-01</c:v>
                </c:pt>
                <c:pt idx="389">
                  <c:v>2009-07-02</c:v>
                </c:pt>
                <c:pt idx="390">
                  <c:v>2009-07-03</c:v>
                </c:pt>
                <c:pt idx="391">
                  <c:v>2009-07-06</c:v>
                </c:pt>
                <c:pt idx="392">
                  <c:v>2009-07-07</c:v>
                </c:pt>
                <c:pt idx="393">
                  <c:v>2009-07-08</c:v>
                </c:pt>
                <c:pt idx="394">
                  <c:v>2009-07-09</c:v>
                </c:pt>
                <c:pt idx="395">
                  <c:v>2009-07-10</c:v>
                </c:pt>
                <c:pt idx="396">
                  <c:v>2009-07-13</c:v>
                </c:pt>
                <c:pt idx="397">
                  <c:v>2009-07-14</c:v>
                </c:pt>
                <c:pt idx="398">
                  <c:v>2009-07-15</c:v>
                </c:pt>
                <c:pt idx="399">
                  <c:v>2009-07-16</c:v>
                </c:pt>
                <c:pt idx="400">
                  <c:v>2009-07-17</c:v>
                </c:pt>
                <c:pt idx="401">
                  <c:v>2009-07-20</c:v>
                </c:pt>
                <c:pt idx="402">
                  <c:v>2009-07-21</c:v>
                </c:pt>
                <c:pt idx="403">
                  <c:v>2009-07-22</c:v>
                </c:pt>
                <c:pt idx="404">
                  <c:v>2009-07-23</c:v>
                </c:pt>
                <c:pt idx="405">
                  <c:v>2009-07-24</c:v>
                </c:pt>
                <c:pt idx="406">
                  <c:v>2009-07-27</c:v>
                </c:pt>
                <c:pt idx="407">
                  <c:v>2009-07-28</c:v>
                </c:pt>
                <c:pt idx="408">
                  <c:v>2009-07-29</c:v>
                </c:pt>
                <c:pt idx="409">
                  <c:v>2009-07-30</c:v>
                </c:pt>
                <c:pt idx="410">
                  <c:v>2009-07-31</c:v>
                </c:pt>
                <c:pt idx="411">
                  <c:v>2009-08-03</c:v>
                </c:pt>
                <c:pt idx="412">
                  <c:v>2009-08-04</c:v>
                </c:pt>
                <c:pt idx="413">
                  <c:v>2009-08-05</c:v>
                </c:pt>
                <c:pt idx="414">
                  <c:v>2009-08-06</c:v>
                </c:pt>
                <c:pt idx="415">
                  <c:v>2009-08-07</c:v>
                </c:pt>
                <c:pt idx="416">
                  <c:v>2009-08-10</c:v>
                </c:pt>
                <c:pt idx="417">
                  <c:v>2009-08-11</c:v>
                </c:pt>
                <c:pt idx="418">
                  <c:v>2009-08-12</c:v>
                </c:pt>
                <c:pt idx="419">
                  <c:v>2009-08-13</c:v>
                </c:pt>
                <c:pt idx="420">
                  <c:v>2009-08-14</c:v>
                </c:pt>
                <c:pt idx="421">
                  <c:v>2009-08-17</c:v>
                </c:pt>
                <c:pt idx="422">
                  <c:v>2009-08-18</c:v>
                </c:pt>
                <c:pt idx="423">
                  <c:v>2009-08-19</c:v>
                </c:pt>
                <c:pt idx="424">
                  <c:v>2009-08-20</c:v>
                </c:pt>
                <c:pt idx="425">
                  <c:v>2009-08-21</c:v>
                </c:pt>
                <c:pt idx="426">
                  <c:v>2009-08-24</c:v>
                </c:pt>
                <c:pt idx="427">
                  <c:v>2009-08-25</c:v>
                </c:pt>
                <c:pt idx="428">
                  <c:v>2009-08-26</c:v>
                </c:pt>
                <c:pt idx="429">
                  <c:v>2009-08-27</c:v>
                </c:pt>
                <c:pt idx="430">
                  <c:v>2009-08-28</c:v>
                </c:pt>
                <c:pt idx="431">
                  <c:v>2009-08-31</c:v>
                </c:pt>
                <c:pt idx="432">
                  <c:v>2009-09-01</c:v>
                </c:pt>
                <c:pt idx="433">
                  <c:v>2009-09-02</c:v>
                </c:pt>
                <c:pt idx="434">
                  <c:v>2009-09-03</c:v>
                </c:pt>
                <c:pt idx="435">
                  <c:v>2009-09-04</c:v>
                </c:pt>
                <c:pt idx="436">
                  <c:v>2009-09-07</c:v>
                </c:pt>
                <c:pt idx="437">
                  <c:v>2009-09-08</c:v>
                </c:pt>
                <c:pt idx="438">
                  <c:v>2009-09-09</c:v>
                </c:pt>
                <c:pt idx="439">
                  <c:v>2009-09-10</c:v>
                </c:pt>
                <c:pt idx="440">
                  <c:v>2009-09-11</c:v>
                </c:pt>
                <c:pt idx="441">
                  <c:v>2009-09-14</c:v>
                </c:pt>
                <c:pt idx="442">
                  <c:v>2009-09-15</c:v>
                </c:pt>
                <c:pt idx="443">
                  <c:v>2009-09-16</c:v>
                </c:pt>
                <c:pt idx="444">
                  <c:v>2009-09-17</c:v>
                </c:pt>
                <c:pt idx="445">
                  <c:v>2009-09-18</c:v>
                </c:pt>
                <c:pt idx="446">
                  <c:v>2009-09-21</c:v>
                </c:pt>
                <c:pt idx="447">
                  <c:v>2009-09-22</c:v>
                </c:pt>
                <c:pt idx="448">
                  <c:v>2009-09-23</c:v>
                </c:pt>
                <c:pt idx="449">
                  <c:v>2009-09-24</c:v>
                </c:pt>
                <c:pt idx="450">
                  <c:v>2009-09-25</c:v>
                </c:pt>
                <c:pt idx="451">
                  <c:v>2009-09-28</c:v>
                </c:pt>
                <c:pt idx="452">
                  <c:v>2009-09-29</c:v>
                </c:pt>
                <c:pt idx="453">
                  <c:v>2009-09-30</c:v>
                </c:pt>
                <c:pt idx="454">
                  <c:v>2009-10-01</c:v>
                </c:pt>
                <c:pt idx="455">
                  <c:v>2009-10-02</c:v>
                </c:pt>
                <c:pt idx="456">
                  <c:v>2009-10-05</c:v>
                </c:pt>
                <c:pt idx="457">
                  <c:v>2009-10-06</c:v>
                </c:pt>
                <c:pt idx="458">
                  <c:v>2009-10-07</c:v>
                </c:pt>
                <c:pt idx="459">
                  <c:v>2009-10-08</c:v>
                </c:pt>
                <c:pt idx="460">
                  <c:v>2009-10-09</c:v>
                </c:pt>
                <c:pt idx="461">
                  <c:v>2009-10-12</c:v>
                </c:pt>
                <c:pt idx="462">
                  <c:v>2009-10-13</c:v>
                </c:pt>
                <c:pt idx="463">
                  <c:v>2009-10-14</c:v>
                </c:pt>
                <c:pt idx="464">
                  <c:v>2009-10-15</c:v>
                </c:pt>
                <c:pt idx="465">
                  <c:v>2009-10-16</c:v>
                </c:pt>
                <c:pt idx="466">
                  <c:v>2009-10-19</c:v>
                </c:pt>
                <c:pt idx="467">
                  <c:v>2009-10-20</c:v>
                </c:pt>
                <c:pt idx="468">
                  <c:v>2009-10-21</c:v>
                </c:pt>
                <c:pt idx="469">
                  <c:v>2009-10-22</c:v>
                </c:pt>
                <c:pt idx="470">
                  <c:v>2009-10-23</c:v>
                </c:pt>
                <c:pt idx="471">
                  <c:v>2009-10-26</c:v>
                </c:pt>
                <c:pt idx="472">
                  <c:v>2009-10-27</c:v>
                </c:pt>
                <c:pt idx="473">
                  <c:v>2009-10-28</c:v>
                </c:pt>
                <c:pt idx="474">
                  <c:v>2009-10-29</c:v>
                </c:pt>
                <c:pt idx="475">
                  <c:v>2009-10-30</c:v>
                </c:pt>
                <c:pt idx="476">
                  <c:v>2009-11-02</c:v>
                </c:pt>
                <c:pt idx="477">
                  <c:v>2009-11-03</c:v>
                </c:pt>
                <c:pt idx="478">
                  <c:v>2009-11-04</c:v>
                </c:pt>
                <c:pt idx="479">
                  <c:v>2009-11-05</c:v>
                </c:pt>
                <c:pt idx="480">
                  <c:v>2009-11-06</c:v>
                </c:pt>
                <c:pt idx="481">
                  <c:v>2009-11-09</c:v>
                </c:pt>
                <c:pt idx="482">
                  <c:v>2009-11-10</c:v>
                </c:pt>
                <c:pt idx="483">
                  <c:v>2009-11-11</c:v>
                </c:pt>
                <c:pt idx="484">
                  <c:v>2009-11-12</c:v>
                </c:pt>
                <c:pt idx="485">
                  <c:v>2009-11-13</c:v>
                </c:pt>
                <c:pt idx="486">
                  <c:v>2009-11-16</c:v>
                </c:pt>
                <c:pt idx="487">
                  <c:v>2009-11-17</c:v>
                </c:pt>
                <c:pt idx="488">
                  <c:v>2009-11-18</c:v>
                </c:pt>
                <c:pt idx="489">
                  <c:v>2009-11-19</c:v>
                </c:pt>
                <c:pt idx="490">
                  <c:v>2009-11-20</c:v>
                </c:pt>
                <c:pt idx="491">
                  <c:v>2009-11-23</c:v>
                </c:pt>
                <c:pt idx="492">
                  <c:v>2009-11-24</c:v>
                </c:pt>
                <c:pt idx="493">
                  <c:v>2009-11-25</c:v>
                </c:pt>
                <c:pt idx="494">
                  <c:v>2009-11-26</c:v>
                </c:pt>
                <c:pt idx="495">
                  <c:v>2009-11-27</c:v>
                </c:pt>
                <c:pt idx="496">
                  <c:v>2009-11-30</c:v>
                </c:pt>
                <c:pt idx="497">
                  <c:v>2009-12-01</c:v>
                </c:pt>
                <c:pt idx="498">
                  <c:v>2009-12-02</c:v>
                </c:pt>
                <c:pt idx="499">
                  <c:v>2009-12-03</c:v>
                </c:pt>
                <c:pt idx="500">
                  <c:v>2009-12-04</c:v>
                </c:pt>
                <c:pt idx="501">
                  <c:v>2009-12-07</c:v>
                </c:pt>
                <c:pt idx="502">
                  <c:v>2009-12-08</c:v>
                </c:pt>
                <c:pt idx="503">
                  <c:v>2009-12-09</c:v>
                </c:pt>
                <c:pt idx="504">
                  <c:v>2009-12-10</c:v>
                </c:pt>
                <c:pt idx="505">
                  <c:v>2009-12-11</c:v>
                </c:pt>
                <c:pt idx="506">
                  <c:v>2009-12-14</c:v>
                </c:pt>
                <c:pt idx="507">
                  <c:v>2009-12-15</c:v>
                </c:pt>
                <c:pt idx="508">
                  <c:v>2009-12-16</c:v>
                </c:pt>
                <c:pt idx="509">
                  <c:v>2009-12-17</c:v>
                </c:pt>
                <c:pt idx="510">
                  <c:v>2009-12-18</c:v>
                </c:pt>
                <c:pt idx="511">
                  <c:v>2009-12-21</c:v>
                </c:pt>
                <c:pt idx="512">
                  <c:v>2009-12-22</c:v>
                </c:pt>
                <c:pt idx="513">
                  <c:v>2009-12-23</c:v>
                </c:pt>
                <c:pt idx="514">
                  <c:v>2009-12-24</c:v>
                </c:pt>
                <c:pt idx="515">
                  <c:v>2009-12-28</c:v>
                </c:pt>
                <c:pt idx="516">
                  <c:v>2009-12-29</c:v>
                </c:pt>
                <c:pt idx="517">
                  <c:v>2009-12-30</c:v>
                </c:pt>
                <c:pt idx="518">
                  <c:v>2009-12-31</c:v>
                </c:pt>
                <c:pt idx="519">
                  <c:v>2010-01-04</c:v>
                </c:pt>
                <c:pt idx="520">
                  <c:v>2010-01-05</c:v>
                </c:pt>
                <c:pt idx="521">
                  <c:v>2010-01-06</c:v>
                </c:pt>
                <c:pt idx="522">
                  <c:v>2010-01-07</c:v>
                </c:pt>
                <c:pt idx="523">
                  <c:v>2010-01-08</c:v>
                </c:pt>
                <c:pt idx="524">
                  <c:v>2010-01-11</c:v>
                </c:pt>
                <c:pt idx="525">
                  <c:v>2010-01-12</c:v>
                </c:pt>
                <c:pt idx="526">
                  <c:v>2010-01-13</c:v>
                </c:pt>
                <c:pt idx="527">
                  <c:v>2010-01-14</c:v>
                </c:pt>
                <c:pt idx="528">
                  <c:v>2010-01-15</c:v>
                </c:pt>
                <c:pt idx="529">
                  <c:v>2010-01-18</c:v>
                </c:pt>
                <c:pt idx="530">
                  <c:v>2010-01-19</c:v>
                </c:pt>
                <c:pt idx="531">
                  <c:v>2010-01-20</c:v>
                </c:pt>
                <c:pt idx="532">
                  <c:v>2010-01-21</c:v>
                </c:pt>
                <c:pt idx="533">
                  <c:v>2010-01-22</c:v>
                </c:pt>
                <c:pt idx="534">
                  <c:v>2010-01-25</c:v>
                </c:pt>
                <c:pt idx="535">
                  <c:v>2010-01-26</c:v>
                </c:pt>
                <c:pt idx="536">
                  <c:v>2010-01-27</c:v>
                </c:pt>
                <c:pt idx="537">
                  <c:v>2010-01-28</c:v>
                </c:pt>
                <c:pt idx="538">
                  <c:v>2010-01-29</c:v>
                </c:pt>
                <c:pt idx="539">
                  <c:v>2010-02-01</c:v>
                </c:pt>
                <c:pt idx="540">
                  <c:v>2010-02-02</c:v>
                </c:pt>
                <c:pt idx="541">
                  <c:v>2010-02-03</c:v>
                </c:pt>
                <c:pt idx="542">
                  <c:v>2010-02-04</c:v>
                </c:pt>
                <c:pt idx="543">
                  <c:v>2010-02-05</c:v>
                </c:pt>
                <c:pt idx="544">
                  <c:v>2010-02-08</c:v>
                </c:pt>
                <c:pt idx="545">
                  <c:v>2010-02-09</c:v>
                </c:pt>
                <c:pt idx="546">
                  <c:v>2010-02-10</c:v>
                </c:pt>
                <c:pt idx="547">
                  <c:v>2010-02-11</c:v>
                </c:pt>
                <c:pt idx="548">
                  <c:v>2010-02-12</c:v>
                </c:pt>
                <c:pt idx="549">
                  <c:v>2010-02-16</c:v>
                </c:pt>
                <c:pt idx="550">
                  <c:v>2010-02-17</c:v>
                </c:pt>
                <c:pt idx="551">
                  <c:v>2010-02-18</c:v>
                </c:pt>
                <c:pt idx="552">
                  <c:v>2010-02-19</c:v>
                </c:pt>
                <c:pt idx="553">
                  <c:v>2010-02-22</c:v>
                </c:pt>
                <c:pt idx="554">
                  <c:v>2010-02-23</c:v>
                </c:pt>
                <c:pt idx="555">
                  <c:v>2010-02-24</c:v>
                </c:pt>
                <c:pt idx="556">
                  <c:v>2010-02-25</c:v>
                </c:pt>
                <c:pt idx="557">
                  <c:v>2010-02-26</c:v>
                </c:pt>
                <c:pt idx="558">
                  <c:v>2010-03-01</c:v>
                </c:pt>
                <c:pt idx="559">
                  <c:v>2010-03-02</c:v>
                </c:pt>
                <c:pt idx="560">
                  <c:v>2010-03-03</c:v>
                </c:pt>
                <c:pt idx="561">
                  <c:v>2010-03-04</c:v>
                </c:pt>
                <c:pt idx="562">
                  <c:v>2010-03-05</c:v>
                </c:pt>
                <c:pt idx="563">
                  <c:v>2010-03-08</c:v>
                </c:pt>
                <c:pt idx="564">
                  <c:v>2010-03-09</c:v>
                </c:pt>
                <c:pt idx="565">
                  <c:v>2010-03-10</c:v>
                </c:pt>
                <c:pt idx="566">
                  <c:v>2010-03-11</c:v>
                </c:pt>
                <c:pt idx="567">
                  <c:v>2010-03-12</c:v>
                </c:pt>
                <c:pt idx="568">
                  <c:v>2010-03-15</c:v>
                </c:pt>
                <c:pt idx="569">
                  <c:v>2010-03-16</c:v>
                </c:pt>
                <c:pt idx="570">
                  <c:v>2010-03-17</c:v>
                </c:pt>
                <c:pt idx="571">
                  <c:v>2010-03-18</c:v>
                </c:pt>
                <c:pt idx="572">
                  <c:v>2010-03-19</c:v>
                </c:pt>
                <c:pt idx="573">
                  <c:v>2010-03-22</c:v>
                </c:pt>
                <c:pt idx="574">
                  <c:v>2010-03-23</c:v>
                </c:pt>
                <c:pt idx="575">
                  <c:v>2010-03-24</c:v>
                </c:pt>
                <c:pt idx="576">
                  <c:v>2010-03-25</c:v>
                </c:pt>
                <c:pt idx="577">
                  <c:v>2010-03-26</c:v>
                </c:pt>
                <c:pt idx="578">
                  <c:v>2010-03-29</c:v>
                </c:pt>
                <c:pt idx="579">
                  <c:v>2010-03-30</c:v>
                </c:pt>
                <c:pt idx="580">
                  <c:v>2010-03-31</c:v>
                </c:pt>
                <c:pt idx="581">
                  <c:v>2010-04-01</c:v>
                </c:pt>
                <c:pt idx="582">
                  <c:v>2010-04-02</c:v>
                </c:pt>
                <c:pt idx="583">
                  <c:v>2010-04-05</c:v>
                </c:pt>
                <c:pt idx="584">
                  <c:v>2010-04-06</c:v>
                </c:pt>
                <c:pt idx="585">
                  <c:v>2010-04-07</c:v>
                </c:pt>
                <c:pt idx="586">
                  <c:v>2010-04-08</c:v>
                </c:pt>
                <c:pt idx="587">
                  <c:v>2010-04-09</c:v>
                </c:pt>
                <c:pt idx="588">
                  <c:v>2010-04-12</c:v>
                </c:pt>
                <c:pt idx="589">
                  <c:v>2010-04-13</c:v>
                </c:pt>
                <c:pt idx="590">
                  <c:v>2010-04-14</c:v>
                </c:pt>
                <c:pt idx="591">
                  <c:v>2010-04-15</c:v>
                </c:pt>
                <c:pt idx="592">
                  <c:v>2010-04-16</c:v>
                </c:pt>
                <c:pt idx="593">
                  <c:v>2010-04-19</c:v>
                </c:pt>
                <c:pt idx="594">
                  <c:v>2010-04-20</c:v>
                </c:pt>
                <c:pt idx="595">
                  <c:v>2010-04-21</c:v>
                </c:pt>
                <c:pt idx="596">
                  <c:v>2010-04-22</c:v>
                </c:pt>
                <c:pt idx="597">
                  <c:v>2010-04-23</c:v>
                </c:pt>
                <c:pt idx="598">
                  <c:v>2010-04-26</c:v>
                </c:pt>
                <c:pt idx="599">
                  <c:v>2010-04-27</c:v>
                </c:pt>
                <c:pt idx="600">
                  <c:v>2010-04-28</c:v>
                </c:pt>
                <c:pt idx="601">
                  <c:v>2010-04-29</c:v>
                </c:pt>
                <c:pt idx="602">
                  <c:v>2010-04-30</c:v>
                </c:pt>
                <c:pt idx="603">
                  <c:v>2010-05-03</c:v>
                </c:pt>
                <c:pt idx="604">
                  <c:v>2010-05-04</c:v>
                </c:pt>
                <c:pt idx="605">
                  <c:v>2010-05-05</c:v>
                </c:pt>
                <c:pt idx="606">
                  <c:v>2010-05-06</c:v>
                </c:pt>
                <c:pt idx="607">
                  <c:v>2010-05-07</c:v>
                </c:pt>
                <c:pt idx="608">
                  <c:v>2010-05-10</c:v>
                </c:pt>
                <c:pt idx="609">
                  <c:v>2010-05-11</c:v>
                </c:pt>
                <c:pt idx="610">
                  <c:v>2010-05-12</c:v>
                </c:pt>
                <c:pt idx="611">
                  <c:v>2010-05-13</c:v>
                </c:pt>
                <c:pt idx="612">
                  <c:v>2010-05-14</c:v>
                </c:pt>
                <c:pt idx="613">
                  <c:v>2010-05-17</c:v>
                </c:pt>
                <c:pt idx="614">
                  <c:v>2010-05-18</c:v>
                </c:pt>
                <c:pt idx="615">
                  <c:v>2010-05-19</c:v>
                </c:pt>
                <c:pt idx="616">
                  <c:v>2010-05-20</c:v>
                </c:pt>
                <c:pt idx="617">
                  <c:v>2010-05-21</c:v>
                </c:pt>
                <c:pt idx="618">
                  <c:v>2010-05-24</c:v>
                </c:pt>
                <c:pt idx="619">
                  <c:v>2010-05-25</c:v>
                </c:pt>
                <c:pt idx="620">
                  <c:v>2010-05-26</c:v>
                </c:pt>
                <c:pt idx="621">
                  <c:v>2010-05-27</c:v>
                </c:pt>
                <c:pt idx="622">
                  <c:v>2010-05-28</c:v>
                </c:pt>
                <c:pt idx="623">
                  <c:v>2010-05-31</c:v>
                </c:pt>
                <c:pt idx="624">
                  <c:v>2010-06-01</c:v>
                </c:pt>
                <c:pt idx="625">
                  <c:v>2010-06-02</c:v>
                </c:pt>
                <c:pt idx="626">
                  <c:v>2010-06-03</c:v>
                </c:pt>
                <c:pt idx="627">
                  <c:v>2010-06-04</c:v>
                </c:pt>
                <c:pt idx="628">
                  <c:v>2010-06-07</c:v>
                </c:pt>
                <c:pt idx="629">
                  <c:v>2010-06-08</c:v>
                </c:pt>
                <c:pt idx="630">
                  <c:v>2010-06-09</c:v>
                </c:pt>
                <c:pt idx="631">
                  <c:v>2010-06-10</c:v>
                </c:pt>
                <c:pt idx="632">
                  <c:v>2010-06-11</c:v>
                </c:pt>
                <c:pt idx="633">
                  <c:v>2010-06-14</c:v>
                </c:pt>
                <c:pt idx="634">
                  <c:v>2010-06-15</c:v>
                </c:pt>
                <c:pt idx="635">
                  <c:v>2010-06-16</c:v>
                </c:pt>
                <c:pt idx="636">
                  <c:v>2010-06-17</c:v>
                </c:pt>
                <c:pt idx="637">
                  <c:v>2010-06-18</c:v>
                </c:pt>
                <c:pt idx="638">
                  <c:v>2010-06-21</c:v>
                </c:pt>
                <c:pt idx="639">
                  <c:v>2010-06-22</c:v>
                </c:pt>
                <c:pt idx="640">
                  <c:v>2010-06-23</c:v>
                </c:pt>
                <c:pt idx="641">
                  <c:v>2010-06-24</c:v>
                </c:pt>
                <c:pt idx="642">
                  <c:v>2010-06-25</c:v>
                </c:pt>
                <c:pt idx="643">
                  <c:v>2010-06-28</c:v>
                </c:pt>
                <c:pt idx="644">
                  <c:v>2010-06-29</c:v>
                </c:pt>
                <c:pt idx="645">
                  <c:v>2010-06-30</c:v>
                </c:pt>
                <c:pt idx="646">
                  <c:v>2010-07-01</c:v>
                </c:pt>
                <c:pt idx="647">
                  <c:v>2010-07-02</c:v>
                </c:pt>
                <c:pt idx="648">
                  <c:v>2010-07-05</c:v>
                </c:pt>
                <c:pt idx="649">
                  <c:v>2010-07-06</c:v>
                </c:pt>
                <c:pt idx="650">
                  <c:v>2010-07-07</c:v>
                </c:pt>
                <c:pt idx="651">
                  <c:v>2010-07-08</c:v>
                </c:pt>
                <c:pt idx="652">
                  <c:v>2010-07-09</c:v>
                </c:pt>
                <c:pt idx="653">
                  <c:v>2010-07-12</c:v>
                </c:pt>
                <c:pt idx="654">
                  <c:v>2010-07-13</c:v>
                </c:pt>
                <c:pt idx="655">
                  <c:v>2010-07-14</c:v>
                </c:pt>
                <c:pt idx="656">
                  <c:v>2010-07-15</c:v>
                </c:pt>
                <c:pt idx="657">
                  <c:v>2010-07-16</c:v>
                </c:pt>
                <c:pt idx="658">
                  <c:v>2010-07-19</c:v>
                </c:pt>
                <c:pt idx="659">
                  <c:v>2010-07-20</c:v>
                </c:pt>
                <c:pt idx="660">
                  <c:v>2010-07-21</c:v>
                </c:pt>
                <c:pt idx="661">
                  <c:v>2010-07-22</c:v>
                </c:pt>
                <c:pt idx="662">
                  <c:v>2010-07-23</c:v>
                </c:pt>
                <c:pt idx="663">
                  <c:v>2010-07-26</c:v>
                </c:pt>
                <c:pt idx="664">
                  <c:v>2010-07-27</c:v>
                </c:pt>
                <c:pt idx="665">
                  <c:v>2010-07-28</c:v>
                </c:pt>
                <c:pt idx="666">
                  <c:v>2010-07-29</c:v>
                </c:pt>
                <c:pt idx="667">
                  <c:v>2010-07-30</c:v>
                </c:pt>
                <c:pt idx="668">
                  <c:v>2010-08-02</c:v>
                </c:pt>
                <c:pt idx="669">
                  <c:v>2010-08-03</c:v>
                </c:pt>
                <c:pt idx="670">
                  <c:v>2010-08-04</c:v>
                </c:pt>
                <c:pt idx="671">
                  <c:v>2010-08-05</c:v>
                </c:pt>
                <c:pt idx="672">
                  <c:v>2010-08-06</c:v>
                </c:pt>
                <c:pt idx="673">
                  <c:v>2010-08-09</c:v>
                </c:pt>
                <c:pt idx="674">
                  <c:v>2010-08-10</c:v>
                </c:pt>
                <c:pt idx="675">
                  <c:v>2010-08-11</c:v>
                </c:pt>
                <c:pt idx="676">
                  <c:v>2010-08-12</c:v>
                </c:pt>
                <c:pt idx="677">
                  <c:v>2010-08-13</c:v>
                </c:pt>
                <c:pt idx="678">
                  <c:v>2010-08-16</c:v>
                </c:pt>
                <c:pt idx="679">
                  <c:v>2010-08-17</c:v>
                </c:pt>
                <c:pt idx="680">
                  <c:v>2010-08-18</c:v>
                </c:pt>
                <c:pt idx="681">
                  <c:v>2010-08-19</c:v>
                </c:pt>
                <c:pt idx="682">
                  <c:v>2010-08-20</c:v>
                </c:pt>
                <c:pt idx="683">
                  <c:v>2010-08-23</c:v>
                </c:pt>
                <c:pt idx="684">
                  <c:v>2010-08-24</c:v>
                </c:pt>
                <c:pt idx="685">
                  <c:v>2010-08-25</c:v>
                </c:pt>
                <c:pt idx="686">
                  <c:v>2010-08-26</c:v>
                </c:pt>
                <c:pt idx="687">
                  <c:v>2010-08-27</c:v>
                </c:pt>
                <c:pt idx="688">
                  <c:v>2010-08-30</c:v>
                </c:pt>
                <c:pt idx="689">
                  <c:v>2010-08-31</c:v>
                </c:pt>
                <c:pt idx="690">
                  <c:v>2010-09-01</c:v>
                </c:pt>
                <c:pt idx="691">
                  <c:v>2010-09-02</c:v>
                </c:pt>
                <c:pt idx="692">
                  <c:v>2010-09-03</c:v>
                </c:pt>
                <c:pt idx="693">
                  <c:v>2010-09-06</c:v>
                </c:pt>
                <c:pt idx="694">
                  <c:v>2010-09-07</c:v>
                </c:pt>
                <c:pt idx="695">
                  <c:v>2010-09-08</c:v>
                </c:pt>
                <c:pt idx="696">
                  <c:v>2010-09-09</c:v>
                </c:pt>
                <c:pt idx="697">
                  <c:v>2010-09-10</c:v>
                </c:pt>
                <c:pt idx="698">
                  <c:v>2010-09-13</c:v>
                </c:pt>
                <c:pt idx="699">
                  <c:v>2010-09-14</c:v>
                </c:pt>
                <c:pt idx="700">
                  <c:v>2010-09-15</c:v>
                </c:pt>
                <c:pt idx="701">
                  <c:v>2010-09-16</c:v>
                </c:pt>
                <c:pt idx="702">
                  <c:v>2010-09-17</c:v>
                </c:pt>
                <c:pt idx="703">
                  <c:v>2010-09-20</c:v>
                </c:pt>
                <c:pt idx="704">
                  <c:v>2010-09-21</c:v>
                </c:pt>
                <c:pt idx="705">
                  <c:v>2010-09-22</c:v>
                </c:pt>
                <c:pt idx="706">
                  <c:v>2010-09-23</c:v>
                </c:pt>
                <c:pt idx="707">
                  <c:v>2010-09-24</c:v>
                </c:pt>
                <c:pt idx="708">
                  <c:v>2010-09-27</c:v>
                </c:pt>
                <c:pt idx="709">
                  <c:v>2010-09-28</c:v>
                </c:pt>
                <c:pt idx="710">
                  <c:v>2010-09-29</c:v>
                </c:pt>
                <c:pt idx="711">
                  <c:v>2010-09-30</c:v>
                </c:pt>
                <c:pt idx="712">
                  <c:v>2010-10-01</c:v>
                </c:pt>
                <c:pt idx="713">
                  <c:v>2010-10-04</c:v>
                </c:pt>
                <c:pt idx="714">
                  <c:v>2010-10-05</c:v>
                </c:pt>
                <c:pt idx="715">
                  <c:v>2010-10-06</c:v>
                </c:pt>
                <c:pt idx="716">
                  <c:v>2010-10-07</c:v>
                </c:pt>
                <c:pt idx="717">
                  <c:v>2010-10-08</c:v>
                </c:pt>
                <c:pt idx="718">
                  <c:v>2010-10-11</c:v>
                </c:pt>
                <c:pt idx="719">
                  <c:v>2010-10-12</c:v>
                </c:pt>
                <c:pt idx="720">
                  <c:v>2010-10-13</c:v>
                </c:pt>
                <c:pt idx="721">
                  <c:v>2010-10-14</c:v>
                </c:pt>
                <c:pt idx="722">
                  <c:v>2010-10-15</c:v>
                </c:pt>
                <c:pt idx="723">
                  <c:v>2010-10-18</c:v>
                </c:pt>
                <c:pt idx="724">
                  <c:v>2010-10-19</c:v>
                </c:pt>
                <c:pt idx="725">
                  <c:v>2010-10-20</c:v>
                </c:pt>
                <c:pt idx="726">
                  <c:v>2010-10-21</c:v>
                </c:pt>
                <c:pt idx="727">
                  <c:v>2010-10-22</c:v>
                </c:pt>
                <c:pt idx="728">
                  <c:v>2010-10-25</c:v>
                </c:pt>
                <c:pt idx="729">
                  <c:v>2010-10-26</c:v>
                </c:pt>
                <c:pt idx="730">
                  <c:v>2010-10-27</c:v>
                </c:pt>
                <c:pt idx="731">
                  <c:v>2010-10-28</c:v>
                </c:pt>
                <c:pt idx="732">
                  <c:v>2010-10-29</c:v>
                </c:pt>
                <c:pt idx="733">
                  <c:v>2010-11-01</c:v>
                </c:pt>
                <c:pt idx="734">
                  <c:v>2010-11-02</c:v>
                </c:pt>
                <c:pt idx="735">
                  <c:v>2010-11-03</c:v>
                </c:pt>
                <c:pt idx="736">
                  <c:v>2010-11-04</c:v>
                </c:pt>
                <c:pt idx="737">
                  <c:v>2010-11-05</c:v>
                </c:pt>
                <c:pt idx="738">
                  <c:v>2010-11-08</c:v>
                </c:pt>
                <c:pt idx="739">
                  <c:v>2010-11-09</c:v>
                </c:pt>
                <c:pt idx="740">
                  <c:v>2010-11-10</c:v>
                </c:pt>
                <c:pt idx="741">
                  <c:v>2010-11-11</c:v>
                </c:pt>
                <c:pt idx="742">
                  <c:v>2010-11-12</c:v>
                </c:pt>
                <c:pt idx="743">
                  <c:v>2010-11-15</c:v>
                </c:pt>
                <c:pt idx="744">
                  <c:v>2010-11-16</c:v>
                </c:pt>
                <c:pt idx="745">
                  <c:v>2010-11-17</c:v>
                </c:pt>
                <c:pt idx="746">
                  <c:v>2010-11-18</c:v>
                </c:pt>
                <c:pt idx="747">
                  <c:v>2010-11-19</c:v>
                </c:pt>
                <c:pt idx="748">
                  <c:v>2010-11-22</c:v>
                </c:pt>
                <c:pt idx="749">
                  <c:v>2010-11-23</c:v>
                </c:pt>
                <c:pt idx="750">
                  <c:v>2010-11-24</c:v>
                </c:pt>
                <c:pt idx="751">
                  <c:v>2010-11-25</c:v>
                </c:pt>
                <c:pt idx="752">
                  <c:v>2010-11-26</c:v>
                </c:pt>
                <c:pt idx="753">
                  <c:v>2010-11-29</c:v>
                </c:pt>
                <c:pt idx="754">
                  <c:v>2010-11-30</c:v>
                </c:pt>
                <c:pt idx="755">
                  <c:v>2010-12-01</c:v>
                </c:pt>
                <c:pt idx="756">
                  <c:v>2010-12-02</c:v>
                </c:pt>
                <c:pt idx="757">
                  <c:v>2010-12-03</c:v>
                </c:pt>
                <c:pt idx="758">
                  <c:v>2010-12-06</c:v>
                </c:pt>
                <c:pt idx="759">
                  <c:v>2010-12-07</c:v>
                </c:pt>
                <c:pt idx="760">
                  <c:v>2010-12-08</c:v>
                </c:pt>
                <c:pt idx="761">
                  <c:v>2010-12-09</c:v>
                </c:pt>
                <c:pt idx="762">
                  <c:v>2010-12-10</c:v>
                </c:pt>
                <c:pt idx="763">
                  <c:v>2010-12-13</c:v>
                </c:pt>
                <c:pt idx="764">
                  <c:v>2010-12-14</c:v>
                </c:pt>
                <c:pt idx="765">
                  <c:v>2010-12-15</c:v>
                </c:pt>
                <c:pt idx="766">
                  <c:v>2010-12-16</c:v>
                </c:pt>
                <c:pt idx="767">
                  <c:v>2010-12-17</c:v>
                </c:pt>
                <c:pt idx="768">
                  <c:v>2010-12-20</c:v>
                </c:pt>
                <c:pt idx="769">
                  <c:v>2010-12-21</c:v>
                </c:pt>
                <c:pt idx="770">
                  <c:v>2010-12-22</c:v>
                </c:pt>
                <c:pt idx="771">
                  <c:v>2010-12-23</c:v>
                </c:pt>
                <c:pt idx="772">
                  <c:v>2010-12-24</c:v>
                </c:pt>
                <c:pt idx="773">
                  <c:v>2010-12-27</c:v>
                </c:pt>
                <c:pt idx="774">
                  <c:v>2010-12-28</c:v>
                </c:pt>
                <c:pt idx="775">
                  <c:v>2010-12-29</c:v>
                </c:pt>
                <c:pt idx="776">
                  <c:v>2010-12-30</c:v>
                </c:pt>
                <c:pt idx="777">
                  <c:v>2010-12-31</c:v>
                </c:pt>
                <c:pt idx="778">
                  <c:v>2011-01-03</c:v>
                </c:pt>
                <c:pt idx="779">
                  <c:v>2011-01-04</c:v>
                </c:pt>
                <c:pt idx="780">
                  <c:v>2011-01-05</c:v>
                </c:pt>
                <c:pt idx="781">
                  <c:v>2011-01-06</c:v>
                </c:pt>
                <c:pt idx="782">
                  <c:v>2011-01-07</c:v>
                </c:pt>
                <c:pt idx="783">
                  <c:v>2011-01-10</c:v>
                </c:pt>
                <c:pt idx="784">
                  <c:v>2011-01-11</c:v>
                </c:pt>
                <c:pt idx="785">
                  <c:v>2011-01-12</c:v>
                </c:pt>
                <c:pt idx="786">
                  <c:v>2011-01-13</c:v>
                </c:pt>
                <c:pt idx="787">
                  <c:v>2011-01-14</c:v>
                </c:pt>
                <c:pt idx="788">
                  <c:v>2011-01-17</c:v>
                </c:pt>
                <c:pt idx="789">
                  <c:v>2011-01-18</c:v>
                </c:pt>
                <c:pt idx="790">
                  <c:v>2011-01-19</c:v>
                </c:pt>
                <c:pt idx="791">
                  <c:v>2011-01-20</c:v>
                </c:pt>
                <c:pt idx="792">
                  <c:v>2011-01-21</c:v>
                </c:pt>
                <c:pt idx="793">
                  <c:v>2011-01-24</c:v>
                </c:pt>
                <c:pt idx="794">
                  <c:v>2011-01-25</c:v>
                </c:pt>
                <c:pt idx="795">
                  <c:v>2011-01-26</c:v>
                </c:pt>
                <c:pt idx="796">
                  <c:v>2011-01-27</c:v>
                </c:pt>
                <c:pt idx="797">
                  <c:v>2011-01-28</c:v>
                </c:pt>
                <c:pt idx="798">
                  <c:v>2011-01-31</c:v>
                </c:pt>
                <c:pt idx="799">
                  <c:v>2011-02-01</c:v>
                </c:pt>
                <c:pt idx="800">
                  <c:v>2011-02-02</c:v>
                </c:pt>
                <c:pt idx="801">
                  <c:v>2011-02-03</c:v>
                </c:pt>
                <c:pt idx="802">
                  <c:v>2011-02-04</c:v>
                </c:pt>
                <c:pt idx="803">
                  <c:v>2011-02-07</c:v>
                </c:pt>
                <c:pt idx="804">
                  <c:v>2011-02-08</c:v>
                </c:pt>
                <c:pt idx="805">
                  <c:v>2011-02-09</c:v>
                </c:pt>
                <c:pt idx="806">
                  <c:v>2011-02-10</c:v>
                </c:pt>
                <c:pt idx="807">
                  <c:v>2011-02-11</c:v>
                </c:pt>
                <c:pt idx="808">
                  <c:v>2011-02-14</c:v>
                </c:pt>
                <c:pt idx="809">
                  <c:v>2011-02-15</c:v>
                </c:pt>
                <c:pt idx="810">
                  <c:v>2011-02-16</c:v>
                </c:pt>
                <c:pt idx="811">
                  <c:v>2011-02-17</c:v>
                </c:pt>
                <c:pt idx="812">
                  <c:v>2011-02-18</c:v>
                </c:pt>
                <c:pt idx="813">
                  <c:v>2011-02-21</c:v>
                </c:pt>
                <c:pt idx="814">
                  <c:v>2011-02-22</c:v>
                </c:pt>
                <c:pt idx="815">
                  <c:v>2011-02-23</c:v>
                </c:pt>
                <c:pt idx="816">
                  <c:v>2011-02-24</c:v>
                </c:pt>
                <c:pt idx="817">
                  <c:v>2011-02-25</c:v>
                </c:pt>
                <c:pt idx="818">
                  <c:v>2011-02-28</c:v>
                </c:pt>
                <c:pt idx="819">
                  <c:v>2011-03-01</c:v>
                </c:pt>
                <c:pt idx="820">
                  <c:v>2011-03-02</c:v>
                </c:pt>
                <c:pt idx="821">
                  <c:v>2011-03-03</c:v>
                </c:pt>
                <c:pt idx="822">
                  <c:v>2011-03-04</c:v>
                </c:pt>
                <c:pt idx="823">
                  <c:v>2011-03-07</c:v>
                </c:pt>
                <c:pt idx="824">
                  <c:v>2011-03-08</c:v>
                </c:pt>
                <c:pt idx="825">
                  <c:v>2011-03-09</c:v>
                </c:pt>
                <c:pt idx="826">
                  <c:v>2011-03-10</c:v>
                </c:pt>
                <c:pt idx="827">
                  <c:v>2011-03-11</c:v>
                </c:pt>
                <c:pt idx="828">
                  <c:v>2011-03-14</c:v>
                </c:pt>
                <c:pt idx="829">
                  <c:v>2011-03-15</c:v>
                </c:pt>
                <c:pt idx="830">
                  <c:v>2011-03-16</c:v>
                </c:pt>
                <c:pt idx="831">
                  <c:v>2011-03-17</c:v>
                </c:pt>
                <c:pt idx="832">
                  <c:v>2011-03-18</c:v>
                </c:pt>
                <c:pt idx="833">
                  <c:v>2011-03-21</c:v>
                </c:pt>
                <c:pt idx="834">
                  <c:v>2011-03-22</c:v>
                </c:pt>
                <c:pt idx="835">
                  <c:v>2011-03-23</c:v>
                </c:pt>
                <c:pt idx="836">
                  <c:v>2011-03-24</c:v>
                </c:pt>
                <c:pt idx="837">
                  <c:v>2011-03-25</c:v>
                </c:pt>
                <c:pt idx="838">
                  <c:v>2011-03-28</c:v>
                </c:pt>
                <c:pt idx="839">
                  <c:v>2011-03-29</c:v>
                </c:pt>
                <c:pt idx="840">
                  <c:v>2011-03-30</c:v>
                </c:pt>
                <c:pt idx="841">
                  <c:v>2011-03-31</c:v>
                </c:pt>
                <c:pt idx="842">
                  <c:v>2011-04-01</c:v>
                </c:pt>
                <c:pt idx="843">
                  <c:v>2011-04-04</c:v>
                </c:pt>
                <c:pt idx="844">
                  <c:v>2011-04-05</c:v>
                </c:pt>
                <c:pt idx="845">
                  <c:v>2011-04-06</c:v>
                </c:pt>
                <c:pt idx="846">
                  <c:v>2011-04-07</c:v>
                </c:pt>
                <c:pt idx="847">
                  <c:v>2011-04-08</c:v>
                </c:pt>
                <c:pt idx="848">
                  <c:v>2011-04-11</c:v>
                </c:pt>
                <c:pt idx="849">
                  <c:v>2011-04-12</c:v>
                </c:pt>
                <c:pt idx="850">
                  <c:v>2011-04-13</c:v>
                </c:pt>
                <c:pt idx="851">
                  <c:v>2011-04-14</c:v>
                </c:pt>
                <c:pt idx="852">
                  <c:v>2011-04-15</c:v>
                </c:pt>
                <c:pt idx="853">
                  <c:v>2011-04-18</c:v>
                </c:pt>
                <c:pt idx="854">
                  <c:v>2011-04-19</c:v>
                </c:pt>
                <c:pt idx="855">
                  <c:v>2011-04-20</c:v>
                </c:pt>
                <c:pt idx="856">
                  <c:v>2011-04-21</c:v>
                </c:pt>
                <c:pt idx="857">
                  <c:v>2011-04-22</c:v>
                </c:pt>
                <c:pt idx="858">
                  <c:v>2011-04-25</c:v>
                </c:pt>
                <c:pt idx="859">
                  <c:v>2011-04-26</c:v>
                </c:pt>
                <c:pt idx="860">
                  <c:v>2011-04-27</c:v>
                </c:pt>
                <c:pt idx="861">
                  <c:v>2011-04-28</c:v>
                </c:pt>
                <c:pt idx="862">
                  <c:v>2011-04-29</c:v>
                </c:pt>
                <c:pt idx="863">
                  <c:v>2011-05-02</c:v>
                </c:pt>
                <c:pt idx="864">
                  <c:v>2011-05-03</c:v>
                </c:pt>
                <c:pt idx="865">
                  <c:v>2011-05-04</c:v>
                </c:pt>
                <c:pt idx="866">
                  <c:v>2011-05-05</c:v>
                </c:pt>
                <c:pt idx="867">
                  <c:v>2011-05-06</c:v>
                </c:pt>
                <c:pt idx="868">
                  <c:v>2011-05-09</c:v>
                </c:pt>
                <c:pt idx="869">
                  <c:v>2011-05-10</c:v>
                </c:pt>
                <c:pt idx="870">
                  <c:v>2011-05-11</c:v>
                </c:pt>
                <c:pt idx="871">
                  <c:v>2011-05-12</c:v>
                </c:pt>
                <c:pt idx="872">
                  <c:v>2011-05-13</c:v>
                </c:pt>
                <c:pt idx="873">
                  <c:v>2011-05-16</c:v>
                </c:pt>
                <c:pt idx="874">
                  <c:v>2011-05-17</c:v>
                </c:pt>
                <c:pt idx="875">
                  <c:v>2011-05-18</c:v>
                </c:pt>
                <c:pt idx="876">
                  <c:v>2011-05-19</c:v>
                </c:pt>
                <c:pt idx="877">
                  <c:v>2011-05-20</c:v>
                </c:pt>
                <c:pt idx="878">
                  <c:v>2011-05-23</c:v>
                </c:pt>
                <c:pt idx="879">
                  <c:v>2011-05-24</c:v>
                </c:pt>
                <c:pt idx="880">
                  <c:v>2011-05-25</c:v>
                </c:pt>
                <c:pt idx="881">
                  <c:v>2011-05-26</c:v>
                </c:pt>
                <c:pt idx="882">
                  <c:v>2011-05-27</c:v>
                </c:pt>
                <c:pt idx="883">
                  <c:v>2011-05-30</c:v>
                </c:pt>
                <c:pt idx="884">
                  <c:v>2011-05-31</c:v>
                </c:pt>
                <c:pt idx="885">
                  <c:v>2011-06-01</c:v>
                </c:pt>
                <c:pt idx="886">
                  <c:v>2011-06-02</c:v>
                </c:pt>
                <c:pt idx="887">
                  <c:v>2011-06-03</c:v>
                </c:pt>
                <c:pt idx="888">
                  <c:v>2011-06-06</c:v>
                </c:pt>
                <c:pt idx="889">
                  <c:v>2011-06-07</c:v>
                </c:pt>
                <c:pt idx="890">
                  <c:v>2011-06-08</c:v>
                </c:pt>
                <c:pt idx="891">
                  <c:v>2011-06-09</c:v>
                </c:pt>
                <c:pt idx="892">
                  <c:v>2011-06-10</c:v>
                </c:pt>
                <c:pt idx="893">
                  <c:v>2011-06-13</c:v>
                </c:pt>
                <c:pt idx="894">
                  <c:v>2011-06-14</c:v>
                </c:pt>
                <c:pt idx="895">
                  <c:v>2011-06-15</c:v>
                </c:pt>
                <c:pt idx="896">
                  <c:v>2011-06-16</c:v>
                </c:pt>
                <c:pt idx="897">
                  <c:v>2011-06-17</c:v>
                </c:pt>
                <c:pt idx="898">
                  <c:v>2011-06-20</c:v>
                </c:pt>
                <c:pt idx="899">
                  <c:v>2011-06-21</c:v>
                </c:pt>
                <c:pt idx="900">
                  <c:v>2011-06-22</c:v>
                </c:pt>
                <c:pt idx="901">
                  <c:v>2011-06-23</c:v>
                </c:pt>
                <c:pt idx="902">
                  <c:v>2011-06-24</c:v>
                </c:pt>
                <c:pt idx="903">
                  <c:v>2011-06-27</c:v>
                </c:pt>
                <c:pt idx="904">
                  <c:v>2011-06-28</c:v>
                </c:pt>
                <c:pt idx="905">
                  <c:v>2011-06-29</c:v>
                </c:pt>
                <c:pt idx="906">
                  <c:v>2011-06-30</c:v>
                </c:pt>
                <c:pt idx="907">
                  <c:v>2011-07-01</c:v>
                </c:pt>
                <c:pt idx="908">
                  <c:v>2011-07-04</c:v>
                </c:pt>
                <c:pt idx="909">
                  <c:v>2011-07-05</c:v>
                </c:pt>
                <c:pt idx="910">
                  <c:v>2011-07-06</c:v>
                </c:pt>
                <c:pt idx="911">
                  <c:v>2011-07-07</c:v>
                </c:pt>
                <c:pt idx="912">
                  <c:v>2011-07-08</c:v>
                </c:pt>
                <c:pt idx="913">
                  <c:v>2011-07-11</c:v>
                </c:pt>
                <c:pt idx="914">
                  <c:v>2011-07-12</c:v>
                </c:pt>
                <c:pt idx="915">
                  <c:v>2011-07-13</c:v>
                </c:pt>
                <c:pt idx="916">
                  <c:v>2011-07-14</c:v>
                </c:pt>
                <c:pt idx="917">
                  <c:v>2011-07-15</c:v>
                </c:pt>
                <c:pt idx="918">
                  <c:v>2011-07-18</c:v>
                </c:pt>
                <c:pt idx="919">
                  <c:v>2011-07-19</c:v>
                </c:pt>
                <c:pt idx="920">
                  <c:v>2011-07-20</c:v>
                </c:pt>
                <c:pt idx="921">
                  <c:v>2011-07-21</c:v>
                </c:pt>
                <c:pt idx="922">
                  <c:v>2011-07-22</c:v>
                </c:pt>
                <c:pt idx="923">
                  <c:v>2011-07-25</c:v>
                </c:pt>
                <c:pt idx="924">
                  <c:v>2011-07-26</c:v>
                </c:pt>
                <c:pt idx="925">
                  <c:v>2011-07-27</c:v>
                </c:pt>
                <c:pt idx="926">
                  <c:v>2011-07-28</c:v>
                </c:pt>
                <c:pt idx="927">
                  <c:v>2011-07-29</c:v>
                </c:pt>
                <c:pt idx="928">
                  <c:v>2011-08-01</c:v>
                </c:pt>
                <c:pt idx="929">
                  <c:v>2011-08-02</c:v>
                </c:pt>
                <c:pt idx="930">
                  <c:v>2011-08-03</c:v>
                </c:pt>
                <c:pt idx="931">
                  <c:v>2011-08-04</c:v>
                </c:pt>
                <c:pt idx="932">
                  <c:v>2011-08-05</c:v>
                </c:pt>
                <c:pt idx="933">
                  <c:v>2011-08-08</c:v>
                </c:pt>
                <c:pt idx="934">
                  <c:v>2011-08-09</c:v>
                </c:pt>
                <c:pt idx="935">
                  <c:v>2011-08-10</c:v>
                </c:pt>
                <c:pt idx="936">
                  <c:v>2011-08-11</c:v>
                </c:pt>
                <c:pt idx="937">
                  <c:v>2011-08-12</c:v>
                </c:pt>
                <c:pt idx="938">
                  <c:v>2011-08-15</c:v>
                </c:pt>
                <c:pt idx="939">
                  <c:v>2011-08-16</c:v>
                </c:pt>
                <c:pt idx="940">
                  <c:v>2011-08-17</c:v>
                </c:pt>
                <c:pt idx="941">
                  <c:v>2011-08-18</c:v>
                </c:pt>
                <c:pt idx="942">
                  <c:v>2011-08-19</c:v>
                </c:pt>
                <c:pt idx="943">
                  <c:v>2011-08-22</c:v>
                </c:pt>
                <c:pt idx="944">
                  <c:v>2011-08-23</c:v>
                </c:pt>
                <c:pt idx="945">
                  <c:v>2011-08-24</c:v>
                </c:pt>
                <c:pt idx="946">
                  <c:v>2011-08-25</c:v>
                </c:pt>
                <c:pt idx="947">
                  <c:v>2011-08-26</c:v>
                </c:pt>
                <c:pt idx="948">
                  <c:v>2011-08-29</c:v>
                </c:pt>
                <c:pt idx="949">
                  <c:v>2011-08-30</c:v>
                </c:pt>
                <c:pt idx="950">
                  <c:v>2011-08-31</c:v>
                </c:pt>
                <c:pt idx="951">
                  <c:v>2011-09-01</c:v>
                </c:pt>
                <c:pt idx="952">
                  <c:v>2011-09-02</c:v>
                </c:pt>
                <c:pt idx="953">
                  <c:v>2011-09-05</c:v>
                </c:pt>
                <c:pt idx="954">
                  <c:v>2011-09-06</c:v>
                </c:pt>
                <c:pt idx="955">
                  <c:v>2011-09-07</c:v>
                </c:pt>
                <c:pt idx="956">
                  <c:v>2011-09-08</c:v>
                </c:pt>
                <c:pt idx="957">
                  <c:v>2011-09-09</c:v>
                </c:pt>
                <c:pt idx="958">
                  <c:v>2011-09-12</c:v>
                </c:pt>
                <c:pt idx="959">
                  <c:v>2011-09-13</c:v>
                </c:pt>
                <c:pt idx="960">
                  <c:v>2011-09-14</c:v>
                </c:pt>
                <c:pt idx="961">
                  <c:v>2011-09-15</c:v>
                </c:pt>
                <c:pt idx="962">
                  <c:v>2011-09-16</c:v>
                </c:pt>
                <c:pt idx="963">
                  <c:v>2011-09-19</c:v>
                </c:pt>
                <c:pt idx="964">
                  <c:v>2011-09-20</c:v>
                </c:pt>
                <c:pt idx="965">
                  <c:v>2011-09-21</c:v>
                </c:pt>
                <c:pt idx="966">
                  <c:v>2011-09-22</c:v>
                </c:pt>
                <c:pt idx="967">
                  <c:v>2011-09-23</c:v>
                </c:pt>
                <c:pt idx="968">
                  <c:v>2011-09-26</c:v>
                </c:pt>
                <c:pt idx="969">
                  <c:v>2011-09-27</c:v>
                </c:pt>
                <c:pt idx="970">
                  <c:v>2011-09-28</c:v>
                </c:pt>
                <c:pt idx="971">
                  <c:v>2011-09-29</c:v>
                </c:pt>
                <c:pt idx="972">
                  <c:v>2011-09-30</c:v>
                </c:pt>
                <c:pt idx="973">
                  <c:v>2011-10-03</c:v>
                </c:pt>
                <c:pt idx="974">
                  <c:v>2011-10-04</c:v>
                </c:pt>
                <c:pt idx="975">
                  <c:v>2011-10-05</c:v>
                </c:pt>
                <c:pt idx="976">
                  <c:v>2011-10-06</c:v>
                </c:pt>
                <c:pt idx="977">
                  <c:v>2011-10-07</c:v>
                </c:pt>
                <c:pt idx="978">
                  <c:v>2011-10-10</c:v>
                </c:pt>
                <c:pt idx="979">
                  <c:v>2011-10-11</c:v>
                </c:pt>
                <c:pt idx="980">
                  <c:v>2011-10-12</c:v>
                </c:pt>
                <c:pt idx="981">
                  <c:v>2011-10-13</c:v>
                </c:pt>
                <c:pt idx="982">
                  <c:v>2011-10-14</c:v>
                </c:pt>
                <c:pt idx="983">
                  <c:v>2011-10-17</c:v>
                </c:pt>
                <c:pt idx="984">
                  <c:v>2011-10-18</c:v>
                </c:pt>
                <c:pt idx="985">
                  <c:v>2011-10-19</c:v>
                </c:pt>
                <c:pt idx="986">
                  <c:v>2011-10-20</c:v>
                </c:pt>
                <c:pt idx="987">
                  <c:v>2011-10-21</c:v>
                </c:pt>
                <c:pt idx="988">
                  <c:v>2011-10-24</c:v>
                </c:pt>
                <c:pt idx="989">
                  <c:v>2011-10-25</c:v>
                </c:pt>
                <c:pt idx="990">
                  <c:v>2011-10-26</c:v>
                </c:pt>
                <c:pt idx="991">
                  <c:v>2011-10-27</c:v>
                </c:pt>
                <c:pt idx="992">
                  <c:v>2011-10-28</c:v>
                </c:pt>
                <c:pt idx="993">
                  <c:v>2011-10-31</c:v>
                </c:pt>
                <c:pt idx="994">
                  <c:v>2011-11-01</c:v>
                </c:pt>
                <c:pt idx="995">
                  <c:v>2011-11-02</c:v>
                </c:pt>
                <c:pt idx="996">
                  <c:v>2011-11-03</c:v>
                </c:pt>
                <c:pt idx="997">
                  <c:v>2011-11-04</c:v>
                </c:pt>
                <c:pt idx="998">
                  <c:v>2011-11-07</c:v>
                </c:pt>
                <c:pt idx="999">
                  <c:v>2011-11-08</c:v>
                </c:pt>
                <c:pt idx="1000">
                  <c:v>2011-11-09</c:v>
                </c:pt>
                <c:pt idx="1001">
                  <c:v>2011-11-10</c:v>
                </c:pt>
                <c:pt idx="1002">
                  <c:v>2011-11-11</c:v>
                </c:pt>
                <c:pt idx="1003">
                  <c:v>2011-11-14</c:v>
                </c:pt>
                <c:pt idx="1004">
                  <c:v>2011-11-15</c:v>
                </c:pt>
                <c:pt idx="1005">
                  <c:v>2011-11-16</c:v>
                </c:pt>
                <c:pt idx="1006">
                  <c:v>2011-11-17</c:v>
                </c:pt>
                <c:pt idx="1007">
                  <c:v>2011-11-18</c:v>
                </c:pt>
                <c:pt idx="1008">
                  <c:v>2011-11-21</c:v>
                </c:pt>
                <c:pt idx="1009">
                  <c:v>2011-11-22</c:v>
                </c:pt>
                <c:pt idx="1010">
                  <c:v>2011-11-23</c:v>
                </c:pt>
                <c:pt idx="1011">
                  <c:v>2011-11-24</c:v>
                </c:pt>
                <c:pt idx="1012">
                  <c:v>2011-11-25</c:v>
                </c:pt>
                <c:pt idx="1013">
                  <c:v>2011-11-28</c:v>
                </c:pt>
                <c:pt idx="1014">
                  <c:v>2011-11-29</c:v>
                </c:pt>
                <c:pt idx="1015">
                  <c:v>2011-11-30</c:v>
                </c:pt>
                <c:pt idx="1016">
                  <c:v>2011-12-01</c:v>
                </c:pt>
                <c:pt idx="1017">
                  <c:v>2011-12-02</c:v>
                </c:pt>
                <c:pt idx="1018">
                  <c:v>2011-12-05</c:v>
                </c:pt>
                <c:pt idx="1019">
                  <c:v>2011-12-06</c:v>
                </c:pt>
                <c:pt idx="1020">
                  <c:v>2011-12-07</c:v>
                </c:pt>
                <c:pt idx="1021">
                  <c:v>2011-12-08</c:v>
                </c:pt>
                <c:pt idx="1022">
                  <c:v>2011-12-09</c:v>
                </c:pt>
                <c:pt idx="1023">
                  <c:v>2011-12-12</c:v>
                </c:pt>
                <c:pt idx="1024">
                  <c:v>2011-12-13</c:v>
                </c:pt>
                <c:pt idx="1025">
                  <c:v>2011-12-14</c:v>
                </c:pt>
                <c:pt idx="1026">
                  <c:v>2011-12-15</c:v>
                </c:pt>
                <c:pt idx="1027">
                  <c:v>2011-12-16</c:v>
                </c:pt>
                <c:pt idx="1028">
                  <c:v>2011-12-19</c:v>
                </c:pt>
                <c:pt idx="1029">
                  <c:v>2011-12-20</c:v>
                </c:pt>
                <c:pt idx="1030">
                  <c:v>2011-12-21</c:v>
                </c:pt>
                <c:pt idx="1031">
                  <c:v>2011-12-22</c:v>
                </c:pt>
                <c:pt idx="1032">
                  <c:v>2011-12-23</c:v>
                </c:pt>
                <c:pt idx="1033">
                  <c:v>2011-12-26</c:v>
                </c:pt>
                <c:pt idx="1034">
                  <c:v>2011-12-27</c:v>
                </c:pt>
                <c:pt idx="1035">
                  <c:v>2011-12-28</c:v>
                </c:pt>
                <c:pt idx="1036">
                  <c:v>2011-12-29</c:v>
                </c:pt>
                <c:pt idx="1037">
                  <c:v>2011-12-30</c:v>
                </c:pt>
                <c:pt idx="1038">
                  <c:v>2012-01-02</c:v>
                </c:pt>
                <c:pt idx="1039">
                  <c:v>2012-01-03</c:v>
                </c:pt>
                <c:pt idx="1040">
                  <c:v>2012-01-04</c:v>
                </c:pt>
                <c:pt idx="1041">
                  <c:v>2012-01-05</c:v>
                </c:pt>
                <c:pt idx="1042">
                  <c:v>2012-01-06</c:v>
                </c:pt>
                <c:pt idx="1043">
                  <c:v>2012-01-09</c:v>
                </c:pt>
                <c:pt idx="1044">
                  <c:v>2012-01-10</c:v>
                </c:pt>
                <c:pt idx="1045">
                  <c:v>2012-01-11</c:v>
                </c:pt>
                <c:pt idx="1046">
                  <c:v>2012-01-12</c:v>
                </c:pt>
                <c:pt idx="1047">
                  <c:v>2012-01-13</c:v>
                </c:pt>
                <c:pt idx="1048">
                  <c:v>2012-01-16</c:v>
                </c:pt>
                <c:pt idx="1049">
                  <c:v>2012-01-17</c:v>
                </c:pt>
                <c:pt idx="1050">
                  <c:v>2012-01-18</c:v>
                </c:pt>
                <c:pt idx="1051">
                  <c:v>2012-01-19</c:v>
                </c:pt>
                <c:pt idx="1052">
                  <c:v>2012-01-20</c:v>
                </c:pt>
                <c:pt idx="1053">
                  <c:v>2012-01-23</c:v>
                </c:pt>
                <c:pt idx="1054">
                  <c:v>2012-01-24</c:v>
                </c:pt>
                <c:pt idx="1055">
                  <c:v>2012-01-25</c:v>
                </c:pt>
                <c:pt idx="1056">
                  <c:v>2012-01-26</c:v>
                </c:pt>
                <c:pt idx="1057">
                  <c:v>2012-01-27</c:v>
                </c:pt>
                <c:pt idx="1058">
                  <c:v>2012-01-30</c:v>
                </c:pt>
                <c:pt idx="1059">
                  <c:v>2012-01-31</c:v>
                </c:pt>
                <c:pt idx="1060">
                  <c:v>2012-02-01</c:v>
                </c:pt>
                <c:pt idx="1061">
                  <c:v>2012-02-02</c:v>
                </c:pt>
                <c:pt idx="1062">
                  <c:v>2012-02-03</c:v>
                </c:pt>
                <c:pt idx="1063">
                  <c:v>2012-02-06</c:v>
                </c:pt>
                <c:pt idx="1064">
                  <c:v>2012-02-07</c:v>
                </c:pt>
                <c:pt idx="1065">
                  <c:v>2012-02-08</c:v>
                </c:pt>
                <c:pt idx="1066">
                  <c:v>2012-02-09</c:v>
                </c:pt>
                <c:pt idx="1067">
                  <c:v>2012-02-10</c:v>
                </c:pt>
                <c:pt idx="1068">
                  <c:v>2012-02-13</c:v>
                </c:pt>
                <c:pt idx="1069">
                  <c:v>2012-02-14</c:v>
                </c:pt>
                <c:pt idx="1070">
                  <c:v>2012-02-15</c:v>
                </c:pt>
                <c:pt idx="1071">
                  <c:v>2012-02-16</c:v>
                </c:pt>
                <c:pt idx="1072">
                  <c:v>2012-02-17</c:v>
                </c:pt>
                <c:pt idx="1073">
                  <c:v>2012-02-20</c:v>
                </c:pt>
                <c:pt idx="1074">
                  <c:v>2012-02-21</c:v>
                </c:pt>
                <c:pt idx="1075">
                  <c:v>2012-02-22</c:v>
                </c:pt>
                <c:pt idx="1076">
                  <c:v>2012-02-23</c:v>
                </c:pt>
                <c:pt idx="1077">
                  <c:v>2012-02-24</c:v>
                </c:pt>
                <c:pt idx="1078">
                  <c:v>2012-02-27</c:v>
                </c:pt>
                <c:pt idx="1079">
                  <c:v>2012-02-28</c:v>
                </c:pt>
                <c:pt idx="1080">
                  <c:v>2012-02-29</c:v>
                </c:pt>
                <c:pt idx="1081">
                  <c:v>2012-03-01</c:v>
                </c:pt>
                <c:pt idx="1082">
                  <c:v>2012-03-02</c:v>
                </c:pt>
                <c:pt idx="1083">
                  <c:v>2012-03-05</c:v>
                </c:pt>
                <c:pt idx="1084">
                  <c:v>2012-03-06</c:v>
                </c:pt>
                <c:pt idx="1085">
                  <c:v>2012-03-07</c:v>
                </c:pt>
                <c:pt idx="1086">
                  <c:v>2012-03-08</c:v>
                </c:pt>
                <c:pt idx="1087">
                  <c:v>2012-03-09</c:v>
                </c:pt>
                <c:pt idx="1088">
                  <c:v>2012-03-12</c:v>
                </c:pt>
                <c:pt idx="1089">
                  <c:v>2012-03-13</c:v>
                </c:pt>
                <c:pt idx="1090">
                  <c:v>2012-03-14</c:v>
                </c:pt>
                <c:pt idx="1091">
                  <c:v>2012-03-15</c:v>
                </c:pt>
                <c:pt idx="1092">
                  <c:v>2012-03-16</c:v>
                </c:pt>
                <c:pt idx="1093">
                  <c:v>2012-03-19</c:v>
                </c:pt>
                <c:pt idx="1094">
                  <c:v>2012-03-20</c:v>
                </c:pt>
                <c:pt idx="1095">
                  <c:v>2012-03-21</c:v>
                </c:pt>
                <c:pt idx="1096">
                  <c:v>2012-03-22</c:v>
                </c:pt>
                <c:pt idx="1097">
                  <c:v>2012-03-23</c:v>
                </c:pt>
                <c:pt idx="1098">
                  <c:v>2012-03-26</c:v>
                </c:pt>
                <c:pt idx="1099">
                  <c:v>2012-03-27</c:v>
                </c:pt>
                <c:pt idx="1100">
                  <c:v>2012-03-28</c:v>
                </c:pt>
                <c:pt idx="1101">
                  <c:v>2012-03-29</c:v>
                </c:pt>
                <c:pt idx="1102">
                  <c:v>2012-03-30</c:v>
                </c:pt>
                <c:pt idx="1103">
                  <c:v>2012-04-02</c:v>
                </c:pt>
                <c:pt idx="1104">
                  <c:v>2012-04-03</c:v>
                </c:pt>
                <c:pt idx="1105">
                  <c:v>2012-04-04</c:v>
                </c:pt>
                <c:pt idx="1106">
                  <c:v>2012-04-05</c:v>
                </c:pt>
                <c:pt idx="1107">
                  <c:v>2012-04-06</c:v>
                </c:pt>
                <c:pt idx="1108">
                  <c:v>2012-04-09</c:v>
                </c:pt>
                <c:pt idx="1109">
                  <c:v>2012-04-10</c:v>
                </c:pt>
                <c:pt idx="1110">
                  <c:v>2012-04-11</c:v>
                </c:pt>
                <c:pt idx="1111">
                  <c:v>2012-04-12</c:v>
                </c:pt>
                <c:pt idx="1112">
                  <c:v>2012-04-13</c:v>
                </c:pt>
                <c:pt idx="1113">
                  <c:v>2012-04-16</c:v>
                </c:pt>
                <c:pt idx="1114">
                  <c:v>2012-04-17</c:v>
                </c:pt>
                <c:pt idx="1115">
                  <c:v>2012-04-18</c:v>
                </c:pt>
                <c:pt idx="1116">
                  <c:v>2012-04-19</c:v>
                </c:pt>
                <c:pt idx="1117">
                  <c:v>2012-04-20</c:v>
                </c:pt>
                <c:pt idx="1118">
                  <c:v>2012-04-23</c:v>
                </c:pt>
                <c:pt idx="1119">
                  <c:v>2012-04-24</c:v>
                </c:pt>
                <c:pt idx="1120">
                  <c:v>2012-04-25</c:v>
                </c:pt>
                <c:pt idx="1121">
                  <c:v>2012-04-26</c:v>
                </c:pt>
                <c:pt idx="1122">
                  <c:v>2012-04-27</c:v>
                </c:pt>
                <c:pt idx="1123">
                  <c:v>2012-04-30</c:v>
                </c:pt>
                <c:pt idx="1124">
                  <c:v>2012-05-01</c:v>
                </c:pt>
                <c:pt idx="1125">
                  <c:v>2012-05-02</c:v>
                </c:pt>
                <c:pt idx="1126">
                  <c:v>2012-05-03</c:v>
                </c:pt>
                <c:pt idx="1127">
                  <c:v>2012-05-04</c:v>
                </c:pt>
                <c:pt idx="1128">
                  <c:v>2012-05-07</c:v>
                </c:pt>
                <c:pt idx="1129">
                  <c:v>2012-05-08</c:v>
                </c:pt>
                <c:pt idx="1130">
                  <c:v>2012-05-09</c:v>
                </c:pt>
                <c:pt idx="1131">
                  <c:v>2012-05-10</c:v>
                </c:pt>
                <c:pt idx="1132">
                  <c:v>2012-05-11</c:v>
                </c:pt>
                <c:pt idx="1133">
                  <c:v>2012-05-14</c:v>
                </c:pt>
                <c:pt idx="1134">
                  <c:v>2012-05-15</c:v>
                </c:pt>
                <c:pt idx="1135">
                  <c:v>2012-05-16</c:v>
                </c:pt>
                <c:pt idx="1136">
                  <c:v>2012-05-17</c:v>
                </c:pt>
                <c:pt idx="1137">
                  <c:v>2012-05-18</c:v>
                </c:pt>
                <c:pt idx="1138">
                  <c:v>2012-05-21</c:v>
                </c:pt>
                <c:pt idx="1139">
                  <c:v>2012-05-22</c:v>
                </c:pt>
                <c:pt idx="1140">
                  <c:v>2012-05-23</c:v>
                </c:pt>
                <c:pt idx="1141">
                  <c:v>2012-05-24</c:v>
                </c:pt>
                <c:pt idx="1142">
                  <c:v>2012-05-25</c:v>
                </c:pt>
                <c:pt idx="1143">
                  <c:v>2012-05-29</c:v>
                </c:pt>
                <c:pt idx="1144">
                  <c:v>2012-05-30</c:v>
                </c:pt>
                <c:pt idx="1145">
                  <c:v>2012-05-31</c:v>
                </c:pt>
                <c:pt idx="1146">
                  <c:v>2012-06-01</c:v>
                </c:pt>
                <c:pt idx="1147">
                  <c:v>2012-06-04</c:v>
                </c:pt>
                <c:pt idx="1148">
                  <c:v>2012-06-05</c:v>
                </c:pt>
                <c:pt idx="1149">
                  <c:v>2012-06-06</c:v>
                </c:pt>
                <c:pt idx="1150">
                  <c:v>2012-06-07</c:v>
                </c:pt>
                <c:pt idx="1151">
                  <c:v>2012-06-08</c:v>
                </c:pt>
                <c:pt idx="1152">
                  <c:v>2012-06-11</c:v>
                </c:pt>
                <c:pt idx="1153">
                  <c:v>2012-06-12</c:v>
                </c:pt>
                <c:pt idx="1154">
                  <c:v>2012-06-13</c:v>
                </c:pt>
                <c:pt idx="1155">
                  <c:v>2012-06-14</c:v>
                </c:pt>
                <c:pt idx="1156">
                  <c:v>2012-06-15</c:v>
                </c:pt>
                <c:pt idx="1157">
                  <c:v>2012-06-18</c:v>
                </c:pt>
                <c:pt idx="1158">
                  <c:v>2012-06-19</c:v>
                </c:pt>
                <c:pt idx="1159">
                  <c:v>2012-06-20</c:v>
                </c:pt>
                <c:pt idx="1160">
                  <c:v>2012-06-21</c:v>
                </c:pt>
                <c:pt idx="1161">
                  <c:v>2012-06-22</c:v>
                </c:pt>
                <c:pt idx="1162">
                  <c:v>2012-06-25</c:v>
                </c:pt>
                <c:pt idx="1163">
                  <c:v>2012-06-26</c:v>
                </c:pt>
                <c:pt idx="1164">
                  <c:v>2012-06-27</c:v>
                </c:pt>
                <c:pt idx="1165">
                  <c:v>2012-06-28</c:v>
                </c:pt>
                <c:pt idx="1166">
                  <c:v>2012-06-29</c:v>
                </c:pt>
                <c:pt idx="1167">
                  <c:v>2012-07-02</c:v>
                </c:pt>
                <c:pt idx="1168">
                  <c:v>2012-07-03</c:v>
                </c:pt>
                <c:pt idx="1169">
                  <c:v>2012-07-04</c:v>
                </c:pt>
                <c:pt idx="1170">
                  <c:v>2012-07-05</c:v>
                </c:pt>
                <c:pt idx="1171">
                  <c:v>2012-07-06</c:v>
                </c:pt>
                <c:pt idx="1172">
                  <c:v>2012-07-09</c:v>
                </c:pt>
                <c:pt idx="1173">
                  <c:v>2012-07-10</c:v>
                </c:pt>
                <c:pt idx="1174">
                  <c:v>2012-07-11</c:v>
                </c:pt>
                <c:pt idx="1175">
                  <c:v>2012-07-12</c:v>
                </c:pt>
                <c:pt idx="1176">
                  <c:v>2012-07-13</c:v>
                </c:pt>
                <c:pt idx="1177">
                  <c:v>2012-07-16</c:v>
                </c:pt>
                <c:pt idx="1178">
                  <c:v>2012-07-17</c:v>
                </c:pt>
                <c:pt idx="1179">
                  <c:v>2012-07-18</c:v>
                </c:pt>
                <c:pt idx="1180">
                  <c:v>2012-07-19</c:v>
                </c:pt>
                <c:pt idx="1181">
                  <c:v>2012-07-20</c:v>
                </c:pt>
                <c:pt idx="1182">
                  <c:v>2012-07-23</c:v>
                </c:pt>
                <c:pt idx="1183">
                  <c:v>2012-07-24</c:v>
                </c:pt>
                <c:pt idx="1184">
                  <c:v>2012-07-25</c:v>
                </c:pt>
                <c:pt idx="1185">
                  <c:v>2012-07-26</c:v>
                </c:pt>
                <c:pt idx="1186">
                  <c:v>2012-07-27</c:v>
                </c:pt>
                <c:pt idx="1187">
                  <c:v>2012-07-30</c:v>
                </c:pt>
                <c:pt idx="1188">
                  <c:v>2012-07-31</c:v>
                </c:pt>
                <c:pt idx="1189">
                  <c:v>2012-08-01</c:v>
                </c:pt>
                <c:pt idx="1190">
                  <c:v>2012-08-02</c:v>
                </c:pt>
                <c:pt idx="1191">
                  <c:v>2012-08-03</c:v>
                </c:pt>
                <c:pt idx="1192">
                  <c:v>2012-08-06</c:v>
                </c:pt>
                <c:pt idx="1193">
                  <c:v>2012-08-07</c:v>
                </c:pt>
                <c:pt idx="1194">
                  <c:v>2012-08-08</c:v>
                </c:pt>
                <c:pt idx="1195">
                  <c:v>2012-08-09</c:v>
                </c:pt>
                <c:pt idx="1196">
                  <c:v>2012-08-10</c:v>
                </c:pt>
                <c:pt idx="1197">
                  <c:v>2012-08-13</c:v>
                </c:pt>
                <c:pt idx="1198">
                  <c:v>2012-08-14</c:v>
                </c:pt>
                <c:pt idx="1199">
                  <c:v>2012-08-15</c:v>
                </c:pt>
                <c:pt idx="1200">
                  <c:v>2012-08-16</c:v>
                </c:pt>
                <c:pt idx="1201">
                  <c:v>2012-08-17</c:v>
                </c:pt>
                <c:pt idx="1202">
                  <c:v>2012-08-20</c:v>
                </c:pt>
                <c:pt idx="1203">
                  <c:v>2012-08-21</c:v>
                </c:pt>
                <c:pt idx="1204">
                  <c:v>2012-08-22</c:v>
                </c:pt>
                <c:pt idx="1205">
                  <c:v>2012-08-23</c:v>
                </c:pt>
                <c:pt idx="1206">
                  <c:v>2012-08-24</c:v>
                </c:pt>
                <c:pt idx="1207">
                  <c:v>2012-08-27</c:v>
                </c:pt>
                <c:pt idx="1208">
                  <c:v>2012-08-28</c:v>
                </c:pt>
                <c:pt idx="1209">
                  <c:v>2012-08-29</c:v>
                </c:pt>
                <c:pt idx="1210">
                  <c:v>2012-08-30</c:v>
                </c:pt>
                <c:pt idx="1211">
                  <c:v>2012-08-31</c:v>
                </c:pt>
                <c:pt idx="1212">
                  <c:v>2012-09-03</c:v>
                </c:pt>
                <c:pt idx="1213">
                  <c:v>2012-09-04</c:v>
                </c:pt>
                <c:pt idx="1214">
                  <c:v>2012-09-05</c:v>
                </c:pt>
                <c:pt idx="1215">
                  <c:v>2012-09-06</c:v>
                </c:pt>
                <c:pt idx="1216">
                  <c:v>2012-09-07</c:v>
                </c:pt>
                <c:pt idx="1217">
                  <c:v>2012-09-10</c:v>
                </c:pt>
                <c:pt idx="1218">
                  <c:v>2012-09-11</c:v>
                </c:pt>
                <c:pt idx="1219">
                  <c:v>2012-09-12</c:v>
                </c:pt>
                <c:pt idx="1220">
                  <c:v>2012-09-13</c:v>
                </c:pt>
                <c:pt idx="1221">
                  <c:v>2012-09-14</c:v>
                </c:pt>
                <c:pt idx="1222">
                  <c:v>2012-09-17</c:v>
                </c:pt>
                <c:pt idx="1223">
                  <c:v>2012-09-18</c:v>
                </c:pt>
                <c:pt idx="1224">
                  <c:v>2012-09-19</c:v>
                </c:pt>
                <c:pt idx="1225">
                  <c:v>2012-09-20</c:v>
                </c:pt>
                <c:pt idx="1226">
                  <c:v>2012-09-21</c:v>
                </c:pt>
                <c:pt idx="1227">
                  <c:v>2012-09-24</c:v>
                </c:pt>
                <c:pt idx="1228">
                  <c:v>2012-09-25</c:v>
                </c:pt>
                <c:pt idx="1229">
                  <c:v>2012-09-26</c:v>
                </c:pt>
                <c:pt idx="1230">
                  <c:v>2012-09-27</c:v>
                </c:pt>
                <c:pt idx="1231">
                  <c:v>2012-09-28</c:v>
                </c:pt>
                <c:pt idx="1232">
                  <c:v>2012-10-01</c:v>
                </c:pt>
                <c:pt idx="1233">
                  <c:v>2012-10-02</c:v>
                </c:pt>
                <c:pt idx="1234">
                  <c:v>2012-10-03</c:v>
                </c:pt>
                <c:pt idx="1235">
                  <c:v>2012-10-04</c:v>
                </c:pt>
                <c:pt idx="1236">
                  <c:v>2012-10-05</c:v>
                </c:pt>
                <c:pt idx="1237">
                  <c:v>2012-10-08</c:v>
                </c:pt>
                <c:pt idx="1238">
                  <c:v>2012-10-09</c:v>
                </c:pt>
                <c:pt idx="1239">
                  <c:v>2012-10-10</c:v>
                </c:pt>
                <c:pt idx="1240">
                  <c:v>2012-10-11</c:v>
                </c:pt>
                <c:pt idx="1241">
                  <c:v>2012-10-12</c:v>
                </c:pt>
                <c:pt idx="1242">
                  <c:v>2012-10-15</c:v>
                </c:pt>
                <c:pt idx="1243">
                  <c:v>2012-10-16</c:v>
                </c:pt>
                <c:pt idx="1244">
                  <c:v>2012-10-17</c:v>
                </c:pt>
                <c:pt idx="1245">
                  <c:v>2012-10-18</c:v>
                </c:pt>
                <c:pt idx="1246">
                  <c:v>2012-10-19</c:v>
                </c:pt>
                <c:pt idx="1247">
                  <c:v>2012-10-22</c:v>
                </c:pt>
                <c:pt idx="1248">
                  <c:v>2012-10-23</c:v>
                </c:pt>
                <c:pt idx="1249">
                  <c:v>2012-10-24</c:v>
                </c:pt>
                <c:pt idx="1250">
                  <c:v>2012-10-25</c:v>
                </c:pt>
                <c:pt idx="1251">
                  <c:v>2012-10-26</c:v>
                </c:pt>
                <c:pt idx="1252">
                  <c:v>2012-10-29</c:v>
                </c:pt>
                <c:pt idx="1253">
                  <c:v>2012-10-30</c:v>
                </c:pt>
                <c:pt idx="1254">
                  <c:v>2012-10-31</c:v>
                </c:pt>
                <c:pt idx="1255">
                  <c:v>2012-11-01</c:v>
                </c:pt>
                <c:pt idx="1256">
                  <c:v>2012-11-02</c:v>
                </c:pt>
                <c:pt idx="1257">
                  <c:v>2012-11-05</c:v>
                </c:pt>
                <c:pt idx="1258">
                  <c:v>2012-11-06</c:v>
                </c:pt>
                <c:pt idx="1259">
                  <c:v>2012-11-07</c:v>
                </c:pt>
                <c:pt idx="1260">
                  <c:v>2012-11-08</c:v>
                </c:pt>
                <c:pt idx="1261">
                  <c:v>2012-11-09</c:v>
                </c:pt>
                <c:pt idx="1262">
                  <c:v>2012-11-12</c:v>
                </c:pt>
                <c:pt idx="1263">
                  <c:v>2012-11-13</c:v>
                </c:pt>
                <c:pt idx="1264">
                  <c:v>2012-11-14</c:v>
                </c:pt>
                <c:pt idx="1265">
                  <c:v>2012-11-15</c:v>
                </c:pt>
                <c:pt idx="1266">
                  <c:v>2012-11-16</c:v>
                </c:pt>
                <c:pt idx="1267">
                  <c:v>2012-11-19</c:v>
                </c:pt>
                <c:pt idx="1268">
                  <c:v>2012-11-20</c:v>
                </c:pt>
                <c:pt idx="1269">
                  <c:v>2012-11-21</c:v>
                </c:pt>
                <c:pt idx="1270">
                  <c:v>2012-11-22</c:v>
                </c:pt>
                <c:pt idx="1271">
                  <c:v>2012-11-23</c:v>
                </c:pt>
                <c:pt idx="1272">
                  <c:v>2012-11-26</c:v>
                </c:pt>
                <c:pt idx="1273">
                  <c:v>2012-11-27</c:v>
                </c:pt>
                <c:pt idx="1274">
                  <c:v>2012-11-28</c:v>
                </c:pt>
                <c:pt idx="1275">
                  <c:v>2012-11-29</c:v>
                </c:pt>
                <c:pt idx="1276">
                  <c:v>2012-11-30</c:v>
                </c:pt>
                <c:pt idx="1277">
                  <c:v>2012-12-03</c:v>
                </c:pt>
                <c:pt idx="1278">
                  <c:v>2012-12-04</c:v>
                </c:pt>
                <c:pt idx="1279">
                  <c:v>2012-12-05</c:v>
                </c:pt>
                <c:pt idx="1280">
                  <c:v>2012-12-06</c:v>
                </c:pt>
                <c:pt idx="1281">
                  <c:v>2012-12-07</c:v>
                </c:pt>
                <c:pt idx="1282">
                  <c:v>2012-12-10</c:v>
                </c:pt>
                <c:pt idx="1283">
                  <c:v>2012-12-11</c:v>
                </c:pt>
                <c:pt idx="1284">
                  <c:v>2012-12-12</c:v>
                </c:pt>
                <c:pt idx="1285">
                  <c:v>2012-12-13</c:v>
                </c:pt>
                <c:pt idx="1286">
                  <c:v>2012-12-14</c:v>
                </c:pt>
                <c:pt idx="1287">
                  <c:v>2012-12-17</c:v>
                </c:pt>
                <c:pt idx="1288">
                  <c:v>2012-12-18</c:v>
                </c:pt>
                <c:pt idx="1289">
                  <c:v>2012-12-19</c:v>
                </c:pt>
                <c:pt idx="1290">
                  <c:v>2012-12-20</c:v>
                </c:pt>
                <c:pt idx="1291">
                  <c:v>2012-12-21</c:v>
                </c:pt>
                <c:pt idx="1292">
                  <c:v>2012-12-24</c:v>
                </c:pt>
                <c:pt idx="1293">
                  <c:v>2012-12-26</c:v>
                </c:pt>
                <c:pt idx="1294">
                  <c:v>2012-12-27</c:v>
                </c:pt>
                <c:pt idx="1295">
                  <c:v>2012-12-28</c:v>
                </c:pt>
                <c:pt idx="1296">
                  <c:v>2012-12-31</c:v>
                </c:pt>
                <c:pt idx="1297">
                  <c:v>2013-01-02</c:v>
                </c:pt>
                <c:pt idx="1298">
                  <c:v>2013-01-03</c:v>
                </c:pt>
                <c:pt idx="1299">
                  <c:v>2013-01-04</c:v>
                </c:pt>
                <c:pt idx="1300">
                  <c:v>2013-01-07</c:v>
                </c:pt>
                <c:pt idx="1301">
                  <c:v>2013-01-08</c:v>
                </c:pt>
                <c:pt idx="1302">
                  <c:v>2013-01-09</c:v>
                </c:pt>
                <c:pt idx="1303">
                  <c:v>2013-01-10</c:v>
                </c:pt>
                <c:pt idx="1304">
                  <c:v>2013-01-11</c:v>
                </c:pt>
                <c:pt idx="1305">
                  <c:v>2013-01-14</c:v>
                </c:pt>
                <c:pt idx="1306">
                  <c:v>2013-01-15</c:v>
                </c:pt>
                <c:pt idx="1307">
                  <c:v>2013-01-16</c:v>
                </c:pt>
                <c:pt idx="1308">
                  <c:v>2013-01-17</c:v>
                </c:pt>
                <c:pt idx="1309">
                  <c:v>2013-01-18</c:v>
                </c:pt>
                <c:pt idx="1310">
                  <c:v>2013-01-21</c:v>
                </c:pt>
                <c:pt idx="1311">
                  <c:v>2013-01-22</c:v>
                </c:pt>
                <c:pt idx="1312">
                  <c:v>2013-01-23</c:v>
                </c:pt>
                <c:pt idx="1313">
                  <c:v>2013-01-24</c:v>
                </c:pt>
                <c:pt idx="1314">
                  <c:v>2013-01-25</c:v>
                </c:pt>
                <c:pt idx="1315">
                  <c:v>2013-01-28</c:v>
                </c:pt>
                <c:pt idx="1316">
                  <c:v>2013-01-29</c:v>
                </c:pt>
                <c:pt idx="1317">
                  <c:v>2013-01-30</c:v>
                </c:pt>
                <c:pt idx="1318">
                  <c:v>2013-01-31</c:v>
                </c:pt>
                <c:pt idx="1319">
                  <c:v>2013-02-01</c:v>
                </c:pt>
                <c:pt idx="1320">
                  <c:v>2013-02-04</c:v>
                </c:pt>
                <c:pt idx="1321">
                  <c:v>2013-02-05</c:v>
                </c:pt>
                <c:pt idx="1322">
                  <c:v>2013-02-06</c:v>
                </c:pt>
                <c:pt idx="1323">
                  <c:v>2013-02-07</c:v>
                </c:pt>
                <c:pt idx="1324">
                  <c:v>2013-02-08</c:v>
                </c:pt>
                <c:pt idx="1325">
                  <c:v>2013-02-11</c:v>
                </c:pt>
                <c:pt idx="1326">
                  <c:v>2013-02-12</c:v>
                </c:pt>
                <c:pt idx="1327">
                  <c:v>2013-02-13</c:v>
                </c:pt>
                <c:pt idx="1328">
                  <c:v>2013-02-14</c:v>
                </c:pt>
                <c:pt idx="1329">
                  <c:v>2013-02-15</c:v>
                </c:pt>
                <c:pt idx="1330">
                  <c:v>2013-02-18</c:v>
                </c:pt>
                <c:pt idx="1331">
                  <c:v>2013-02-19</c:v>
                </c:pt>
                <c:pt idx="1332">
                  <c:v>2013-02-20</c:v>
                </c:pt>
                <c:pt idx="1333">
                  <c:v>2013-02-21</c:v>
                </c:pt>
                <c:pt idx="1334">
                  <c:v>2013-02-22</c:v>
                </c:pt>
                <c:pt idx="1335">
                  <c:v>2013-02-25</c:v>
                </c:pt>
                <c:pt idx="1336">
                  <c:v>2013-02-26</c:v>
                </c:pt>
                <c:pt idx="1337">
                  <c:v>2013-02-27</c:v>
                </c:pt>
                <c:pt idx="1338">
                  <c:v>2013-02-28</c:v>
                </c:pt>
                <c:pt idx="1339">
                  <c:v>2013-03-01</c:v>
                </c:pt>
                <c:pt idx="1340">
                  <c:v>2013-03-04</c:v>
                </c:pt>
                <c:pt idx="1341">
                  <c:v>2013-03-05</c:v>
                </c:pt>
                <c:pt idx="1342">
                  <c:v>2013-03-06</c:v>
                </c:pt>
                <c:pt idx="1343">
                  <c:v>2013-03-07</c:v>
                </c:pt>
                <c:pt idx="1344">
                  <c:v>2013-03-08</c:v>
                </c:pt>
                <c:pt idx="1345">
                  <c:v>2013-03-11</c:v>
                </c:pt>
                <c:pt idx="1346">
                  <c:v>2013-03-12</c:v>
                </c:pt>
                <c:pt idx="1347">
                  <c:v>2013-03-13</c:v>
                </c:pt>
                <c:pt idx="1348">
                  <c:v>2013-03-14</c:v>
                </c:pt>
                <c:pt idx="1349">
                  <c:v>2013-03-15</c:v>
                </c:pt>
                <c:pt idx="1350">
                  <c:v>2013-03-18</c:v>
                </c:pt>
                <c:pt idx="1351">
                  <c:v>2013-03-19</c:v>
                </c:pt>
                <c:pt idx="1352">
                  <c:v>2013-03-20</c:v>
                </c:pt>
                <c:pt idx="1353">
                  <c:v>2013-03-21</c:v>
                </c:pt>
                <c:pt idx="1354">
                  <c:v>2013-03-22</c:v>
                </c:pt>
                <c:pt idx="1355">
                  <c:v>2013-03-25</c:v>
                </c:pt>
                <c:pt idx="1356">
                  <c:v>2013-03-26</c:v>
                </c:pt>
                <c:pt idx="1357">
                  <c:v>2013-03-27</c:v>
                </c:pt>
                <c:pt idx="1358">
                  <c:v>2013-03-28</c:v>
                </c:pt>
                <c:pt idx="1359">
                  <c:v>2013-03-29</c:v>
                </c:pt>
                <c:pt idx="1360">
                  <c:v>2013-04-01</c:v>
                </c:pt>
                <c:pt idx="1361">
                  <c:v>2013-04-02</c:v>
                </c:pt>
                <c:pt idx="1362">
                  <c:v>2013-04-03</c:v>
                </c:pt>
                <c:pt idx="1363">
                  <c:v>2013-04-04</c:v>
                </c:pt>
                <c:pt idx="1364">
                  <c:v>2013-04-05</c:v>
                </c:pt>
                <c:pt idx="1365">
                  <c:v>2013-04-08</c:v>
                </c:pt>
                <c:pt idx="1366">
                  <c:v>2013-04-09</c:v>
                </c:pt>
                <c:pt idx="1367">
                  <c:v>2013-04-10</c:v>
                </c:pt>
                <c:pt idx="1368">
                  <c:v>2013-04-11</c:v>
                </c:pt>
                <c:pt idx="1369">
                  <c:v>2013-04-12</c:v>
                </c:pt>
                <c:pt idx="1370">
                  <c:v>2013-04-15</c:v>
                </c:pt>
                <c:pt idx="1371">
                  <c:v>2013-04-16</c:v>
                </c:pt>
                <c:pt idx="1372">
                  <c:v>2013-04-17</c:v>
                </c:pt>
                <c:pt idx="1373">
                  <c:v>2013-04-18</c:v>
                </c:pt>
                <c:pt idx="1374">
                  <c:v>2013-04-19</c:v>
                </c:pt>
                <c:pt idx="1375">
                  <c:v>2013-04-22</c:v>
                </c:pt>
                <c:pt idx="1376">
                  <c:v>2013-04-23</c:v>
                </c:pt>
                <c:pt idx="1377">
                  <c:v>2013-04-24</c:v>
                </c:pt>
                <c:pt idx="1378">
                  <c:v>2013-04-25</c:v>
                </c:pt>
                <c:pt idx="1379">
                  <c:v>2013-04-26</c:v>
                </c:pt>
                <c:pt idx="1380">
                  <c:v>2013-04-29</c:v>
                </c:pt>
                <c:pt idx="1381">
                  <c:v>2013-04-30</c:v>
                </c:pt>
                <c:pt idx="1382">
                  <c:v>2013-05-01</c:v>
                </c:pt>
                <c:pt idx="1383">
                  <c:v>2013-05-02</c:v>
                </c:pt>
                <c:pt idx="1384">
                  <c:v>2013-05-03</c:v>
                </c:pt>
                <c:pt idx="1385">
                  <c:v>2013-05-06</c:v>
                </c:pt>
                <c:pt idx="1386">
                  <c:v>2013-05-07</c:v>
                </c:pt>
                <c:pt idx="1387">
                  <c:v>2013-05-08</c:v>
                </c:pt>
                <c:pt idx="1388">
                  <c:v>2013-05-09</c:v>
                </c:pt>
                <c:pt idx="1389">
                  <c:v>2013-05-10</c:v>
                </c:pt>
                <c:pt idx="1390">
                  <c:v>2013-05-13</c:v>
                </c:pt>
                <c:pt idx="1391">
                  <c:v>2013-05-14</c:v>
                </c:pt>
                <c:pt idx="1392">
                  <c:v>2013-05-15</c:v>
                </c:pt>
                <c:pt idx="1393">
                  <c:v>2013-05-16</c:v>
                </c:pt>
                <c:pt idx="1394">
                  <c:v>2013-05-17</c:v>
                </c:pt>
                <c:pt idx="1395">
                  <c:v>2013-05-20</c:v>
                </c:pt>
                <c:pt idx="1396">
                  <c:v>2013-05-21</c:v>
                </c:pt>
                <c:pt idx="1397">
                  <c:v>2013-05-22</c:v>
                </c:pt>
                <c:pt idx="1398">
                  <c:v>2013-05-23</c:v>
                </c:pt>
                <c:pt idx="1399">
                  <c:v>2013-05-24</c:v>
                </c:pt>
                <c:pt idx="1400">
                  <c:v>2013-05-27</c:v>
                </c:pt>
                <c:pt idx="1401">
                  <c:v>2013-05-28</c:v>
                </c:pt>
                <c:pt idx="1402">
                  <c:v>2013-05-29</c:v>
                </c:pt>
                <c:pt idx="1403">
                  <c:v>2013-05-30</c:v>
                </c:pt>
                <c:pt idx="1404">
                  <c:v>2013-05-31</c:v>
                </c:pt>
                <c:pt idx="1405">
                  <c:v>2013-06-03</c:v>
                </c:pt>
                <c:pt idx="1406">
                  <c:v>2013-06-04</c:v>
                </c:pt>
                <c:pt idx="1407">
                  <c:v>2013-06-05</c:v>
                </c:pt>
                <c:pt idx="1408">
                  <c:v>2013-06-06</c:v>
                </c:pt>
                <c:pt idx="1409">
                  <c:v>2013-06-07</c:v>
                </c:pt>
                <c:pt idx="1410">
                  <c:v>2013-06-10</c:v>
                </c:pt>
                <c:pt idx="1411">
                  <c:v>2013-06-11</c:v>
                </c:pt>
                <c:pt idx="1412">
                  <c:v>2013-06-12</c:v>
                </c:pt>
                <c:pt idx="1413">
                  <c:v>2013-06-13</c:v>
                </c:pt>
                <c:pt idx="1414">
                  <c:v>2013-06-14</c:v>
                </c:pt>
                <c:pt idx="1415">
                  <c:v>2013-06-17</c:v>
                </c:pt>
                <c:pt idx="1416">
                  <c:v>2013-06-18</c:v>
                </c:pt>
                <c:pt idx="1417">
                  <c:v>2013-06-19</c:v>
                </c:pt>
                <c:pt idx="1418">
                  <c:v>2013-06-20</c:v>
                </c:pt>
                <c:pt idx="1419">
                  <c:v>2013-06-21</c:v>
                </c:pt>
                <c:pt idx="1420">
                  <c:v>2013-06-24</c:v>
                </c:pt>
                <c:pt idx="1421">
                  <c:v>2013-06-25</c:v>
                </c:pt>
                <c:pt idx="1422">
                  <c:v>2013-06-26</c:v>
                </c:pt>
                <c:pt idx="1423">
                  <c:v>2013-06-27</c:v>
                </c:pt>
                <c:pt idx="1424">
                  <c:v>2013-06-28</c:v>
                </c:pt>
                <c:pt idx="1425">
                  <c:v>2013-07-01</c:v>
                </c:pt>
                <c:pt idx="1426">
                  <c:v>2013-07-02</c:v>
                </c:pt>
                <c:pt idx="1427">
                  <c:v>2013-07-03</c:v>
                </c:pt>
                <c:pt idx="1428">
                  <c:v>2013-07-04</c:v>
                </c:pt>
                <c:pt idx="1429">
                  <c:v>2013-07-05</c:v>
                </c:pt>
                <c:pt idx="1430">
                  <c:v>2013-07-08</c:v>
                </c:pt>
                <c:pt idx="1431">
                  <c:v>2013-07-09</c:v>
                </c:pt>
                <c:pt idx="1432">
                  <c:v>2013-07-10</c:v>
                </c:pt>
                <c:pt idx="1433">
                  <c:v>2013-07-11</c:v>
                </c:pt>
                <c:pt idx="1434">
                  <c:v>2013-07-12</c:v>
                </c:pt>
                <c:pt idx="1435">
                  <c:v>2013-07-15</c:v>
                </c:pt>
                <c:pt idx="1436">
                  <c:v>2013-07-16</c:v>
                </c:pt>
                <c:pt idx="1437">
                  <c:v>2013-07-17</c:v>
                </c:pt>
                <c:pt idx="1438">
                  <c:v>2013-07-18</c:v>
                </c:pt>
                <c:pt idx="1439">
                  <c:v>2013-07-19</c:v>
                </c:pt>
                <c:pt idx="1440">
                  <c:v>2013-07-22</c:v>
                </c:pt>
                <c:pt idx="1441">
                  <c:v>2013-07-23</c:v>
                </c:pt>
                <c:pt idx="1442">
                  <c:v>2013-07-24</c:v>
                </c:pt>
                <c:pt idx="1443">
                  <c:v>2013-07-25</c:v>
                </c:pt>
                <c:pt idx="1444">
                  <c:v>2013-07-26</c:v>
                </c:pt>
                <c:pt idx="1445">
                  <c:v>2013-07-29</c:v>
                </c:pt>
                <c:pt idx="1446">
                  <c:v>2013-07-30</c:v>
                </c:pt>
                <c:pt idx="1447">
                  <c:v>2013-07-31</c:v>
                </c:pt>
                <c:pt idx="1448">
                  <c:v>2013-08-01</c:v>
                </c:pt>
                <c:pt idx="1449">
                  <c:v>2013-08-02</c:v>
                </c:pt>
                <c:pt idx="1450">
                  <c:v>2013-08-05</c:v>
                </c:pt>
                <c:pt idx="1451">
                  <c:v>2013-08-06</c:v>
                </c:pt>
                <c:pt idx="1452">
                  <c:v>2013-08-07</c:v>
                </c:pt>
                <c:pt idx="1453">
                  <c:v>2013-08-08</c:v>
                </c:pt>
                <c:pt idx="1454">
                  <c:v>2013-08-09</c:v>
                </c:pt>
                <c:pt idx="1455">
                  <c:v>2013-08-12</c:v>
                </c:pt>
                <c:pt idx="1456">
                  <c:v>2013-08-13</c:v>
                </c:pt>
                <c:pt idx="1457">
                  <c:v>2013-08-14</c:v>
                </c:pt>
                <c:pt idx="1458">
                  <c:v>2013-08-15</c:v>
                </c:pt>
                <c:pt idx="1459">
                  <c:v>2013-08-16</c:v>
                </c:pt>
                <c:pt idx="1460">
                  <c:v>2013-08-19</c:v>
                </c:pt>
                <c:pt idx="1461">
                  <c:v>2013-08-20</c:v>
                </c:pt>
                <c:pt idx="1462">
                  <c:v>2013-08-21</c:v>
                </c:pt>
                <c:pt idx="1463">
                  <c:v>2013-08-22</c:v>
                </c:pt>
                <c:pt idx="1464">
                  <c:v>2013-08-23</c:v>
                </c:pt>
                <c:pt idx="1465">
                  <c:v>2013-08-26</c:v>
                </c:pt>
                <c:pt idx="1466">
                  <c:v>2013-08-27</c:v>
                </c:pt>
                <c:pt idx="1467">
                  <c:v>2013-08-28</c:v>
                </c:pt>
                <c:pt idx="1468">
                  <c:v>2013-08-29</c:v>
                </c:pt>
                <c:pt idx="1469">
                  <c:v>2013-08-30</c:v>
                </c:pt>
                <c:pt idx="1470">
                  <c:v>2013-09-02</c:v>
                </c:pt>
                <c:pt idx="1471">
                  <c:v>2013-09-03</c:v>
                </c:pt>
                <c:pt idx="1472">
                  <c:v>2013-09-04</c:v>
                </c:pt>
                <c:pt idx="1473">
                  <c:v>2013-09-05</c:v>
                </c:pt>
                <c:pt idx="1474">
                  <c:v>2013-09-06</c:v>
                </c:pt>
                <c:pt idx="1475">
                  <c:v>2013-09-09</c:v>
                </c:pt>
                <c:pt idx="1476">
                  <c:v>2013-09-10</c:v>
                </c:pt>
                <c:pt idx="1477">
                  <c:v>2013-09-11</c:v>
                </c:pt>
                <c:pt idx="1478">
                  <c:v>2013-09-12</c:v>
                </c:pt>
                <c:pt idx="1479">
                  <c:v>2013-09-13</c:v>
                </c:pt>
                <c:pt idx="1480">
                  <c:v>2013-09-16</c:v>
                </c:pt>
                <c:pt idx="1481">
                  <c:v>2013-09-17</c:v>
                </c:pt>
                <c:pt idx="1482">
                  <c:v>2013-09-18</c:v>
                </c:pt>
                <c:pt idx="1483">
                  <c:v>2013-09-19</c:v>
                </c:pt>
                <c:pt idx="1484">
                  <c:v>2013-09-20</c:v>
                </c:pt>
                <c:pt idx="1485">
                  <c:v>2013-09-23</c:v>
                </c:pt>
                <c:pt idx="1486">
                  <c:v>2013-09-24</c:v>
                </c:pt>
                <c:pt idx="1487">
                  <c:v>2013-09-25</c:v>
                </c:pt>
                <c:pt idx="1488">
                  <c:v>2013-09-26</c:v>
                </c:pt>
                <c:pt idx="1489">
                  <c:v>2013-09-27</c:v>
                </c:pt>
                <c:pt idx="1490">
                  <c:v>2013-09-30</c:v>
                </c:pt>
                <c:pt idx="1491">
                  <c:v>2013-10-01</c:v>
                </c:pt>
                <c:pt idx="1492">
                  <c:v>2013-10-02</c:v>
                </c:pt>
                <c:pt idx="1493">
                  <c:v>2013-10-03</c:v>
                </c:pt>
                <c:pt idx="1494">
                  <c:v>2013-10-04</c:v>
                </c:pt>
                <c:pt idx="1495">
                  <c:v>2013-10-07</c:v>
                </c:pt>
                <c:pt idx="1496">
                  <c:v>2013-10-08</c:v>
                </c:pt>
                <c:pt idx="1497">
                  <c:v>2013-10-09</c:v>
                </c:pt>
                <c:pt idx="1498">
                  <c:v>2013-10-10</c:v>
                </c:pt>
                <c:pt idx="1499">
                  <c:v>2013-10-11</c:v>
                </c:pt>
                <c:pt idx="1500">
                  <c:v>2013-10-14</c:v>
                </c:pt>
                <c:pt idx="1501">
                  <c:v>2013-10-15</c:v>
                </c:pt>
                <c:pt idx="1502">
                  <c:v>2013-10-16</c:v>
                </c:pt>
                <c:pt idx="1503">
                  <c:v>2013-10-17</c:v>
                </c:pt>
                <c:pt idx="1504">
                  <c:v>2013-10-18</c:v>
                </c:pt>
                <c:pt idx="1505">
                  <c:v>2013-10-21</c:v>
                </c:pt>
                <c:pt idx="1506">
                  <c:v>2013-10-22</c:v>
                </c:pt>
                <c:pt idx="1507">
                  <c:v>2013-10-23</c:v>
                </c:pt>
                <c:pt idx="1508">
                  <c:v>2013-10-24</c:v>
                </c:pt>
                <c:pt idx="1509">
                  <c:v>2013-10-25</c:v>
                </c:pt>
                <c:pt idx="1510">
                  <c:v>2013-10-28</c:v>
                </c:pt>
                <c:pt idx="1511">
                  <c:v>2013-10-29</c:v>
                </c:pt>
                <c:pt idx="1512">
                  <c:v>2013-10-30</c:v>
                </c:pt>
                <c:pt idx="1513">
                  <c:v>2013-10-31</c:v>
                </c:pt>
                <c:pt idx="1514">
                  <c:v>2013-11-01</c:v>
                </c:pt>
                <c:pt idx="1515">
                  <c:v>2013-11-04</c:v>
                </c:pt>
                <c:pt idx="1516">
                  <c:v>2013-11-05</c:v>
                </c:pt>
                <c:pt idx="1517">
                  <c:v>2013-11-06</c:v>
                </c:pt>
                <c:pt idx="1518">
                  <c:v>2013-11-07</c:v>
                </c:pt>
                <c:pt idx="1519">
                  <c:v>2013-11-08</c:v>
                </c:pt>
                <c:pt idx="1520">
                  <c:v>2013-11-11</c:v>
                </c:pt>
                <c:pt idx="1521">
                  <c:v>2013-11-12</c:v>
                </c:pt>
                <c:pt idx="1522">
                  <c:v>2013-11-13</c:v>
                </c:pt>
                <c:pt idx="1523">
                  <c:v>2013-11-14</c:v>
                </c:pt>
                <c:pt idx="1524">
                  <c:v>2013-11-15</c:v>
                </c:pt>
                <c:pt idx="1525">
                  <c:v>2013-11-18</c:v>
                </c:pt>
                <c:pt idx="1526">
                  <c:v>2013-11-19</c:v>
                </c:pt>
                <c:pt idx="1527">
                  <c:v>2013-11-20</c:v>
                </c:pt>
                <c:pt idx="1528">
                  <c:v>2013-11-21</c:v>
                </c:pt>
                <c:pt idx="1529">
                  <c:v>2013-11-22</c:v>
                </c:pt>
                <c:pt idx="1530">
                  <c:v>2013-11-25</c:v>
                </c:pt>
                <c:pt idx="1531">
                  <c:v>2013-11-26</c:v>
                </c:pt>
                <c:pt idx="1532">
                  <c:v>2013-11-27</c:v>
                </c:pt>
                <c:pt idx="1533">
                  <c:v>2013-11-28</c:v>
                </c:pt>
                <c:pt idx="1534">
                  <c:v>2013-11-29</c:v>
                </c:pt>
                <c:pt idx="1535">
                  <c:v>2013-12-02</c:v>
                </c:pt>
                <c:pt idx="1536">
                  <c:v>2013-12-03</c:v>
                </c:pt>
                <c:pt idx="1537">
                  <c:v>2013-12-04</c:v>
                </c:pt>
                <c:pt idx="1538">
                  <c:v>2013-12-05</c:v>
                </c:pt>
                <c:pt idx="1539">
                  <c:v>2013-12-06</c:v>
                </c:pt>
                <c:pt idx="1540">
                  <c:v>2013-12-09</c:v>
                </c:pt>
                <c:pt idx="1541">
                  <c:v>2013-12-10</c:v>
                </c:pt>
                <c:pt idx="1542">
                  <c:v>2013-12-11</c:v>
                </c:pt>
                <c:pt idx="1543">
                  <c:v>2013-12-12</c:v>
                </c:pt>
                <c:pt idx="1544">
                  <c:v>2013-12-13</c:v>
                </c:pt>
                <c:pt idx="1545">
                  <c:v>2013-12-16</c:v>
                </c:pt>
                <c:pt idx="1546">
                  <c:v>2013-12-17</c:v>
                </c:pt>
                <c:pt idx="1547">
                  <c:v>2013-12-18</c:v>
                </c:pt>
                <c:pt idx="1548">
                  <c:v>2013-12-19</c:v>
                </c:pt>
                <c:pt idx="1549">
                  <c:v>2013-12-20</c:v>
                </c:pt>
                <c:pt idx="1550">
                  <c:v>2013-12-23</c:v>
                </c:pt>
                <c:pt idx="1551">
                  <c:v>2013-12-24</c:v>
                </c:pt>
                <c:pt idx="1552">
                  <c:v>2013-12-26</c:v>
                </c:pt>
                <c:pt idx="1553">
                  <c:v>2013-12-27</c:v>
                </c:pt>
                <c:pt idx="1554">
                  <c:v>2013-12-30</c:v>
                </c:pt>
                <c:pt idx="1555">
                  <c:v>2013-12-31</c:v>
                </c:pt>
                <c:pt idx="1556">
                  <c:v>2014-01-02</c:v>
                </c:pt>
                <c:pt idx="1557">
                  <c:v>2014-01-03</c:v>
                </c:pt>
                <c:pt idx="1558">
                  <c:v>2014-01-06</c:v>
                </c:pt>
                <c:pt idx="1559">
                  <c:v>2014-01-07</c:v>
                </c:pt>
                <c:pt idx="1560">
                  <c:v>2014-01-08</c:v>
                </c:pt>
                <c:pt idx="1561">
                  <c:v>2014-01-09</c:v>
                </c:pt>
                <c:pt idx="1562">
                  <c:v>2014-01-10</c:v>
                </c:pt>
                <c:pt idx="1563">
                  <c:v>2014-01-13</c:v>
                </c:pt>
                <c:pt idx="1564">
                  <c:v>2014-01-14</c:v>
                </c:pt>
                <c:pt idx="1565">
                  <c:v>2014-01-15</c:v>
                </c:pt>
                <c:pt idx="1566">
                  <c:v>2014-01-16</c:v>
                </c:pt>
                <c:pt idx="1567">
                  <c:v>2014-01-17</c:v>
                </c:pt>
                <c:pt idx="1568">
                  <c:v>2014-01-20</c:v>
                </c:pt>
                <c:pt idx="1569">
                  <c:v>2014-01-21</c:v>
                </c:pt>
                <c:pt idx="1570">
                  <c:v>2014-01-22</c:v>
                </c:pt>
                <c:pt idx="1571">
                  <c:v>2014-01-23</c:v>
                </c:pt>
                <c:pt idx="1572">
                  <c:v>2014-01-24</c:v>
                </c:pt>
                <c:pt idx="1573">
                  <c:v>2014-01-27</c:v>
                </c:pt>
                <c:pt idx="1574">
                  <c:v>2014-01-28</c:v>
                </c:pt>
                <c:pt idx="1575">
                  <c:v>2014-01-29</c:v>
                </c:pt>
                <c:pt idx="1576">
                  <c:v>2014-01-30</c:v>
                </c:pt>
                <c:pt idx="1577">
                  <c:v>2014-01-31</c:v>
                </c:pt>
                <c:pt idx="1578">
                  <c:v>2014-02-03</c:v>
                </c:pt>
                <c:pt idx="1579">
                  <c:v>2014-02-04</c:v>
                </c:pt>
                <c:pt idx="1580">
                  <c:v>2014-02-05</c:v>
                </c:pt>
                <c:pt idx="1581">
                  <c:v>2014-02-06</c:v>
                </c:pt>
                <c:pt idx="1582">
                  <c:v>2014-02-07</c:v>
                </c:pt>
                <c:pt idx="1583">
                  <c:v>2014-02-10</c:v>
                </c:pt>
                <c:pt idx="1584">
                  <c:v>2014-02-11</c:v>
                </c:pt>
                <c:pt idx="1585">
                  <c:v>2014-02-12</c:v>
                </c:pt>
                <c:pt idx="1586">
                  <c:v>2014-02-13</c:v>
                </c:pt>
                <c:pt idx="1587">
                  <c:v>2014-02-14</c:v>
                </c:pt>
                <c:pt idx="1588">
                  <c:v>2014-02-17</c:v>
                </c:pt>
                <c:pt idx="1589">
                  <c:v>2014-02-18</c:v>
                </c:pt>
                <c:pt idx="1590">
                  <c:v>2014-02-19</c:v>
                </c:pt>
                <c:pt idx="1591">
                  <c:v>2014-02-20</c:v>
                </c:pt>
                <c:pt idx="1592">
                  <c:v>2014-02-21</c:v>
                </c:pt>
                <c:pt idx="1593">
                  <c:v>2014-02-24</c:v>
                </c:pt>
                <c:pt idx="1594">
                  <c:v>2014-02-25</c:v>
                </c:pt>
                <c:pt idx="1595">
                  <c:v>2014-02-26</c:v>
                </c:pt>
                <c:pt idx="1596">
                  <c:v>2014-02-27</c:v>
                </c:pt>
                <c:pt idx="1597">
                  <c:v>2014-02-28</c:v>
                </c:pt>
                <c:pt idx="1598">
                  <c:v>2014-03-03</c:v>
                </c:pt>
                <c:pt idx="1599">
                  <c:v>2014-03-04</c:v>
                </c:pt>
                <c:pt idx="1600">
                  <c:v>2014-03-05</c:v>
                </c:pt>
                <c:pt idx="1601">
                  <c:v>2014-03-06</c:v>
                </c:pt>
                <c:pt idx="1602">
                  <c:v>2014-03-07</c:v>
                </c:pt>
                <c:pt idx="1603">
                  <c:v>2014-03-10</c:v>
                </c:pt>
                <c:pt idx="1604">
                  <c:v>2014-03-11</c:v>
                </c:pt>
                <c:pt idx="1605">
                  <c:v>2014-03-12</c:v>
                </c:pt>
                <c:pt idx="1606">
                  <c:v>2014-03-13</c:v>
                </c:pt>
                <c:pt idx="1607">
                  <c:v>2014-03-14</c:v>
                </c:pt>
                <c:pt idx="1608">
                  <c:v>2014-03-17</c:v>
                </c:pt>
                <c:pt idx="1609">
                  <c:v>2014-03-18</c:v>
                </c:pt>
                <c:pt idx="1610">
                  <c:v>2014-03-19</c:v>
                </c:pt>
                <c:pt idx="1611">
                  <c:v>2014-03-20</c:v>
                </c:pt>
                <c:pt idx="1612">
                  <c:v>2014-03-21</c:v>
                </c:pt>
                <c:pt idx="1613">
                  <c:v>2014-03-24</c:v>
                </c:pt>
                <c:pt idx="1614">
                  <c:v>2014-03-25</c:v>
                </c:pt>
                <c:pt idx="1615">
                  <c:v>2014-03-26</c:v>
                </c:pt>
                <c:pt idx="1616">
                  <c:v>2014-03-27</c:v>
                </c:pt>
                <c:pt idx="1617">
                  <c:v>2014-03-28</c:v>
                </c:pt>
                <c:pt idx="1618">
                  <c:v>2014-03-31</c:v>
                </c:pt>
                <c:pt idx="1619">
                  <c:v>2014-04-01</c:v>
                </c:pt>
                <c:pt idx="1620">
                  <c:v>2014-04-02</c:v>
                </c:pt>
                <c:pt idx="1621">
                  <c:v>2014-04-03</c:v>
                </c:pt>
                <c:pt idx="1622">
                  <c:v>2014-04-04</c:v>
                </c:pt>
                <c:pt idx="1623">
                  <c:v>2014-04-07</c:v>
                </c:pt>
                <c:pt idx="1624">
                  <c:v>2014-04-08</c:v>
                </c:pt>
                <c:pt idx="1625">
                  <c:v>2014-04-09</c:v>
                </c:pt>
                <c:pt idx="1626">
                  <c:v>2014-04-10</c:v>
                </c:pt>
                <c:pt idx="1627">
                  <c:v>2014-04-11</c:v>
                </c:pt>
                <c:pt idx="1628">
                  <c:v>2014-04-14</c:v>
                </c:pt>
                <c:pt idx="1629">
                  <c:v>2014-04-15</c:v>
                </c:pt>
                <c:pt idx="1630">
                  <c:v>2014-04-16</c:v>
                </c:pt>
                <c:pt idx="1631">
                  <c:v>2014-04-17</c:v>
                </c:pt>
                <c:pt idx="1632">
                  <c:v>2014-04-18</c:v>
                </c:pt>
                <c:pt idx="1633">
                  <c:v>2014-04-21</c:v>
                </c:pt>
                <c:pt idx="1634">
                  <c:v>2014-04-22</c:v>
                </c:pt>
                <c:pt idx="1635">
                  <c:v>2014-04-23</c:v>
                </c:pt>
                <c:pt idx="1636">
                  <c:v>2014-04-24</c:v>
                </c:pt>
                <c:pt idx="1637">
                  <c:v>2014-04-25</c:v>
                </c:pt>
                <c:pt idx="1638">
                  <c:v>2014-04-28</c:v>
                </c:pt>
                <c:pt idx="1639">
                  <c:v>2014-04-29</c:v>
                </c:pt>
                <c:pt idx="1640">
                  <c:v>2014-04-30</c:v>
                </c:pt>
                <c:pt idx="1641">
                  <c:v>2014-05-01</c:v>
                </c:pt>
                <c:pt idx="1642">
                  <c:v>2014-05-02</c:v>
                </c:pt>
                <c:pt idx="1643">
                  <c:v>2014-05-05</c:v>
                </c:pt>
                <c:pt idx="1644">
                  <c:v>2014-05-06</c:v>
                </c:pt>
                <c:pt idx="1645">
                  <c:v>2014-05-07</c:v>
                </c:pt>
                <c:pt idx="1646">
                  <c:v>2014-05-08</c:v>
                </c:pt>
                <c:pt idx="1647">
                  <c:v>2014-05-09</c:v>
                </c:pt>
                <c:pt idx="1648">
                  <c:v>2014-05-12</c:v>
                </c:pt>
                <c:pt idx="1649">
                  <c:v>2014-05-13</c:v>
                </c:pt>
                <c:pt idx="1650">
                  <c:v>2014-05-14</c:v>
                </c:pt>
                <c:pt idx="1651">
                  <c:v>2014-05-15</c:v>
                </c:pt>
                <c:pt idx="1652">
                  <c:v>2014-05-16</c:v>
                </c:pt>
                <c:pt idx="1653">
                  <c:v>2014-05-19</c:v>
                </c:pt>
                <c:pt idx="1654">
                  <c:v>2014-05-20</c:v>
                </c:pt>
                <c:pt idx="1655">
                  <c:v>2014-05-21</c:v>
                </c:pt>
                <c:pt idx="1656">
                  <c:v>2014-05-22</c:v>
                </c:pt>
                <c:pt idx="1657">
                  <c:v>2014-05-23</c:v>
                </c:pt>
                <c:pt idx="1658">
                  <c:v>2014-05-26</c:v>
                </c:pt>
                <c:pt idx="1659">
                  <c:v>2014-05-27</c:v>
                </c:pt>
                <c:pt idx="1660">
                  <c:v>2014-05-28</c:v>
                </c:pt>
                <c:pt idx="1661">
                  <c:v>2014-05-29</c:v>
                </c:pt>
                <c:pt idx="1662">
                  <c:v>2014-05-30</c:v>
                </c:pt>
                <c:pt idx="1663">
                  <c:v>2014-06-02</c:v>
                </c:pt>
                <c:pt idx="1664">
                  <c:v>2014-06-03</c:v>
                </c:pt>
                <c:pt idx="1665">
                  <c:v>2014-06-04</c:v>
                </c:pt>
                <c:pt idx="1666">
                  <c:v>2014-06-05</c:v>
                </c:pt>
                <c:pt idx="1667">
                  <c:v>2014-06-06</c:v>
                </c:pt>
                <c:pt idx="1668">
                  <c:v>2014-06-09</c:v>
                </c:pt>
                <c:pt idx="1669">
                  <c:v>2014-06-10</c:v>
                </c:pt>
                <c:pt idx="1670">
                  <c:v>2014-06-11</c:v>
                </c:pt>
                <c:pt idx="1671">
                  <c:v>2014-06-12</c:v>
                </c:pt>
                <c:pt idx="1672">
                  <c:v>2014-06-13</c:v>
                </c:pt>
                <c:pt idx="1673">
                  <c:v>2014-06-16</c:v>
                </c:pt>
                <c:pt idx="1674">
                  <c:v>2014-06-17</c:v>
                </c:pt>
                <c:pt idx="1675">
                  <c:v>2014-06-18</c:v>
                </c:pt>
                <c:pt idx="1676">
                  <c:v>2014-06-19</c:v>
                </c:pt>
                <c:pt idx="1677">
                  <c:v>2014-06-20</c:v>
                </c:pt>
                <c:pt idx="1678">
                  <c:v>2014-06-23</c:v>
                </c:pt>
                <c:pt idx="1679">
                  <c:v>2014-06-24</c:v>
                </c:pt>
                <c:pt idx="1680">
                  <c:v>2014-06-25</c:v>
                </c:pt>
                <c:pt idx="1681">
                  <c:v>2014-06-26</c:v>
                </c:pt>
                <c:pt idx="1682">
                  <c:v>2014-06-27</c:v>
                </c:pt>
                <c:pt idx="1683">
                  <c:v>2014-06-30</c:v>
                </c:pt>
                <c:pt idx="1684">
                  <c:v>2014-07-01</c:v>
                </c:pt>
                <c:pt idx="1685">
                  <c:v>2014-07-02</c:v>
                </c:pt>
                <c:pt idx="1686">
                  <c:v>2014-07-03</c:v>
                </c:pt>
                <c:pt idx="1687">
                  <c:v>2014-07-04</c:v>
                </c:pt>
                <c:pt idx="1688">
                  <c:v>2014-07-07</c:v>
                </c:pt>
                <c:pt idx="1689">
                  <c:v>2014-07-08</c:v>
                </c:pt>
                <c:pt idx="1690">
                  <c:v>2014-07-09</c:v>
                </c:pt>
                <c:pt idx="1691">
                  <c:v>2014-07-10</c:v>
                </c:pt>
                <c:pt idx="1692">
                  <c:v>2014-07-11</c:v>
                </c:pt>
                <c:pt idx="1693">
                  <c:v>2014-07-14</c:v>
                </c:pt>
                <c:pt idx="1694">
                  <c:v>2014-07-15</c:v>
                </c:pt>
                <c:pt idx="1695">
                  <c:v>2014-07-16</c:v>
                </c:pt>
                <c:pt idx="1696">
                  <c:v>2014-07-17</c:v>
                </c:pt>
                <c:pt idx="1697">
                  <c:v>2014-07-18</c:v>
                </c:pt>
                <c:pt idx="1698">
                  <c:v>2014-07-21</c:v>
                </c:pt>
                <c:pt idx="1699">
                  <c:v>2014-07-22</c:v>
                </c:pt>
                <c:pt idx="1700">
                  <c:v>2014-07-23</c:v>
                </c:pt>
                <c:pt idx="1701">
                  <c:v>2014-07-24</c:v>
                </c:pt>
                <c:pt idx="1702">
                  <c:v>2014-07-25</c:v>
                </c:pt>
                <c:pt idx="1703">
                  <c:v>2014-07-28</c:v>
                </c:pt>
                <c:pt idx="1704">
                  <c:v>2014-07-29</c:v>
                </c:pt>
                <c:pt idx="1705">
                  <c:v>2014-07-30</c:v>
                </c:pt>
                <c:pt idx="1706">
                  <c:v>2014-07-31</c:v>
                </c:pt>
                <c:pt idx="1707">
                  <c:v>2014-08-01</c:v>
                </c:pt>
                <c:pt idx="1708">
                  <c:v>2014-08-04</c:v>
                </c:pt>
                <c:pt idx="1709">
                  <c:v>2014-08-05</c:v>
                </c:pt>
                <c:pt idx="1710">
                  <c:v>2014-08-06</c:v>
                </c:pt>
                <c:pt idx="1711">
                  <c:v>2014-08-07</c:v>
                </c:pt>
                <c:pt idx="1712">
                  <c:v>2014-08-08</c:v>
                </c:pt>
                <c:pt idx="1713">
                  <c:v>2014-08-11</c:v>
                </c:pt>
                <c:pt idx="1714">
                  <c:v>2014-08-12</c:v>
                </c:pt>
                <c:pt idx="1715">
                  <c:v>2014-08-13</c:v>
                </c:pt>
                <c:pt idx="1716">
                  <c:v>2014-08-14</c:v>
                </c:pt>
                <c:pt idx="1717">
                  <c:v>2014-08-15</c:v>
                </c:pt>
                <c:pt idx="1718">
                  <c:v>2014-08-18</c:v>
                </c:pt>
                <c:pt idx="1719">
                  <c:v>2014-08-19</c:v>
                </c:pt>
                <c:pt idx="1720">
                  <c:v>2014-08-20</c:v>
                </c:pt>
                <c:pt idx="1721">
                  <c:v>2014-08-21</c:v>
                </c:pt>
                <c:pt idx="1722">
                  <c:v>2014-08-22</c:v>
                </c:pt>
                <c:pt idx="1723">
                  <c:v>2014-08-25</c:v>
                </c:pt>
                <c:pt idx="1724">
                  <c:v>2014-08-26</c:v>
                </c:pt>
                <c:pt idx="1725">
                  <c:v>2014-08-27</c:v>
                </c:pt>
                <c:pt idx="1726">
                  <c:v>2014-08-28</c:v>
                </c:pt>
                <c:pt idx="1727">
                  <c:v>2014-08-29</c:v>
                </c:pt>
                <c:pt idx="1728">
                  <c:v>2014-09-01</c:v>
                </c:pt>
                <c:pt idx="1729">
                  <c:v>2014-09-02</c:v>
                </c:pt>
                <c:pt idx="1730">
                  <c:v>2014-09-03</c:v>
                </c:pt>
                <c:pt idx="1731">
                  <c:v>2014-09-04</c:v>
                </c:pt>
                <c:pt idx="1732">
                  <c:v>2014-09-05</c:v>
                </c:pt>
                <c:pt idx="1733">
                  <c:v>2014-09-08</c:v>
                </c:pt>
                <c:pt idx="1734">
                  <c:v>2014-09-09</c:v>
                </c:pt>
                <c:pt idx="1735">
                  <c:v>2014-09-10</c:v>
                </c:pt>
                <c:pt idx="1736">
                  <c:v>2014-09-11</c:v>
                </c:pt>
                <c:pt idx="1737">
                  <c:v>2014-09-12</c:v>
                </c:pt>
                <c:pt idx="1738">
                  <c:v>2014-09-15</c:v>
                </c:pt>
                <c:pt idx="1739">
                  <c:v>2014-09-16</c:v>
                </c:pt>
                <c:pt idx="1740">
                  <c:v>2014-09-17</c:v>
                </c:pt>
                <c:pt idx="1741">
                  <c:v>2014-09-18</c:v>
                </c:pt>
                <c:pt idx="1742">
                  <c:v>2014-09-19</c:v>
                </c:pt>
                <c:pt idx="1743">
                  <c:v>2014-09-22</c:v>
                </c:pt>
                <c:pt idx="1744">
                  <c:v>2014-09-23</c:v>
                </c:pt>
                <c:pt idx="1745">
                  <c:v>2014-09-24</c:v>
                </c:pt>
                <c:pt idx="1746">
                  <c:v>2014-09-25</c:v>
                </c:pt>
                <c:pt idx="1747">
                  <c:v>2014-09-26</c:v>
                </c:pt>
                <c:pt idx="1748">
                  <c:v>2014-09-29</c:v>
                </c:pt>
                <c:pt idx="1749">
                  <c:v>2014-09-30</c:v>
                </c:pt>
                <c:pt idx="1750">
                  <c:v>2014-10-01</c:v>
                </c:pt>
                <c:pt idx="1751">
                  <c:v>2014-10-02</c:v>
                </c:pt>
                <c:pt idx="1752">
                  <c:v>2014-10-03</c:v>
                </c:pt>
                <c:pt idx="1753">
                  <c:v>2014-10-06</c:v>
                </c:pt>
                <c:pt idx="1754">
                  <c:v>2014-10-07</c:v>
                </c:pt>
                <c:pt idx="1755">
                  <c:v>2014-10-08</c:v>
                </c:pt>
                <c:pt idx="1756">
                  <c:v>2014-10-09</c:v>
                </c:pt>
                <c:pt idx="1757">
                  <c:v>2014-10-10</c:v>
                </c:pt>
                <c:pt idx="1758">
                  <c:v>2014-10-13</c:v>
                </c:pt>
                <c:pt idx="1759">
                  <c:v>2014-10-14</c:v>
                </c:pt>
                <c:pt idx="1760">
                  <c:v>2014-10-15</c:v>
                </c:pt>
                <c:pt idx="1761">
                  <c:v>2014-10-16</c:v>
                </c:pt>
                <c:pt idx="1762">
                  <c:v>2014-10-17</c:v>
                </c:pt>
                <c:pt idx="1763">
                  <c:v>2014-10-20</c:v>
                </c:pt>
                <c:pt idx="1764">
                  <c:v>2014-10-21</c:v>
                </c:pt>
                <c:pt idx="1765">
                  <c:v>2014-10-22</c:v>
                </c:pt>
                <c:pt idx="1766">
                  <c:v>2014-10-23</c:v>
                </c:pt>
                <c:pt idx="1767">
                  <c:v>2014-10-24</c:v>
                </c:pt>
                <c:pt idx="1768">
                  <c:v>2014-10-27</c:v>
                </c:pt>
                <c:pt idx="1769">
                  <c:v>2014-10-28</c:v>
                </c:pt>
                <c:pt idx="1770">
                  <c:v>2014-10-29</c:v>
                </c:pt>
                <c:pt idx="1771">
                  <c:v>2014-10-30</c:v>
                </c:pt>
                <c:pt idx="1772">
                  <c:v>2014-10-31</c:v>
                </c:pt>
                <c:pt idx="1773">
                  <c:v>2014-11-03</c:v>
                </c:pt>
                <c:pt idx="1774">
                  <c:v>2014-11-04</c:v>
                </c:pt>
                <c:pt idx="1775">
                  <c:v>2014-11-05</c:v>
                </c:pt>
                <c:pt idx="1776">
                  <c:v>2014-11-06</c:v>
                </c:pt>
                <c:pt idx="1777">
                  <c:v>2014-11-07</c:v>
                </c:pt>
                <c:pt idx="1778">
                  <c:v>2014-11-10</c:v>
                </c:pt>
                <c:pt idx="1779">
                  <c:v>2014-11-11</c:v>
                </c:pt>
                <c:pt idx="1780">
                  <c:v>2014-11-12</c:v>
                </c:pt>
                <c:pt idx="1781">
                  <c:v>2014-11-13</c:v>
                </c:pt>
                <c:pt idx="1782">
                  <c:v>2014-11-14</c:v>
                </c:pt>
                <c:pt idx="1783">
                  <c:v>2014-11-17</c:v>
                </c:pt>
                <c:pt idx="1784">
                  <c:v>2014-11-18</c:v>
                </c:pt>
                <c:pt idx="1785">
                  <c:v>2014-11-19</c:v>
                </c:pt>
                <c:pt idx="1786">
                  <c:v>2014-11-20</c:v>
                </c:pt>
                <c:pt idx="1787">
                  <c:v>2014-11-21</c:v>
                </c:pt>
                <c:pt idx="1788">
                  <c:v>2014-11-24</c:v>
                </c:pt>
                <c:pt idx="1789">
                  <c:v>2014-11-25</c:v>
                </c:pt>
                <c:pt idx="1790">
                  <c:v>2014-11-26</c:v>
                </c:pt>
                <c:pt idx="1791">
                  <c:v>2014-11-27</c:v>
                </c:pt>
                <c:pt idx="1792">
                  <c:v>2014-11-28</c:v>
                </c:pt>
                <c:pt idx="1793">
                  <c:v>2014-12-01</c:v>
                </c:pt>
                <c:pt idx="1794">
                  <c:v>2014-12-02</c:v>
                </c:pt>
                <c:pt idx="1795">
                  <c:v>2014-12-03</c:v>
                </c:pt>
                <c:pt idx="1796">
                  <c:v>2014-12-04</c:v>
                </c:pt>
                <c:pt idx="1797">
                  <c:v>2014-12-05</c:v>
                </c:pt>
                <c:pt idx="1798">
                  <c:v>2014-12-08</c:v>
                </c:pt>
                <c:pt idx="1799">
                  <c:v>2014-12-09</c:v>
                </c:pt>
                <c:pt idx="1800">
                  <c:v>2014-12-10</c:v>
                </c:pt>
                <c:pt idx="1801">
                  <c:v>2014-12-11</c:v>
                </c:pt>
                <c:pt idx="1802">
                  <c:v>2014-12-12</c:v>
                </c:pt>
                <c:pt idx="1803">
                  <c:v>2014-12-15</c:v>
                </c:pt>
                <c:pt idx="1804">
                  <c:v>2014-12-16</c:v>
                </c:pt>
                <c:pt idx="1805">
                  <c:v>2014-12-17</c:v>
                </c:pt>
                <c:pt idx="1806">
                  <c:v>2014-12-18</c:v>
                </c:pt>
                <c:pt idx="1807">
                  <c:v>2014-12-19</c:v>
                </c:pt>
                <c:pt idx="1808">
                  <c:v>2014-12-22</c:v>
                </c:pt>
                <c:pt idx="1809">
                  <c:v>2014-12-23</c:v>
                </c:pt>
                <c:pt idx="1810">
                  <c:v>2014-12-24</c:v>
                </c:pt>
                <c:pt idx="1811">
                  <c:v>2014-12-26</c:v>
                </c:pt>
                <c:pt idx="1812">
                  <c:v>2014-12-29</c:v>
                </c:pt>
                <c:pt idx="1813">
                  <c:v>2014-12-30</c:v>
                </c:pt>
                <c:pt idx="1814">
                  <c:v>2014-12-31</c:v>
                </c:pt>
                <c:pt idx="1815">
                  <c:v>2015-01-02</c:v>
                </c:pt>
                <c:pt idx="1816">
                  <c:v>2015-01-05</c:v>
                </c:pt>
                <c:pt idx="1817">
                  <c:v>2015-01-06</c:v>
                </c:pt>
                <c:pt idx="1818">
                  <c:v>2015-01-07</c:v>
                </c:pt>
                <c:pt idx="1819">
                  <c:v>2015-01-08</c:v>
                </c:pt>
                <c:pt idx="1820">
                  <c:v>2015-01-09</c:v>
                </c:pt>
                <c:pt idx="1821">
                  <c:v>2015-01-12</c:v>
                </c:pt>
                <c:pt idx="1822">
                  <c:v>2015-01-13</c:v>
                </c:pt>
                <c:pt idx="1823">
                  <c:v>2015-01-14</c:v>
                </c:pt>
                <c:pt idx="1824">
                  <c:v>2015-01-15</c:v>
                </c:pt>
                <c:pt idx="1825">
                  <c:v>2015-01-16</c:v>
                </c:pt>
                <c:pt idx="1826">
                  <c:v>2015-01-19</c:v>
                </c:pt>
                <c:pt idx="1827">
                  <c:v>2015-01-20</c:v>
                </c:pt>
                <c:pt idx="1828">
                  <c:v>2015-01-21</c:v>
                </c:pt>
                <c:pt idx="1829">
                  <c:v>2015-01-22</c:v>
                </c:pt>
                <c:pt idx="1830">
                  <c:v>2015-01-23</c:v>
                </c:pt>
                <c:pt idx="1831">
                  <c:v>2015-01-26</c:v>
                </c:pt>
                <c:pt idx="1832">
                  <c:v>2015-01-27</c:v>
                </c:pt>
                <c:pt idx="1833">
                  <c:v>2015-01-28</c:v>
                </c:pt>
                <c:pt idx="1834">
                  <c:v>2015-01-29</c:v>
                </c:pt>
                <c:pt idx="1835">
                  <c:v>2015-01-30</c:v>
                </c:pt>
                <c:pt idx="1836">
                  <c:v>2015-02-02</c:v>
                </c:pt>
                <c:pt idx="1837">
                  <c:v>2015-02-03</c:v>
                </c:pt>
                <c:pt idx="1838">
                  <c:v>2015-02-04</c:v>
                </c:pt>
                <c:pt idx="1839">
                  <c:v>2015-02-05</c:v>
                </c:pt>
                <c:pt idx="1840">
                  <c:v>2015-02-06</c:v>
                </c:pt>
                <c:pt idx="1841">
                  <c:v>2015-02-09</c:v>
                </c:pt>
                <c:pt idx="1842">
                  <c:v>2015-02-10</c:v>
                </c:pt>
                <c:pt idx="1843">
                  <c:v>2015-02-11</c:v>
                </c:pt>
                <c:pt idx="1844">
                  <c:v>2015-02-12</c:v>
                </c:pt>
                <c:pt idx="1845">
                  <c:v>2015-02-13</c:v>
                </c:pt>
                <c:pt idx="1846">
                  <c:v>2015-02-16</c:v>
                </c:pt>
                <c:pt idx="1847">
                  <c:v>2015-02-17</c:v>
                </c:pt>
                <c:pt idx="1848">
                  <c:v>2015-02-18</c:v>
                </c:pt>
                <c:pt idx="1849">
                  <c:v>2015-02-19</c:v>
                </c:pt>
                <c:pt idx="1850">
                  <c:v>2015-02-20</c:v>
                </c:pt>
                <c:pt idx="1851">
                  <c:v>2015-02-23</c:v>
                </c:pt>
                <c:pt idx="1852">
                  <c:v>2015-02-24</c:v>
                </c:pt>
                <c:pt idx="1853">
                  <c:v>2015-02-25</c:v>
                </c:pt>
                <c:pt idx="1854">
                  <c:v>2015-02-26</c:v>
                </c:pt>
                <c:pt idx="1855">
                  <c:v>2015-02-27</c:v>
                </c:pt>
                <c:pt idx="1856">
                  <c:v>2015-03-02</c:v>
                </c:pt>
                <c:pt idx="1857">
                  <c:v>2015-03-03</c:v>
                </c:pt>
                <c:pt idx="1858">
                  <c:v>2015-03-04</c:v>
                </c:pt>
                <c:pt idx="1859">
                  <c:v>2015-03-05</c:v>
                </c:pt>
                <c:pt idx="1860">
                  <c:v>2015-03-06</c:v>
                </c:pt>
                <c:pt idx="1861">
                  <c:v>2015-03-09</c:v>
                </c:pt>
                <c:pt idx="1862">
                  <c:v>2015-03-10</c:v>
                </c:pt>
                <c:pt idx="1863">
                  <c:v>2015-03-11</c:v>
                </c:pt>
                <c:pt idx="1864">
                  <c:v>2015-03-12</c:v>
                </c:pt>
                <c:pt idx="1865">
                  <c:v>2015-03-13</c:v>
                </c:pt>
                <c:pt idx="1866">
                  <c:v>2015-03-16</c:v>
                </c:pt>
                <c:pt idx="1867">
                  <c:v>2015-03-17</c:v>
                </c:pt>
                <c:pt idx="1868">
                  <c:v>2015-03-18</c:v>
                </c:pt>
                <c:pt idx="1869">
                  <c:v>2015-03-19</c:v>
                </c:pt>
                <c:pt idx="1870">
                  <c:v>2015-03-20</c:v>
                </c:pt>
                <c:pt idx="1871">
                  <c:v>2015-03-23</c:v>
                </c:pt>
                <c:pt idx="1872">
                  <c:v>2015-03-24</c:v>
                </c:pt>
                <c:pt idx="1873">
                  <c:v>2015-03-25</c:v>
                </c:pt>
                <c:pt idx="1874">
                  <c:v>2015-03-26</c:v>
                </c:pt>
                <c:pt idx="1875">
                  <c:v>2015-03-27</c:v>
                </c:pt>
                <c:pt idx="1876">
                  <c:v>2015-03-30</c:v>
                </c:pt>
                <c:pt idx="1877">
                  <c:v>2015-03-31</c:v>
                </c:pt>
                <c:pt idx="1878">
                  <c:v>2015-04-01</c:v>
                </c:pt>
                <c:pt idx="1879">
                  <c:v>2015-04-02</c:v>
                </c:pt>
                <c:pt idx="1880">
                  <c:v>2015-04-03</c:v>
                </c:pt>
                <c:pt idx="1881">
                  <c:v>2015-04-06</c:v>
                </c:pt>
                <c:pt idx="1882">
                  <c:v>2015-04-07</c:v>
                </c:pt>
                <c:pt idx="1883">
                  <c:v>2015-04-08</c:v>
                </c:pt>
                <c:pt idx="1884">
                  <c:v>2015-04-09</c:v>
                </c:pt>
                <c:pt idx="1885">
                  <c:v>2015-04-10</c:v>
                </c:pt>
                <c:pt idx="1886">
                  <c:v>2015-04-13</c:v>
                </c:pt>
                <c:pt idx="1887">
                  <c:v>2015-04-14</c:v>
                </c:pt>
                <c:pt idx="1888">
                  <c:v>2015-04-15</c:v>
                </c:pt>
                <c:pt idx="1889">
                  <c:v>2015-04-16</c:v>
                </c:pt>
                <c:pt idx="1890">
                  <c:v>2015-04-17</c:v>
                </c:pt>
                <c:pt idx="1891">
                  <c:v>2015-04-20</c:v>
                </c:pt>
                <c:pt idx="1892">
                  <c:v>2015-04-21</c:v>
                </c:pt>
                <c:pt idx="1893">
                  <c:v>2015-04-22</c:v>
                </c:pt>
                <c:pt idx="1894">
                  <c:v>2015-04-23</c:v>
                </c:pt>
                <c:pt idx="1895">
                  <c:v>2015-04-24</c:v>
                </c:pt>
                <c:pt idx="1896">
                  <c:v>2015-04-27</c:v>
                </c:pt>
                <c:pt idx="1897">
                  <c:v>2015-04-28</c:v>
                </c:pt>
                <c:pt idx="1898">
                  <c:v>2015-04-29</c:v>
                </c:pt>
                <c:pt idx="1899">
                  <c:v>2015-04-30</c:v>
                </c:pt>
                <c:pt idx="1900">
                  <c:v>2015-05-01</c:v>
                </c:pt>
                <c:pt idx="1901">
                  <c:v>2015-05-04</c:v>
                </c:pt>
                <c:pt idx="1902">
                  <c:v>2015-05-05</c:v>
                </c:pt>
                <c:pt idx="1903">
                  <c:v>2015-05-06</c:v>
                </c:pt>
                <c:pt idx="1904">
                  <c:v>2015-05-07</c:v>
                </c:pt>
                <c:pt idx="1905">
                  <c:v>2015-05-08</c:v>
                </c:pt>
                <c:pt idx="1906">
                  <c:v>2015-05-11</c:v>
                </c:pt>
                <c:pt idx="1907">
                  <c:v>2015-05-12</c:v>
                </c:pt>
                <c:pt idx="1908">
                  <c:v>2015-05-13</c:v>
                </c:pt>
                <c:pt idx="1909">
                  <c:v>2015-05-14</c:v>
                </c:pt>
                <c:pt idx="1910">
                  <c:v>2015-05-15</c:v>
                </c:pt>
                <c:pt idx="1911">
                  <c:v>2015-05-18</c:v>
                </c:pt>
                <c:pt idx="1912">
                  <c:v>2015-05-19</c:v>
                </c:pt>
                <c:pt idx="1913">
                  <c:v>2015-05-20</c:v>
                </c:pt>
                <c:pt idx="1914">
                  <c:v>2015-05-21</c:v>
                </c:pt>
                <c:pt idx="1915">
                  <c:v>2015-05-22</c:v>
                </c:pt>
                <c:pt idx="1916">
                  <c:v>2015-05-26</c:v>
                </c:pt>
                <c:pt idx="1917">
                  <c:v>2015-05-27</c:v>
                </c:pt>
                <c:pt idx="1918">
                  <c:v>2015-05-28</c:v>
                </c:pt>
                <c:pt idx="1919">
                  <c:v>2015-05-29</c:v>
                </c:pt>
                <c:pt idx="1920">
                  <c:v>2015-06-01</c:v>
                </c:pt>
                <c:pt idx="1921">
                  <c:v>2015-06-02</c:v>
                </c:pt>
                <c:pt idx="1922">
                  <c:v>2015-06-03</c:v>
                </c:pt>
                <c:pt idx="1923">
                  <c:v>2015-06-04</c:v>
                </c:pt>
                <c:pt idx="1924">
                  <c:v>2015-06-05</c:v>
                </c:pt>
                <c:pt idx="1925">
                  <c:v>2015-06-08</c:v>
                </c:pt>
                <c:pt idx="1926">
                  <c:v>2015-06-09</c:v>
                </c:pt>
                <c:pt idx="1927">
                  <c:v>2015-06-10</c:v>
                </c:pt>
                <c:pt idx="1928">
                  <c:v>2015-06-11</c:v>
                </c:pt>
                <c:pt idx="1929">
                  <c:v>2015-06-12</c:v>
                </c:pt>
                <c:pt idx="1930">
                  <c:v>2015-06-15</c:v>
                </c:pt>
                <c:pt idx="1931">
                  <c:v>2015-06-16</c:v>
                </c:pt>
                <c:pt idx="1932">
                  <c:v>2015-06-17</c:v>
                </c:pt>
                <c:pt idx="1933">
                  <c:v>2015-06-18</c:v>
                </c:pt>
                <c:pt idx="1934">
                  <c:v>2015-06-19</c:v>
                </c:pt>
                <c:pt idx="1935">
                  <c:v>2015-06-22</c:v>
                </c:pt>
                <c:pt idx="1936">
                  <c:v>2015-06-23</c:v>
                </c:pt>
                <c:pt idx="1937">
                  <c:v>2015-06-24</c:v>
                </c:pt>
                <c:pt idx="1938">
                  <c:v>2015-06-25</c:v>
                </c:pt>
                <c:pt idx="1939">
                  <c:v>2015-06-26</c:v>
                </c:pt>
                <c:pt idx="1940">
                  <c:v>2015-06-29</c:v>
                </c:pt>
                <c:pt idx="1941">
                  <c:v>2015-06-30</c:v>
                </c:pt>
                <c:pt idx="1942">
                  <c:v>2015-07-01</c:v>
                </c:pt>
                <c:pt idx="1943">
                  <c:v>2015-07-02</c:v>
                </c:pt>
                <c:pt idx="1944">
                  <c:v>2015-07-03</c:v>
                </c:pt>
                <c:pt idx="1945">
                  <c:v>2015-07-06</c:v>
                </c:pt>
                <c:pt idx="1946">
                  <c:v>2015-07-07</c:v>
                </c:pt>
                <c:pt idx="1947">
                  <c:v>2015-07-08</c:v>
                </c:pt>
                <c:pt idx="1948">
                  <c:v>2015-07-09</c:v>
                </c:pt>
                <c:pt idx="1949">
                  <c:v>2015-07-10</c:v>
                </c:pt>
                <c:pt idx="1950">
                  <c:v>2015-07-13</c:v>
                </c:pt>
                <c:pt idx="1951">
                  <c:v>2015-07-14</c:v>
                </c:pt>
                <c:pt idx="1952">
                  <c:v>2015-07-15</c:v>
                </c:pt>
                <c:pt idx="1953">
                  <c:v>2015-07-16</c:v>
                </c:pt>
                <c:pt idx="1954">
                  <c:v>2015-07-17</c:v>
                </c:pt>
                <c:pt idx="1955">
                  <c:v>2015-07-20</c:v>
                </c:pt>
                <c:pt idx="1956">
                  <c:v>2015-07-21</c:v>
                </c:pt>
                <c:pt idx="1957">
                  <c:v>2015-07-22</c:v>
                </c:pt>
                <c:pt idx="1958">
                  <c:v>2015-07-23</c:v>
                </c:pt>
                <c:pt idx="1959">
                  <c:v>2015-07-24</c:v>
                </c:pt>
                <c:pt idx="1960">
                  <c:v>2015-07-27</c:v>
                </c:pt>
                <c:pt idx="1961">
                  <c:v>2015-07-28</c:v>
                </c:pt>
                <c:pt idx="1962">
                  <c:v>2015-07-29</c:v>
                </c:pt>
                <c:pt idx="1963">
                  <c:v>2015-07-30</c:v>
                </c:pt>
                <c:pt idx="1964">
                  <c:v>2015-07-31</c:v>
                </c:pt>
                <c:pt idx="1965">
                  <c:v>2015-08-03</c:v>
                </c:pt>
                <c:pt idx="1966">
                  <c:v>2015-08-04</c:v>
                </c:pt>
                <c:pt idx="1967">
                  <c:v>2015-08-05</c:v>
                </c:pt>
                <c:pt idx="1968">
                  <c:v>2015-08-06</c:v>
                </c:pt>
                <c:pt idx="1969">
                  <c:v>2015-08-07</c:v>
                </c:pt>
                <c:pt idx="1970">
                  <c:v>2015-08-10</c:v>
                </c:pt>
                <c:pt idx="1971">
                  <c:v>2015-08-11</c:v>
                </c:pt>
                <c:pt idx="1972">
                  <c:v>2015-08-12</c:v>
                </c:pt>
                <c:pt idx="1973">
                  <c:v>2015-08-13</c:v>
                </c:pt>
                <c:pt idx="1974">
                  <c:v>2015-08-14</c:v>
                </c:pt>
                <c:pt idx="1975">
                  <c:v>2015-08-17</c:v>
                </c:pt>
                <c:pt idx="1976">
                  <c:v>2015-08-18</c:v>
                </c:pt>
                <c:pt idx="1977">
                  <c:v>2015-08-19</c:v>
                </c:pt>
                <c:pt idx="1978">
                  <c:v>2015-08-20</c:v>
                </c:pt>
                <c:pt idx="1979">
                  <c:v>2015-08-21</c:v>
                </c:pt>
                <c:pt idx="1980">
                  <c:v>2015-08-24</c:v>
                </c:pt>
                <c:pt idx="1981">
                  <c:v>2015-08-25</c:v>
                </c:pt>
                <c:pt idx="1982">
                  <c:v>2015-08-26</c:v>
                </c:pt>
                <c:pt idx="1983">
                  <c:v>2015-08-27</c:v>
                </c:pt>
                <c:pt idx="1984">
                  <c:v>2015-08-28</c:v>
                </c:pt>
                <c:pt idx="1985">
                  <c:v>2015-08-31</c:v>
                </c:pt>
                <c:pt idx="1986">
                  <c:v>2015-09-01</c:v>
                </c:pt>
                <c:pt idx="1987">
                  <c:v>2015-09-02</c:v>
                </c:pt>
                <c:pt idx="1988">
                  <c:v>2015-09-03</c:v>
                </c:pt>
                <c:pt idx="1989">
                  <c:v>2015-09-04</c:v>
                </c:pt>
                <c:pt idx="1990">
                  <c:v>2015-09-07</c:v>
                </c:pt>
                <c:pt idx="1991">
                  <c:v>2015-09-08</c:v>
                </c:pt>
                <c:pt idx="1992">
                  <c:v>2015-09-09</c:v>
                </c:pt>
                <c:pt idx="1993">
                  <c:v>2015-09-10</c:v>
                </c:pt>
                <c:pt idx="1994">
                  <c:v>2015-09-11</c:v>
                </c:pt>
                <c:pt idx="1995">
                  <c:v>2015-09-14</c:v>
                </c:pt>
                <c:pt idx="1996">
                  <c:v>2015-09-15</c:v>
                </c:pt>
                <c:pt idx="1997">
                  <c:v>2015-09-16</c:v>
                </c:pt>
                <c:pt idx="1998">
                  <c:v>2015-09-17</c:v>
                </c:pt>
                <c:pt idx="1999">
                  <c:v>2015-09-18</c:v>
                </c:pt>
                <c:pt idx="2000">
                  <c:v>2015-09-21</c:v>
                </c:pt>
                <c:pt idx="2001">
                  <c:v>2015-09-22</c:v>
                </c:pt>
                <c:pt idx="2002">
                  <c:v>2015-09-23</c:v>
                </c:pt>
                <c:pt idx="2003">
                  <c:v>2015-09-24</c:v>
                </c:pt>
                <c:pt idx="2004">
                  <c:v>2015-09-25</c:v>
                </c:pt>
                <c:pt idx="2005">
                  <c:v>2015-09-28</c:v>
                </c:pt>
                <c:pt idx="2006">
                  <c:v>2015-09-29</c:v>
                </c:pt>
                <c:pt idx="2007">
                  <c:v>2015-09-30</c:v>
                </c:pt>
                <c:pt idx="2008">
                  <c:v>2015-10-01</c:v>
                </c:pt>
                <c:pt idx="2009">
                  <c:v>2015-10-02</c:v>
                </c:pt>
                <c:pt idx="2010">
                  <c:v>2015-10-05</c:v>
                </c:pt>
                <c:pt idx="2011">
                  <c:v>2015-10-06</c:v>
                </c:pt>
                <c:pt idx="2012">
                  <c:v>2015-10-07</c:v>
                </c:pt>
                <c:pt idx="2013">
                  <c:v>2015-10-08</c:v>
                </c:pt>
                <c:pt idx="2014">
                  <c:v>2015-10-09</c:v>
                </c:pt>
                <c:pt idx="2015">
                  <c:v>2015-10-12</c:v>
                </c:pt>
                <c:pt idx="2016">
                  <c:v>2015-10-13</c:v>
                </c:pt>
                <c:pt idx="2017">
                  <c:v>2015-10-14</c:v>
                </c:pt>
                <c:pt idx="2018">
                  <c:v>2015-10-15</c:v>
                </c:pt>
                <c:pt idx="2019">
                  <c:v>2015-10-16</c:v>
                </c:pt>
                <c:pt idx="2020">
                  <c:v>2015-10-19</c:v>
                </c:pt>
                <c:pt idx="2021">
                  <c:v>2015-10-20</c:v>
                </c:pt>
                <c:pt idx="2022">
                  <c:v>2015-10-21</c:v>
                </c:pt>
                <c:pt idx="2023">
                  <c:v>2015-10-22</c:v>
                </c:pt>
                <c:pt idx="2024">
                  <c:v>2015-10-23</c:v>
                </c:pt>
                <c:pt idx="2025">
                  <c:v>2015-10-26</c:v>
                </c:pt>
                <c:pt idx="2026">
                  <c:v>2015-10-27</c:v>
                </c:pt>
                <c:pt idx="2027">
                  <c:v>2015-10-28</c:v>
                </c:pt>
                <c:pt idx="2028">
                  <c:v>2015-10-29</c:v>
                </c:pt>
                <c:pt idx="2029">
                  <c:v>2015-10-30</c:v>
                </c:pt>
                <c:pt idx="2030">
                  <c:v>2015-11-02</c:v>
                </c:pt>
                <c:pt idx="2031">
                  <c:v>2015-11-03</c:v>
                </c:pt>
                <c:pt idx="2032">
                  <c:v>2015-11-04</c:v>
                </c:pt>
                <c:pt idx="2033">
                  <c:v>2015-11-05</c:v>
                </c:pt>
                <c:pt idx="2034">
                  <c:v>2015-11-06</c:v>
                </c:pt>
                <c:pt idx="2035">
                  <c:v>2015-11-09</c:v>
                </c:pt>
                <c:pt idx="2036">
                  <c:v>2015-11-10</c:v>
                </c:pt>
                <c:pt idx="2037">
                  <c:v>2015-11-11</c:v>
                </c:pt>
                <c:pt idx="2038">
                  <c:v>2015-11-12</c:v>
                </c:pt>
                <c:pt idx="2039">
                  <c:v>2015-11-13</c:v>
                </c:pt>
                <c:pt idx="2040">
                  <c:v>2015-11-16</c:v>
                </c:pt>
                <c:pt idx="2041">
                  <c:v>2015-11-17</c:v>
                </c:pt>
                <c:pt idx="2042">
                  <c:v>2015-11-18</c:v>
                </c:pt>
                <c:pt idx="2043">
                  <c:v>2015-11-19</c:v>
                </c:pt>
                <c:pt idx="2044">
                  <c:v>2015-11-20</c:v>
                </c:pt>
                <c:pt idx="2045">
                  <c:v>2015-11-23</c:v>
                </c:pt>
                <c:pt idx="2046">
                  <c:v>2015-11-24</c:v>
                </c:pt>
                <c:pt idx="2047">
                  <c:v>2015-11-25</c:v>
                </c:pt>
                <c:pt idx="2048">
                  <c:v>2015-11-26</c:v>
                </c:pt>
                <c:pt idx="2049">
                  <c:v>2015-11-27</c:v>
                </c:pt>
                <c:pt idx="2050">
                  <c:v>2015-11-30</c:v>
                </c:pt>
                <c:pt idx="2051">
                  <c:v>2015-12-01</c:v>
                </c:pt>
                <c:pt idx="2052">
                  <c:v>2015-12-02</c:v>
                </c:pt>
                <c:pt idx="2053">
                  <c:v>2015-12-03</c:v>
                </c:pt>
                <c:pt idx="2054">
                  <c:v>2015-12-04</c:v>
                </c:pt>
                <c:pt idx="2055">
                  <c:v>2015-12-07</c:v>
                </c:pt>
                <c:pt idx="2056">
                  <c:v>2015-12-08</c:v>
                </c:pt>
                <c:pt idx="2057">
                  <c:v>2015-12-09</c:v>
                </c:pt>
                <c:pt idx="2058">
                  <c:v>2015-12-10</c:v>
                </c:pt>
                <c:pt idx="2059">
                  <c:v>2015-12-11</c:v>
                </c:pt>
                <c:pt idx="2060">
                  <c:v>2015-12-14</c:v>
                </c:pt>
                <c:pt idx="2061">
                  <c:v>2015-12-15</c:v>
                </c:pt>
                <c:pt idx="2062">
                  <c:v>2015-12-16</c:v>
                </c:pt>
                <c:pt idx="2063">
                  <c:v>2015-12-17</c:v>
                </c:pt>
                <c:pt idx="2064">
                  <c:v>2015-12-18</c:v>
                </c:pt>
                <c:pt idx="2065">
                  <c:v>2015-12-21</c:v>
                </c:pt>
                <c:pt idx="2066">
                  <c:v>2015-12-22</c:v>
                </c:pt>
                <c:pt idx="2067">
                  <c:v>2015-12-23</c:v>
                </c:pt>
                <c:pt idx="2068">
                  <c:v>2015-12-24</c:v>
                </c:pt>
                <c:pt idx="2069">
                  <c:v>2015-12-28</c:v>
                </c:pt>
                <c:pt idx="2070">
                  <c:v>2015-12-29</c:v>
                </c:pt>
                <c:pt idx="2071">
                  <c:v>2015-12-30</c:v>
                </c:pt>
                <c:pt idx="2072">
                  <c:v>2015-12-31</c:v>
                </c:pt>
                <c:pt idx="2073">
                  <c:v>2016-01-04</c:v>
                </c:pt>
                <c:pt idx="2074">
                  <c:v>2016-01-05</c:v>
                </c:pt>
                <c:pt idx="2075">
                  <c:v>2016-01-06</c:v>
                </c:pt>
                <c:pt idx="2076">
                  <c:v>2016-01-07</c:v>
                </c:pt>
                <c:pt idx="2077">
                  <c:v>2016-01-08</c:v>
                </c:pt>
                <c:pt idx="2078">
                  <c:v>2016-01-11</c:v>
                </c:pt>
                <c:pt idx="2079">
                  <c:v>2016-01-12</c:v>
                </c:pt>
                <c:pt idx="2080">
                  <c:v>2016-01-13</c:v>
                </c:pt>
                <c:pt idx="2081">
                  <c:v>2016-01-14</c:v>
                </c:pt>
                <c:pt idx="2082">
                  <c:v>2016-01-15</c:v>
                </c:pt>
                <c:pt idx="2083">
                  <c:v>2016-01-18</c:v>
                </c:pt>
                <c:pt idx="2084">
                  <c:v>2016-01-19</c:v>
                </c:pt>
                <c:pt idx="2085">
                  <c:v>2016-01-20</c:v>
                </c:pt>
                <c:pt idx="2086">
                  <c:v>2016-01-21</c:v>
                </c:pt>
                <c:pt idx="2087">
                  <c:v>2016-01-22</c:v>
                </c:pt>
                <c:pt idx="2088">
                  <c:v>2016-01-25</c:v>
                </c:pt>
                <c:pt idx="2089">
                  <c:v>2016-01-26</c:v>
                </c:pt>
                <c:pt idx="2090">
                  <c:v>2016-01-27</c:v>
                </c:pt>
                <c:pt idx="2091">
                  <c:v>2016-01-28</c:v>
                </c:pt>
                <c:pt idx="2092">
                  <c:v>2016-01-29</c:v>
                </c:pt>
                <c:pt idx="2093">
                  <c:v>2016-02-01</c:v>
                </c:pt>
                <c:pt idx="2094">
                  <c:v>2016-02-02</c:v>
                </c:pt>
                <c:pt idx="2095">
                  <c:v>2016-02-03</c:v>
                </c:pt>
                <c:pt idx="2096">
                  <c:v>2016-02-04</c:v>
                </c:pt>
                <c:pt idx="2097">
                  <c:v>2016-02-05</c:v>
                </c:pt>
                <c:pt idx="2098">
                  <c:v>2016-02-08</c:v>
                </c:pt>
                <c:pt idx="2099">
                  <c:v>2016-02-09</c:v>
                </c:pt>
                <c:pt idx="2100">
                  <c:v>2016-02-10</c:v>
                </c:pt>
                <c:pt idx="2101">
                  <c:v>2016-02-11</c:v>
                </c:pt>
                <c:pt idx="2102">
                  <c:v>2016-02-12</c:v>
                </c:pt>
                <c:pt idx="2103">
                  <c:v>2016-02-15</c:v>
                </c:pt>
                <c:pt idx="2104">
                  <c:v>2016-02-16</c:v>
                </c:pt>
                <c:pt idx="2105">
                  <c:v>2016-02-17</c:v>
                </c:pt>
                <c:pt idx="2106">
                  <c:v>2016-02-18</c:v>
                </c:pt>
                <c:pt idx="2107">
                  <c:v>2016-02-19</c:v>
                </c:pt>
                <c:pt idx="2108">
                  <c:v>2016-02-22</c:v>
                </c:pt>
                <c:pt idx="2109">
                  <c:v>2016-02-23</c:v>
                </c:pt>
                <c:pt idx="2110">
                  <c:v>2016-02-24</c:v>
                </c:pt>
                <c:pt idx="2111">
                  <c:v>2016-02-25</c:v>
                </c:pt>
                <c:pt idx="2112">
                  <c:v>2016-02-26</c:v>
                </c:pt>
                <c:pt idx="2113">
                  <c:v>2016-02-29</c:v>
                </c:pt>
                <c:pt idx="2114">
                  <c:v>2016-03-01</c:v>
                </c:pt>
                <c:pt idx="2115">
                  <c:v>2016-03-02</c:v>
                </c:pt>
                <c:pt idx="2116">
                  <c:v>2016-03-03</c:v>
                </c:pt>
                <c:pt idx="2117">
                  <c:v>2016-03-04</c:v>
                </c:pt>
                <c:pt idx="2118">
                  <c:v>2016-03-07</c:v>
                </c:pt>
                <c:pt idx="2119">
                  <c:v>2016-03-08</c:v>
                </c:pt>
                <c:pt idx="2120">
                  <c:v>2016-03-09</c:v>
                </c:pt>
                <c:pt idx="2121">
                  <c:v>2016-03-10</c:v>
                </c:pt>
                <c:pt idx="2122">
                  <c:v>2016-03-11</c:v>
                </c:pt>
                <c:pt idx="2123">
                  <c:v>2016-03-14</c:v>
                </c:pt>
                <c:pt idx="2124">
                  <c:v>2016-03-15</c:v>
                </c:pt>
                <c:pt idx="2125">
                  <c:v>2016-03-16</c:v>
                </c:pt>
                <c:pt idx="2126">
                  <c:v>2016-03-17</c:v>
                </c:pt>
                <c:pt idx="2127">
                  <c:v>2016-03-18</c:v>
                </c:pt>
                <c:pt idx="2128">
                  <c:v>2016-03-21</c:v>
                </c:pt>
                <c:pt idx="2129">
                  <c:v>2016-03-22</c:v>
                </c:pt>
                <c:pt idx="2130">
                  <c:v>2016-03-23</c:v>
                </c:pt>
                <c:pt idx="2131">
                  <c:v>2016-03-24</c:v>
                </c:pt>
                <c:pt idx="2132">
                  <c:v>2016-03-25</c:v>
                </c:pt>
                <c:pt idx="2133">
                  <c:v>2016-03-28</c:v>
                </c:pt>
                <c:pt idx="2134">
                  <c:v>2016-03-29</c:v>
                </c:pt>
                <c:pt idx="2135">
                  <c:v>2016-03-30</c:v>
                </c:pt>
                <c:pt idx="2136">
                  <c:v>2016-03-31</c:v>
                </c:pt>
                <c:pt idx="2137">
                  <c:v>2016-04-01</c:v>
                </c:pt>
                <c:pt idx="2138">
                  <c:v>2016-04-04</c:v>
                </c:pt>
                <c:pt idx="2139">
                  <c:v>2016-04-05</c:v>
                </c:pt>
                <c:pt idx="2140">
                  <c:v>2016-04-06</c:v>
                </c:pt>
                <c:pt idx="2141">
                  <c:v>2016-04-07</c:v>
                </c:pt>
                <c:pt idx="2142">
                  <c:v>2016-04-08</c:v>
                </c:pt>
                <c:pt idx="2143">
                  <c:v>2016-04-11</c:v>
                </c:pt>
                <c:pt idx="2144">
                  <c:v>2016-04-12</c:v>
                </c:pt>
                <c:pt idx="2145">
                  <c:v>2016-04-13</c:v>
                </c:pt>
                <c:pt idx="2146">
                  <c:v>2016-04-14</c:v>
                </c:pt>
                <c:pt idx="2147">
                  <c:v>2016-04-15</c:v>
                </c:pt>
                <c:pt idx="2148">
                  <c:v>2016-04-18</c:v>
                </c:pt>
                <c:pt idx="2149">
                  <c:v>2016-04-19</c:v>
                </c:pt>
                <c:pt idx="2150">
                  <c:v>2016-04-20</c:v>
                </c:pt>
                <c:pt idx="2151">
                  <c:v>2016-04-21</c:v>
                </c:pt>
                <c:pt idx="2152">
                  <c:v>2016-04-22</c:v>
                </c:pt>
                <c:pt idx="2153">
                  <c:v>2016-04-25</c:v>
                </c:pt>
                <c:pt idx="2154">
                  <c:v>2016-04-26</c:v>
                </c:pt>
                <c:pt idx="2155">
                  <c:v>2016-04-27</c:v>
                </c:pt>
                <c:pt idx="2156">
                  <c:v>2016-04-28</c:v>
                </c:pt>
                <c:pt idx="2157">
                  <c:v>2016-04-29</c:v>
                </c:pt>
                <c:pt idx="2158">
                  <c:v>2016-05-02</c:v>
                </c:pt>
                <c:pt idx="2159">
                  <c:v>2016-05-03</c:v>
                </c:pt>
                <c:pt idx="2160">
                  <c:v>2016-05-04</c:v>
                </c:pt>
                <c:pt idx="2161">
                  <c:v>2016-05-05</c:v>
                </c:pt>
                <c:pt idx="2162">
                  <c:v>2016-05-06</c:v>
                </c:pt>
                <c:pt idx="2163">
                  <c:v>2016-05-09</c:v>
                </c:pt>
                <c:pt idx="2164">
                  <c:v>2016-05-10</c:v>
                </c:pt>
                <c:pt idx="2165">
                  <c:v>2016-05-11</c:v>
                </c:pt>
                <c:pt idx="2166">
                  <c:v>2016-05-12</c:v>
                </c:pt>
                <c:pt idx="2167">
                  <c:v>2016-05-13</c:v>
                </c:pt>
                <c:pt idx="2168">
                  <c:v>2016-05-16</c:v>
                </c:pt>
                <c:pt idx="2169">
                  <c:v>2016-05-17</c:v>
                </c:pt>
                <c:pt idx="2170">
                  <c:v>2016-05-18</c:v>
                </c:pt>
                <c:pt idx="2171">
                  <c:v>2016-05-19</c:v>
                </c:pt>
                <c:pt idx="2172">
                  <c:v>2016-05-20</c:v>
                </c:pt>
                <c:pt idx="2173">
                  <c:v>2016-05-23</c:v>
                </c:pt>
                <c:pt idx="2174">
                  <c:v>2016-05-24</c:v>
                </c:pt>
                <c:pt idx="2175">
                  <c:v>2016-05-25</c:v>
                </c:pt>
                <c:pt idx="2176">
                  <c:v>2016-05-26</c:v>
                </c:pt>
                <c:pt idx="2177">
                  <c:v>2016-05-27</c:v>
                </c:pt>
                <c:pt idx="2178">
                  <c:v>2016-05-30</c:v>
                </c:pt>
                <c:pt idx="2179">
                  <c:v>2016-05-31</c:v>
                </c:pt>
                <c:pt idx="2180">
                  <c:v>2016-06-01</c:v>
                </c:pt>
                <c:pt idx="2181">
                  <c:v>2016-06-02</c:v>
                </c:pt>
                <c:pt idx="2182">
                  <c:v>2016-06-03</c:v>
                </c:pt>
                <c:pt idx="2183">
                  <c:v>2016-06-06</c:v>
                </c:pt>
                <c:pt idx="2184">
                  <c:v>2016-06-07</c:v>
                </c:pt>
                <c:pt idx="2185">
                  <c:v>2016-06-08</c:v>
                </c:pt>
                <c:pt idx="2186">
                  <c:v>2016-06-09</c:v>
                </c:pt>
                <c:pt idx="2187">
                  <c:v>2016-06-10</c:v>
                </c:pt>
                <c:pt idx="2188">
                  <c:v>2016-06-13</c:v>
                </c:pt>
                <c:pt idx="2189">
                  <c:v>2016-06-14</c:v>
                </c:pt>
                <c:pt idx="2190">
                  <c:v>2016-06-15</c:v>
                </c:pt>
                <c:pt idx="2191">
                  <c:v>2016-06-16</c:v>
                </c:pt>
                <c:pt idx="2192">
                  <c:v>2016-06-17</c:v>
                </c:pt>
                <c:pt idx="2193">
                  <c:v>2016-06-20</c:v>
                </c:pt>
                <c:pt idx="2194">
                  <c:v>2016-06-21</c:v>
                </c:pt>
                <c:pt idx="2195">
                  <c:v>2016-06-22</c:v>
                </c:pt>
                <c:pt idx="2196">
                  <c:v>2016-06-23</c:v>
                </c:pt>
                <c:pt idx="2197">
                  <c:v>2016-06-24</c:v>
                </c:pt>
                <c:pt idx="2198">
                  <c:v>2016-06-27</c:v>
                </c:pt>
                <c:pt idx="2199">
                  <c:v>2016-06-28</c:v>
                </c:pt>
                <c:pt idx="2200">
                  <c:v>2016-06-29</c:v>
                </c:pt>
                <c:pt idx="2201">
                  <c:v>2016-06-30</c:v>
                </c:pt>
                <c:pt idx="2202">
                  <c:v>2016-07-01</c:v>
                </c:pt>
                <c:pt idx="2203">
                  <c:v>2016-07-04</c:v>
                </c:pt>
                <c:pt idx="2204">
                  <c:v>2016-07-05</c:v>
                </c:pt>
                <c:pt idx="2205">
                  <c:v>2016-07-06</c:v>
                </c:pt>
                <c:pt idx="2206">
                  <c:v>2016-07-07</c:v>
                </c:pt>
                <c:pt idx="2207">
                  <c:v>2016-07-08</c:v>
                </c:pt>
                <c:pt idx="2208">
                  <c:v>2016-07-11</c:v>
                </c:pt>
                <c:pt idx="2209">
                  <c:v>2016-07-12</c:v>
                </c:pt>
                <c:pt idx="2210">
                  <c:v>2016-07-13</c:v>
                </c:pt>
                <c:pt idx="2211">
                  <c:v>2016-07-14</c:v>
                </c:pt>
                <c:pt idx="2212">
                  <c:v>2016-07-15</c:v>
                </c:pt>
                <c:pt idx="2213">
                  <c:v>2016-07-18</c:v>
                </c:pt>
                <c:pt idx="2214">
                  <c:v>2016-07-19</c:v>
                </c:pt>
                <c:pt idx="2215">
                  <c:v>2016-07-20</c:v>
                </c:pt>
                <c:pt idx="2216">
                  <c:v>2016-07-21</c:v>
                </c:pt>
                <c:pt idx="2217">
                  <c:v>2016-07-22</c:v>
                </c:pt>
                <c:pt idx="2218">
                  <c:v>2016-07-25</c:v>
                </c:pt>
                <c:pt idx="2219">
                  <c:v>2016-07-26</c:v>
                </c:pt>
                <c:pt idx="2220">
                  <c:v>2016-07-27</c:v>
                </c:pt>
                <c:pt idx="2221">
                  <c:v>2016-07-28</c:v>
                </c:pt>
                <c:pt idx="2222">
                  <c:v>2016-07-29</c:v>
                </c:pt>
                <c:pt idx="2223">
                  <c:v>2016-08-01</c:v>
                </c:pt>
                <c:pt idx="2224">
                  <c:v>2016-08-02</c:v>
                </c:pt>
                <c:pt idx="2225">
                  <c:v>2016-08-03</c:v>
                </c:pt>
                <c:pt idx="2226">
                  <c:v>2016-08-04</c:v>
                </c:pt>
                <c:pt idx="2227">
                  <c:v>2016-08-05</c:v>
                </c:pt>
                <c:pt idx="2228">
                  <c:v>2016-08-08</c:v>
                </c:pt>
                <c:pt idx="2229">
                  <c:v>2016-08-09</c:v>
                </c:pt>
                <c:pt idx="2230">
                  <c:v>2016-08-10</c:v>
                </c:pt>
                <c:pt idx="2231">
                  <c:v>2016-08-11</c:v>
                </c:pt>
                <c:pt idx="2232">
                  <c:v>2016-08-12</c:v>
                </c:pt>
                <c:pt idx="2233">
                  <c:v>2016-08-15</c:v>
                </c:pt>
                <c:pt idx="2234">
                  <c:v>2016-08-16</c:v>
                </c:pt>
                <c:pt idx="2235">
                  <c:v>2016-08-17</c:v>
                </c:pt>
                <c:pt idx="2236">
                  <c:v>2016-08-18</c:v>
                </c:pt>
                <c:pt idx="2237">
                  <c:v>2016-08-19</c:v>
                </c:pt>
                <c:pt idx="2238">
                  <c:v>2016-08-22</c:v>
                </c:pt>
                <c:pt idx="2239">
                  <c:v>2016-08-23</c:v>
                </c:pt>
                <c:pt idx="2240">
                  <c:v>2016-08-24</c:v>
                </c:pt>
                <c:pt idx="2241">
                  <c:v>2016-08-25</c:v>
                </c:pt>
                <c:pt idx="2242">
                  <c:v>2016-08-26</c:v>
                </c:pt>
                <c:pt idx="2243">
                  <c:v>2016-08-29</c:v>
                </c:pt>
                <c:pt idx="2244">
                  <c:v>2016-08-30</c:v>
                </c:pt>
                <c:pt idx="2245">
                  <c:v>2016-08-31</c:v>
                </c:pt>
                <c:pt idx="2246">
                  <c:v>2016-09-01</c:v>
                </c:pt>
                <c:pt idx="2247">
                  <c:v>2016-09-02</c:v>
                </c:pt>
                <c:pt idx="2248">
                  <c:v>2016-09-05</c:v>
                </c:pt>
                <c:pt idx="2249">
                  <c:v>2016-09-06</c:v>
                </c:pt>
                <c:pt idx="2250">
                  <c:v>2016-09-07</c:v>
                </c:pt>
                <c:pt idx="2251">
                  <c:v>2016-09-08</c:v>
                </c:pt>
                <c:pt idx="2252">
                  <c:v>2016-09-09</c:v>
                </c:pt>
                <c:pt idx="2253">
                  <c:v>2016-09-12</c:v>
                </c:pt>
                <c:pt idx="2254">
                  <c:v>2016-09-13</c:v>
                </c:pt>
                <c:pt idx="2255">
                  <c:v>2016-09-14</c:v>
                </c:pt>
                <c:pt idx="2256">
                  <c:v>2016-09-15</c:v>
                </c:pt>
                <c:pt idx="2257">
                  <c:v>2016-09-16</c:v>
                </c:pt>
                <c:pt idx="2258">
                  <c:v>2016-09-19</c:v>
                </c:pt>
                <c:pt idx="2259">
                  <c:v>2016-09-20</c:v>
                </c:pt>
                <c:pt idx="2260">
                  <c:v>2016-09-21</c:v>
                </c:pt>
                <c:pt idx="2261">
                  <c:v>2016-09-22</c:v>
                </c:pt>
                <c:pt idx="2262">
                  <c:v>2016-09-23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2016-10-03</c:v>
                </c:pt>
                <c:pt idx="2269">
                  <c:v>2016-10-04</c:v>
                </c:pt>
                <c:pt idx="2270">
                  <c:v>2016-10-05</c:v>
                </c:pt>
                <c:pt idx="2271">
                  <c:v>2016-10-06</c:v>
                </c:pt>
                <c:pt idx="2272">
                  <c:v>2016-10-07</c:v>
                </c:pt>
                <c:pt idx="2273">
                  <c:v>2016-10-10</c:v>
                </c:pt>
                <c:pt idx="2274">
                  <c:v>2016-10-11</c:v>
                </c:pt>
                <c:pt idx="2275">
                  <c:v>2016-10-12</c:v>
                </c:pt>
                <c:pt idx="2276">
                  <c:v>2016-10-13</c:v>
                </c:pt>
                <c:pt idx="2277">
                  <c:v>2016-10-14</c:v>
                </c:pt>
                <c:pt idx="2278">
                  <c:v>2016-10-17</c:v>
                </c:pt>
                <c:pt idx="2279">
                  <c:v>2016-10-18</c:v>
                </c:pt>
                <c:pt idx="2280">
                  <c:v>2016-10-19</c:v>
                </c:pt>
                <c:pt idx="2281">
                  <c:v>2016-10-20</c:v>
                </c:pt>
                <c:pt idx="2282">
                  <c:v>2016-10-21</c:v>
                </c:pt>
                <c:pt idx="2283">
                  <c:v>2016-10-24</c:v>
                </c:pt>
                <c:pt idx="2284">
                  <c:v>2016-10-25</c:v>
                </c:pt>
                <c:pt idx="2285">
                  <c:v>2016-10-26</c:v>
                </c:pt>
                <c:pt idx="2286">
                  <c:v>2016-10-27</c:v>
                </c:pt>
                <c:pt idx="2287">
                  <c:v>2016-10-28</c:v>
                </c:pt>
                <c:pt idx="2288">
                  <c:v>2016-10-31</c:v>
                </c:pt>
                <c:pt idx="2289">
                  <c:v>2016-11-01</c:v>
                </c:pt>
                <c:pt idx="2290">
                  <c:v>2016-11-02</c:v>
                </c:pt>
                <c:pt idx="2291">
                  <c:v>2016-11-03</c:v>
                </c:pt>
                <c:pt idx="2292">
                  <c:v>2016-11-04</c:v>
                </c:pt>
                <c:pt idx="2293">
                  <c:v>2016-11-07</c:v>
                </c:pt>
                <c:pt idx="2294">
                  <c:v>2016-11-08</c:v>
                </c:pt>
                <c:pt idx="2295">
                  <c:v>2016-11-09</c:v>
                </c:pt>
                <c:pt idx="2296">
                  <c:v>2016-11-10</c:v>
                </c:pt>
                <c:pt idx="2297">
                  <c:v>2016-11-11</c:v>
                </c:pt>
                <c:pt idx="2298">
                  <c:v>2016-11-14</c:v>
                </c:pt>
                <c:pt idx="2299">
                  <c:v>2016-11-15</c:v>
                </c:pt>
                <c:pt idx="2300">
                  <c:v>2016-11-16</c:v>
                </c:pt>
                <c:pt idx="2301">
                  <c:v>2016-11-17</c:v>
                </c:pt>
                <c:pt idx="2302">
                  <c:v>2016-11-18</c:v>
                </c:pt>
                <c:pt idx="2303">
                  <c:v>2016-11-21</c:v>
                </c:pt>
                <c:pt idx="2304">
                  <c:v>2016-11-22</c:v>
                </c:pt>
                <c:pt idx="2305">
                  <c:v>2016-11-23</c:v>
                </c:pt>
                <c:pt idx="2306">
                  <c:v>2016-11-24</c:v>
                </c:pt>
                <c:pt idx="2307">
                  <c:v>2016-11-25</c:v>
                </c:pt>
                <c:pt idx="2308">
                  <c:v>2016-11-28</c:v>
                </c:pt>
                <c:pt idx="2309">
                  <c:v>2016-11-29</c:v>
                </c:pt>
                <c:pt idx="2310">
                  <c:v>2016-11-30</c:v>
                </c:pt>
                <c:pt idx="2311">
                  <c:v>2016-12-01</c:v>
                </c:pt>
                <c:pt idx="2312">
                  <c:v>2016-12-02</c:v>
                </c:pt>
                <c:pt idx="2313">
                  <c:v>2016-12-05</c:v>
                </c:pt>
                <c:pt idx="2314">
                  <c:v>2016-12-06</c:v>
                </c:pt>
                <c:pt idx="2315">
                  <c:v>2016-12-07</c:v>
                </c:pt>
                <c:pt idx="2316">
                  <c:v>2016-12-08</c:v>
                </c:pt>
                <c:pt idx="2317">
                  <c:v>2016-12-09</c:v>
                </c:pt>
                <c:pt idx="2318">
                  <c:v>2016-12-12</c:v>
                </c:pt>
                <c:pt idx="2319">
                  <c:v>2016-12-13</c:v>
                </c:pt>
                <c:pt idx="2320">
                  <c:v>2016-12-14</c:v>
                </c:pt>
                <c:pt idx="2321">
                  <c:v>2016-12-15</c:v>
                </c:pt>
                <c:pt idx="2322">
                  <c:v>2016-12-16</c:v>
                </c:pt>
                <c:pt idx="2323">
                  <c:v>2016-12-19</c:v>
                </c:pt>
                <c:pt idx="2324">
                  <c:v>2016-12-20</c:v>
                </c:pt>
                <c:pt idx="2325">
                  <c:v>2016-12-21</c:v>
                </c:pt>
                <c:pt idx="2326">
                  <c:v>2016-12-22</c:v>
                </c:pt>
                <c:pt idx="2327">
                  <c:v>2016-12-23</c:v>
                </c:pt>
                <c:pt idx="2328">
                  <c:v>2016-12-26</c:v>
                </c:pt>
                <c:pt idx="2329">
                  <c:v>2016-12-27</c:v>
                </c:pt>
                <c:pt idx="2330">
                  <c:v>2016-12-28</c:v>
                </c:pt>
                <c:pt idx="2331">
                  <c:v>2016-12-29</c:v>
                </c:pt>
                <c:pt idx="2332">
                  <c:v>2016-12-30</c:v>
                </c:pt>
                <c:pt idx="2333">
                  <c:v>2017-01-02</c:v>
                </c:pt>
                <c:pt idx="2334">
                  <c:v>2017-01-03</c:v>
                </c:pt>
                <c:pt idx="2335">
                  <c:v>2017-01-04</c:v>
                </c:pt>
                <c:pt idx="2336">
                  <c:v>2017-01-05</c:v>
                </c:pt>
                <c:pt idx="2337">
                  <c:v>2017-01-06</c:v>
                </c:pt>
                <c:pt idx="2338">
                  <c:v>2017-01-09</c:v>
                </c:pt>
                <c:pt idx="2339">
                  <c:v>2017-01-10</c:v>
                </c:pt>
                <c:pt idx="2340">
                  <c:v>2017-01-11</c:v>
                </c:pt>
                <c:pt idx="2341">
                  <c:v>2017-01-12</c:v>
                </c:pt>
                <c:pt idx="2342">
                  <c:v>2017-01-13</c:v>
                </c:pt>
                <c:pt idx="2343">
                  <c:v>2017-01-16</c:v>
                </c:pt>
                <c:pt idx="2344">
                  <c:v>2017-01-17</c:v>
                </c:pt>
                <c:pt idx="2345">
                  <c:v>2017-01-18</c:v>
                </c:pt>
                <c:pt idx="2346">
                  <c:v>2017-01-19</c:v>
                </c:pt>
                <c:pt idx="2347">
                  <c:v>2017-01-20</c:v>
                </c:pt>
                <c:pt idx="2348">
                  <c:v>2017-01-23</c:v>
                </c:pt>
                <c:pt idx="2349">
                  <c:v>2017-01-24</c:v>
                </c:pt>
                <c:pt idx="2350">
                  <c:v>2017-01-25</c:v>
                </c:pt>
                <c:pt idx="2351">
                  <c:v>2017-01-26</c:v>
                </c:pt>
                <c:pt idx="2352">
                  <c:v>2017-01-27</c:v>
                </c:pt>
                <c:pt idx="2353">
                  <c:v>2017-01-30</c:v>
                </c:pt>
                <c:pt idx="2354">
                  <c:v>2017-01-31</c:v>
                </c:pt>
                <c:pt idx="2355">
                  <c:v>2017-02-01</c:v>
                </c:pt>
                <c:pt idx="2356">
                  <c:v>2017-02-02</c:v>
                </c:pt>
                <c:pt idx="2357">
                  <c:v>2017-02-03</c:v>
                </c:pt>
                <c:pt idx="2358">
                  <c:v>2017-02-06</c:v>
                </c:pt>
                <c:pt idx="2359">
                  <c:v>2017-02-07</c:v>
                </c:pt>
                <c:pt idx="2360">
                  <c:v>2017-02-08</c:v>
                </c:pt>
                <c:pt idx="2361">
                  <c:v>2017-02-09</c:v>
                </c:pt>
                <c:pt idx="2362">
                  <c:v>2017-02-10</c:v>
                </c:pt>
                <c:pt idx="2363">
                  <c:v>2017-02-13</c:v>
                </c:pt>
                <c:pt idx="2364">
                  <c:v>2017-02-14</c:v>
                </c:pt>
                <c:pt idx="2365">
                  <c:v>2017-02-15</c:v>
                </c:pt>
                <c:pt idx="2366">
                  <c:v>2017-02-16</c:v>
                </c:pt>
                <c:pt idx="2367">
                  <c:v>2017-02-17</c:v>
                </c:pt>
                <c:pt idx="2368">
                  <c:v>2017-02-20</c:v>
                </c:pt>
                <c:pt idx="2369">
                  <c:v>2017-02-21</c:v>
                </c:pt>
                <c:pt idx="2370">
                  <c:v>2017-02-22</c:v>
                </c:pt>
                <c:pt idx="2371">
                  <c:v>2017-02-23</c:v>
                </c:pt>
                <c:pt idx="2372">
                  <c:v>2017-02-24</c:v>
                </c:pt>
                <c:pt idx="2373">
                  <c:v>2017-02-27</c:v>
                </c:pt>
                <c:pt idx="2374">
                  <c:v>2017-02-28</c:v>
                </c:pt>
                <c:pt idx="2375">
                  <c:v>2017-03-01</c:v>
                </c:pt>
                <c:pt idx="2376">
                  <c:v>2017-03-02</c:v>
                </c:pt>
                <c:pt idx="2377">
                  <c:v>2017-03-03</c:v>
                </c:pt>
                <c:pt idx="2378">
                  <c:v>2017-03-06</c:v>
                </c:pt>
                <c:pt idx="2379">
                  <c:v>2017-03-07</c:v>
                </c:pt>
                <c:pt idx="2380">
                  <c:v>2017-03-08</c:v>
                </c:pt>
                <c:pt idx="2381">
                  <c:v>2017-03-09</c:v>
                </c:pt>
                <c:pt idx="2382">
                  <c:v>2017-03-10</c:v>
                </c:pt>
                <c:pt idx="2383">
                  <c:v>2017-03-13</c:v>
                </c:pt>
                <c:pt idx="2384">
                  <c:v>2017-03-14</c:v>
                </c:pt>
                <c:pt idx="2385">
                  <c:v>2017-03-15</c:v>
                </c:pt>
                <c:pt idx="2386">
                  <c:v>2017-03-16</c:v>
                </c:pt>
                <c:pt idx="2387">
                  <c:v>2017-03-17</c:v>
                </c:pt>
                <c:pt idx="2388">
                  <c:v>2017-03-20</c:v>
                </c:pt>
                <c:pt idx="2389">
                  <c:v>2017-03-21</c:v>
                </c:pt>
                <c:pt idx="2390">
                  <c:v>2017-03-22</c:v>
                </c:pt>
                <c:pt idx="2391">
                  <c:v>2017-03-23</c:v>
                </c:pt>
                <c:pt idx="2392">
                  <c:v>2017-03-24</c:v>
                </c:pt>
                <c:pt idx="2393">
                  <c:v>2017-03-27</c:v>
                </c:pt>
                <c:pt idx="2394">
                  <c:v>2017-03-28</c:v>
                </c:pt>
                <c:pt idx="2395">
                  <c:v>2017-03-29</c:v>
                </c:pt>
                <c:pt idx="2396">
                  <c:v>2017-03-30</c:v>
                </c:pt>
                <c:pt idx="2397">
                  <c:v>2017-03-31</c:v>
                </c:pt>
                <c:pt idx="2398">
                  <c:v>2017-04-03</c:v>
                </c:pt>
                <c:pt idx="2399">
                  <c:v>2017-04-04</c:v>
                </c:pt>
                <c:pt idx="2400">
                  <c:v>2017-04-05</c:v>
                </c:pt>
                <c:pt idx="2401">
                  <c:v>2017-04-06</c:v>
                </c:pt>
                <c:pt idx="2402">
                  <c:v>2017-04-07</c:v>
                </c:pt>
                <c:pt idx="2403">
                  <c:v>2017-04-10</c:v>
                </c:pt>
                <c:pt idx="2404">
                  <c:v>2017-04-11</c:v>
                </c:pt>
                <c:pt idx="2405">
                  <c:v>2017-04-12</c:v>
                </c:pt>
                <c:pt idx="2406">
                  <c:v>2017-04-13</c:v>
                </c:pt>
                <c:pt idx="2407">
                  <c:v>2017-04-14</c:v>
                </c:pt>
                <c:pt idx="2408">
                  <c:v>2017-04-17</c:v>
                </c:pt>
                <c:pt idx="2409">
                  <c:v>2017-04-18</c:v>
                </c:pt>
                <c:pt idx="2410">
                  <c:v>2017-04-19</c:v>
                </c:pt>
                <c:pt idx="2411">
                  <c:v>2017-04-20</c:v>
                </c:pt>
                <c:pt idx="2412">
                  <c:v>2017-04-21</c:v>
                </c:pt>
                <c:pt idx="2413">
                  <c:v>2017-04-24</c:v>
                </c:pt>
                <c:pt idx="2414">
                  <c:v>2017-04-25</c:v>
                </c:pt>
                <c:pt idx="2415">
                  <c:v>2017-04-26</c:v>
                </c:pt>
                <c:pt idx="2416">
                  <c:v>2017-04-27</c:v>
                </c:pt>
                <c:pt idx="2417">
                  <c:v>2017-04-28</c:v>
                </c:pt>
                <c:pt idx="2418">
                  <c:v>2017-05-01</c:v>
                </c:pt>
                <c:pt idx="2419">
                  <c:v>2017-05-02</c:v>
                </c:pt>
                <c:pt idx="2420">
                  <c:v>2017-05-03</c:v>
                </c:pt>
                <c:pt idx="2421">
                  <c:v>2017-05-04</c:v>
                </c:pt>
                <c:pt idx="2422">
                  <c:v>2017-05-05</c:v>
                </c:pt>
                <c:pt idx="2423">
                  <c:v>2017-05-08</c:v>
                </c:pt>
                <c:pt idx="2424">
                  <c:v>2017-05-09</c:v>
                </c:pt>
                <c:pt idx="2425">
                  <c:v>2017-05-10</c:v>
                </c:pt>
                <c:pt idx="2426">
                  <c:v>2017-05-11</c:v>
                </c:pt>
                <c:pt idx="2427">
                  <c:v>2017-05-12</c:v>
                </c:pt>
                <c:pt idx="2428">
                  <c:v>2017-05-15</c:v>
                </c:pt>
                <c:pt idx="2429">
                  <c:v>2017-05-16</c:v>
                </c:pt>
                <c:pt idx="2430">
                  <c:v>2017-05-17</c:v>
                </c:pt>
                <c:pt idx="2431">
                  <c:v>2017-05-18</c:v>
                </c:pt>
                <c:pt idx="2432">
                  <c:v>2017-05-19</c:v>
                </c:pt>
                <c:pt idx="2433">
                  <c:v>2017-05-22</c:v>
                </c:pt>
                <c:pt idx="2434">
                  <c:v>2017-05-23</c:v>
                </c:pt>
                <c:pt idx="2435">
                  <c:v>2017-05-24</c:v>
                </c:pt>
                <c:pt idx="2436">
                  <c:v>2017-05-25</c:v>
                </c:pt>
                <c:pt idx="2437">
                  <c:v>2017-05-26</c:v>
                </c:pt>
                <c:pt idx="2438">
                  <c:v>2017-05-29</c:v>
                </c:pt>
                <c:pt idx="2439">
                  <c:v>2017-05-30</c:v>
                </c:pt>
                <c:pt idx="2440">
                  <c:v>2017-05-31</c:v>
                </c:pt>
                <c:pt idx="2441">
                  <c:v>2017-06-01</c:v>
                </c:pt>
                <c:pt idx="2442">
                  <c:v>2017-06-02</c:v>
                </c:pt>
                <c:pt idx="2443">
                  <c:v>2017-06-05</c:v>
                </c:pt>
                <c:pt idx="2444">
                  <c:v>2017-06-06</c:v>
                </c:pt>
                <c:pt idx="2445">
                  <c:v>2017-06-07</c:v>
                </c:pt>
                <c:pt idx="2446">
                  <c:v>2017-06-08</c:v>
                </c:pt>
                <c:pt idx="2447">
                  <c:v>2017-06-09</c:v>
                </c:pt>
                <c:pt idx="2448">
                  <c:v>2017-06-12</c:v>
                </c:pt>
                <c:pt idx="2449">
                  <c:v>2017-06-13</c:v>
                </c:pt>
                <c:pt idx="2450">
                  <c:v>2017-06-14</c:v>
                </c:pt>
                <c:pt idx="2451">
                  <c:v>2017-06-15</c:v>
                </c:pt>
                <c:pt idx="2452">
                  <c:v>2017-06-16</c:v>
                </c:pt>
                <c:pt idx="2453">
                  <c:v>2017-06-19</c:v>
                </c:pt>
                <c:pt idx="2454">
                  <c:v>2017-06-20</c:v>
                </c:pt>
                <c:pt idx="2455">
                  <c:v>2017-06-21</c:v>
                </c:pt>
                <c:pt idx="2456">
                  <c:v>2017-06-22</c:v>
                </c:pt>
                <c:pt idx="2457">
                  <c:v>2017-06-23</c:v>
                </c:pt>
                <c:pt idx="2458">
                  <c:v>2017-06-26</c:v>
                </c:pt>
                <c:pt idx="2459">
                  <c:v>2017-06-27</c:v>
                </c:pt>
                <c:pt idx="2460">
                  <c:v>2017-06-28</c:v>
                </c:pt>
                <c:pt idx="2461">
                  <c:v>2017-06-29</c:v>
                </c:pt>
                <c:pt idx="2462">
                  <c:v>2017-06-30</c:v>
                </c:pt>
                <c:pt idx="2463">
                  <c:v>2017-07-03</c:v>
                </c:pt>
                <c:pt idx="2464">
                  <c:v>2017-07-04</c:v>
                </c:pt>
                <c:pt idx="2465">
                  <c:v>2017-07-05</c:v>
                </c:pt>
                <c:pt idx="2466">
                  <c:v>2017-07-06</c:v>
                </c:pt>
                <c:pt idx="2467">
                  <c:v>2017-07-07</c:v>
                </c:pt>
                <c:pt idx="2468">
                  <c:v>2017-07-10</c:v>
                </c:pt>
                <c:pt idx="2469">
                  <c:v>2017-07-11</c:v>
                </c:pt>
                <c:pt idx="2470">
                  <c:v>2017-07-12</c:v>
                </c:pt>
                <c:pt idx="2471">
                  <c:v>2017-07-13</c:v>
                </c:pt>
                <c:pt idx="2472">
                  <c:v>2017-07-14</c:v>
                </c:pt>
                <c:pt idx="2473">
                  <c:v>2017-07-17</c:v>
                </c:pt>
                <c:pt idx="2474">
                  <c:v>2017-07-18</c:v>
                </c:pt>
                <c:pt idx="2475">
                  <c:v>2017-07-19</c:v>
                </c:pt>
                <c:pt idx="2476">
                  <c:v>2017-07-20</c:v>
                </c:pt>
                <c:pt idx="2477">
                  <c:v>2017-07-21</c:v>
                </c:pt>
                <c:pt idx="2478">
                  <c:v>2017-07-24</c:v>
                </c:pt>
                <c:pt idx="2479">
                  <c:v>2017-07-25</c:v>
                </c:pt>
                <c:pt idx="2480">
                  <c:v>2017-07-26</c:v>
                </c:pt>
                <c:pt idx="2481">
                  <c:v>2017-07-27</c:v>
                </c:pt>
                <c:pt idx="2482">
                  <c:v>2017-07-28</c:v>
                </c:pt>
                <c:pt idx="2483">
                  <c:v>2017-07-31</c:v>
                </c:pt>
                <c:pt idx="2484">
                  <c:v>2017-08-01</c:v>
                </c:pt>
                <c:pt idx="2485">
                  <c:v>2017-08-02</c:v>
                </c:pt>
                <c:pt idx="2486">
                  <c:v>2017-08-03</c:v>
                </c:pt>
                <c:pt idx="2487">
                  <c:v>2017-08-04</c:v>
                </c:pt>
                <c:pt idx="2488">
                  <c:v>2017-08-07</c:v>
                </c:pt>
                <c:pt idx="2489">
                  <c:v>2017-08-08</c:v>
                </c:pt>
                <c:pt idx="2490">
                  <c:v>2017-08-09</c:v>
                </c:pt>
                <c:pt idx="2491">
                  <c:v>2017-08-10</c:v>
                </c:pt>
                <c:pt idx="2492">
                  <c:v>2017-08-11</c:v>
                </c:pt>
                <c:pt idx="2493">
                  <c:v>2017-08-14</c:v>
                </c:pt>
                <c:pt idx="2494">
                  <c:v>2017-08-15</c:v>
                </c:pt>
                <c:pt idx="2495">
                  <c:v>2017-08-16</c:v>
                </c:pt>
                <c:pt idx="2496">
                  <c:v>2017-08-17</c:v>
                </c:pt>
                <c:pt idx="2497">
                  <c:v>2017-08-18</c:v>
                </c:pt>
                <c:pt idx="2498">
                  <c:v>2017-08-21</c:v>
                </c:pt>
                <c:pt idx="2499">
                  <c:v>2017-08-22</c:v>
                </c:pt>
                <c:pt idx="2500">
                  <c:v>2017-08-23</c:v>
                </c:pt>
                <c:pt idx="2501">
                  <c:v>2017-08-24</c:v>
                </c:pt>
                <c:pt idx="2502">
                  <c:v>2017-08-25</c:v>
                </c:pt>
                <c:pt idx="2503">
                  <c:v>2017-08-28</c:v>
                </c:pt>
                <c:pt idx="2504">
                  <c:v>2017-08-29</c:v>
                </c:pt>
                <c:pt idx="2505">
                  <c:v>2017-08-30</c:v>
                </c:pt>
                <c:pt idx="2506">
                  <c:v>2017-08-31</c:v>
                </c:pt>
                <c:pt idx="2507">
                  <c:v>2017-09-01</c:v>
                </c:pt>
                <c:pt idx="2508">
                  <c:v>2017-09-04</c:v>
                </c:pt>
                <c:pt idx="2509">
                  <c:v>2017-09-05</c:v>
                </c:pt>
                <c:pt idx="2510">
                  <c:v>2017-09-06</c:v>
                </c:pt>
                <c:pt idx="2511">
                  <c:v>2017-09-07</c:v>
                </c:pt>
                <c:pt idx="2512">
                  <c:v>2017-09-08</c:v>
                </c:pt>
                <c:pt idx="2513">
                  <c:v>2017-09-11</c:v>
                </c:pt>
                <c:pt idx="2514">
                  <c:v>2017-09-12</c:v>
                </c:pt>
                <c:pt idx="2515">
                  <c:v>2017-09-13</c:v>
                </c:pt>
                <c:pt idx="2516">
                  <c:v>2017-09-14</c:v>
                </c:pt>
                <c:pt idx="2517">
                  <c:v>2017-09-15</c:v>
                </c:pt>
                <c:pt idx="2518">
                  <c:v>2017-09-18</c:v>
                </c:pt>
                <c:pt idx="2519">
                  <c:v>2017-09-19</c:v>
                </c:pt>
                <c:pt idx="2520">
                  <c:v>2017-09-20</c:v>
                </c:pt>
                <c:pt idx="2521">
                  <c:v>2017-09-21</c:v>
                </c:pt>
                <c:pt idx="2522">
                  <c:v>2017-09-22</c:v>
                </c:pt>
                <c:pt idx="2523">
                  <c:v>2017-09-25</c:v>
                </c:pt>
                <c:pt idx="2524">
                  <c:v>2017-09-26</c:v>
                </c:pt>
                <c:pt idx="2525">
                  <c:v>2017-09-27</c:v>
                </c:pt>
                <c:pt idx="2526">
                  <c:v>2017-09-28</c:v>
                </c:pt>
                <c:pt idx="2527">
                  <c:v>2017-09-29</c:v>
                </c:pt>
                <c:pt idx="2528">
                  <c:v>2017-10-02</c:v>
                </c:pt>
                <c:pt idx="2529">
                  <c:v>2017-10-03</c:v>
                </c:pt>
                <c:pt idx="2530">
                  <c:v>2017-10-04</c:v>
                </c:pt>
                <c:pt idx="2531">
                  <c:v>2017-10-05</c:v>
                </c:pt>
                <c:pt idx="2532">
                  <c:v>2017-10-06</c:v>
                </c:pt>
                <c:pt idx="2533">
                  <c:v>2017-10-09</c:v>
                </c:pt>
                <c:pt idx="2534">
                  <c:v>2017-10-10</c:v>
                </c:pt>
                <c:pt idx="2535">
                  <c:v>2017-10-11</c:v>
                </c:pt>
                <c:pt idx="2536">
                  <c:v>2017-10-12</c:v>
                </c:pt>
                <c:pt idx="2537">
                  <c:v>2017-10-13</c:v>
                </c:pt>
                <c:pt idx="2538">
                  <c:v>2017-10-16</c:v>
                </c:pt>
                <c:pt idx="2539">
                  <c:v>2017-10-17</c:v>
                </c:pt>
                <c:pt idx="2540">
                  <c:v>2017-10-18</c:v>
                </c:pt>
                <c:pt idx="2541">
                  <c:v>2017-10-19</c:v>
                </c:pt>
                <c:pt idx="2542">
                  <c:v>2017-10-20</c:v>
                </c:pt>
                <c:pt idx="2543">
                  <c:v>2017-10-23</c:v>
                </c:pt>
                <c:pt idx="2544">
                  <c:v>2017-10-24</c:v>
                </c:pt>
                <c:pt idx="2545">
                  <c:v>2017-10-25</c:v>
                </c:pt>
                <c:pt idx="2546">
                  <c:v>2017-10-26</c:v>
                </c:pt>
                <c:pt idx="2547">
                  <c:v>2017-10-27</c:v>
                </c:pt>
                <c:pt idx="2548">
                  <c:v>2017-10-30</c:v>
                </c:pt>
                <c:pt idx="2549">
                  <c:v>2017-10-31</c:v>
                </c:pt>
                <c:pt idx="2550">
                  <c:v>2017-11-01</c:v>
                </c:pt>
                <c:pt idx="2551">
                  <c:v>2017-11-02</c:v>
                </c:pt>
                <c:pt idx="2552">
                  <c:v>2017-11-03</c:v>
                </c:pt>
                <c:pt idx="2553">
                  <c:v>2017-11-06</c:v>
                </c:pt>
                <c:pt idx="2554">
                  <c:v>2017-11-07</c:v>
                </c:pt>
                <c:pt idx="2555">
                  <c:v>2017-11-08</c:v>
                </c:pt>
                <c:pt idx="2556">
                  <c:v>2017-11-09</c:v>
                </c:pt>
                <c:pt idx="2557">
                  <c:v>2017-11-10</c:v>
                </c:pt>
                <c:pt idx="2558">
                  <c:v>2017-11-13</c:v>
                </c:pt>
                <c:pt idx="2559">
                  <c:v>2017-11-14</c:v>
                </c:pt>
                <c:pt idx="2560">
                  <c:v>2017-11-15</c:v>
                </c:pt>
                <c:pt idx="2561">
                  <c:v>2017-11-16</c:v>
                </c:pt>
                <c:pt idx="2562">
                  <c:v>2017-11-17</c:v>
                </c:pt>
                <c:pt idx="2563">
                  <c:v>2017-11-20</c:v>
                </c:pt>
                <c:pt idx="2564">
                  <c:v>2017-11-21</c:v>
                </c:pt>
                <c:pt idx="2565">
                  <c:v>2017-11-22</c:v>
                </c:pt>
                <c:pt idx="2566">
                  <c:v>2017-11-23</c:v>
                </c:pt>
                <c:pt idx="2567">
                  <c:v>2017-11-24</c:v>
                </c:pt>
                <c:pt idx="2568">
                  <c:v>2017-11-27</c:v>
                </c:pt>
                <c:pt idx="2569">
                  <c:v>2017-11-28</c:v>
                </c:pt>
                <c:pt idx="2570">
                  <c:v>2017-11-29</c:v>
                </c:pt>
                <c:pt idx="2571">
                  <c:v>2017-11-30</c:v>
                </c:pt>
                <c:pt idx="2572">
                  <c:v>2017-12-01</c:v>
                </c:pt>
                <c:pt idx="2573">
                  <c:v>2017-12-04</c:v>
                </c:pt>
                <c:pt idx="2574">
                  <c:v>2017-12-05</c:v>
                </c:pt>
                <c:pt idx="2575">
                  <c:v>2017-12-06</c:v>
                </c:pt>
                <c:pt idx="2576">
                  <c:v>2017-12-07</c:v>
                </c:pt>
                <c:pt idx="2577">
                  <c:v>2017-12-08</c:v>
                </c:pt>
                <c:pt idx="2578">
                  <c:v>2017-12-11</c:v>
                </c:pt>
                <c:pt idx="2579">
                  <c:v>2017-12-12</c:v>
                </c:pt>
                <c:pt idx="2580">
                  <c:v>2017-12-13</c:v>
                </c:pt>
                <c:pt idx="2581">
                  <c:v>2017-12-14</c:v>
                </c:pt>
                <c:pt idx="2582">
                  <c:v>2017-12-15</c:v>
                </c:pt>
                <c:pt idx="2583">
                  <c:v>2017-12-18</c:v>
                </c:pt>
                <c:pt idx="2584">
                  <c:v>2017-12-19</c:v>
                </c:pt>
                <c:pt idx="2585">
                  <c:v>2017-12-20</c:v>
                </c:pt>
                <c:pt idx="2586">
                  <c:v>2017-12-21</c:v>
                </c:pt>
                <c:pt idx="2587">
                  <c:v>2017-12-22</c:v>
                </c:pt>
                <c:pt idx="2588">
                  <c:v>2017-12-26</c:v>
                </c:pt>
                <c:pt idx="2589">
                  <c:v>2017-12-27</c:v>
                </c:pt>
                <c:pt idx="2590">
                  <c:v>2017-12-28</c:v>
                </c:pt>
                <c:pt idx="2591">
                  <c:v>2017-12-29</c:v>
                </c:pt>
              </c:strCache>
            </c:strRef>
          </c:cat>
          <c:val>
            <c:numRef>
              <c:f>'그래프 분석'!$E$2:$E$2593</c:f>
              <c:numCache>
                <c:formatCode>General</c:formatCode>
                <c:ptCount val="2592"/>
                <c:pt idx="0">
                  <c:v>100</c:v>
                </c:pt>
                <c:pt idx="1">
                  <c:v>99.7322566935827</c:v>
                </c:pt>
                <c:pt idx="2">
                  <c:v>100.199745006375</c:v>
                </c:pt>
                <c:pt idx="3">
                  <c:v>98.1725456863578</c:v>
                </c:pt>
                <c:pt idx="4">
                  <c:v>97.8920526986825</c:v>
                </c:pt>
                <c:pt idx="5">
                  <c:v>98.8227794305142</c:v>
                </c:pt>
                <c:pt idx="6">
                  <c:v>97.5223119422014</c:v>
                </c:pt>
                <c:pt idx="7">
                  <c:v>95.3718657033574</c:v>
                </c:pt>
                <c:pt idx="8">
                  <c:v>94.6918827029324</c:v>
                </c:pt>
                <c:pt idx="9">
                  <c:v>93.8844028899277</c:v>
                </c:pt>
                <c:pt idx="10">
                  <c:v>91.742456438589</c:v>
                </c:pt>
                <c:pt idx="11">
                  <c:v>93.0004249893753</c:v>
                </c:pt>
                <c:pt idx="12">
                  <c:v>93.4424139396515</c:v>
                </c:pt>
                <c:pt idx="13">
                  <c:v>90.7777305567361</c:v>
                </c:pt>
                <c:pt idx="14">
                  <c:v>86.9315767105822</c:v>
                </c:pt>
                <c:pt idx="15">
                  <c:v>88.0705482362941</c:v>
                </c:pt>
                <c:pt idx="16">
                  <c:v>89.7577560560986</c:v>
                </c:pt>
                <c:pt idx="17">
                  <c:v>91.3982150446239</c:v>
                </c:pt>
                <c:pt idx="18">
                  <c:v>87.7688057798555</c:v>
                </c:pt>
                <c:pt idx="19">
                  <c:v>88.7377815554611</c:v>
                </c:pt>
                <c:pt idx="20">
                  <c:v>86.4853378665533</c:v>
                </c:pt>
                <c:pt idx="21">
                  <c:v>88.3000424989375</c:v>
                </c:pt>
                <c:pt idx="22">
                  <c:v>88.8567785805355</c:v>
                </c:pt>
                <c:pt idx="23">
                  <c:v>91.8954526136847</c:v>
                </c:pt>
                <c:pt idx="24">
                  <c:v>92.1844453888653</c:v>
                </c:pt>
                <c:pt idx="25">
                  <c:v>92.1844453888653</c:v>
                </c:pt>
                <c:pt idx="26">
                  <c:v>92.1844453888653</c:v>
                </c:pt>
                <c:pt idx="27">
                  <c:v>92.1844453888653</c:v>
                </c:pt>
                <c:pt idx="28">
                  <c:v>88.788780280493</c:v>
                </c:pt>
                <c:pt idx="29">
                  <c:v>88.8270293242669</c:v>
                </c:pt>
                <c:pt idx="30">
                  <c:v>88.2107947301317</c:v>
                </c:pt>
                <c:pt idx="31">
                  <c:v>91.8827029324267</c:v>
                </c:pt>
                <c:pt idx="32">
                  <c:v>91.5342116447089</c:v>
                </c:pt>
                <c:pt idx="33">
                  <c:v>91.5682107947301</c:v>
                </c:pt>
                <c:pt idx="34">
                  <c:v>92.8049298767531</c:v>
                </c:pt>
                <c:pt idx="35">
                  <c:v>90.8797280067998</c:v>
                </c:pt>
                <c:pt idx="36">
                  <c:v>91.9592010199745</c:v>
                </c:pt>
                <c:pt idx="37">
                  <c:v>90.8329791755206</c:v>
                </c:pt>
                <c:pt idx="38">
                  <c:v>92.2524436889078</c:v>
                </c:pt>
                <c:pt idx="39">
                  <c:v>92.3161920951976</c:v>
                </c:pt>
                <c:pt idx="40">
                  <c:v>93.0174245643859</c:v>
                </c:pt>
                <c:pt idx="41">
                  <c:v>93.7484062898428</c:v>
                </c:pt>
                <c:pt idx="42">
                  <c:v>92.1589460263493</c:v>
                </c:pt>
                <c:pt idx="43">
                  <c:v>89.9830004249894</c:v>
                </c:pt>
                <c:pt idx="44">
                  <c:v>90.1572460688483</c:v>
                </c:pt>
                <c:pt idx="45">
                  <c:v>90.1572460688483</c:v>
                </c:pt>
                <c:pt idx="46">
                  <c:v>91.3387165320867</c:v>
                </c:pt>
                <c:pt idx="47">
                  <c:v>89.4900127496813</c:v>
                </c:pt>
                <c:pt idx="48">
                  <c:v>87.6710582235444</c:v>
                </c:pt>
                <c:pt idx="49">
                  <c:v>88.4232894177645</c:v>
                </c:pt>
                <c:pt idx="50">
                  <c:v>89.45601359966</c:v>
                </c:pt>
                <c:pt idx="51">
                  <c:v>86.8763280917977</c:v>
                </c:pt>
                <c:pt idx="52">
                  <c:v>86.1155971100722</c:v>
                </c:pt>
                <c:pt idx="53">
                  <c:v>84.8618784530387</c:v>
                </c:pt>
                <c:pt idx="54">
                  <c:v>85.7586060348491</c:v>
                </c:pt>
                <c:pt idx="55">
                  <c:v>87.7518062048449</c:v>
                </c:pt>
                <c:pt idx="56">
                  <c:v>87.8113047173821</c:v>
                </c:pt>
                <c:pt idx="57">
                  <c:v>89.1160220994475</c:v>
                </c:pt>
                <c:pt idx="58">
                  <c:v>89.6727581810455</c:v>
                </c:pt>
                <c:pt idx="59">
                  <c:v>90.8329791755206</c:v>
                </c:pt>
                <c:pt idx="60">
                  <c:v>91.1219719507012</c:v>
                </c:pt>
                <c:pt idx="61">
                  <c:v>90.8839779005525</c:v>
                </c:pt>
                <c:pt idx="62">
                  <c:v>92.3161920951976</c:v>
                </c:pt>
                <c:pt idx="63">
                  <c:v>92.4989375265618</c:v>
                </c:pt>
                <c:pt idx="64">
                  <c:v>92.5669358266043</c:v>
                </c:pt>
                <c:pt idx="65">
                  <c:v>95.0956226094348</c:v>
                </c:pt>
                <c:pt idx="66">
                  <c:v>96.4683382915427</c:v>
                </c:pt>
                <c:pt idx="67">
                  <c:v>96.4513387165321</c:v>
                </c:pt>
                <c:pt idx="68">
                  <c:v>96.8083297917552</c:v>
                </c:pt>
                <c:pt idx="69">
                  <c:v>95.6651083722907</c:v>
                </c:pt>
                <c:pt idx="70">
                  <c:v>95.6651083722907</c:v>
                </c:pt>
                <c:pt idx="71">
                  <c:v>96.2345941351466</c:v>
                </c:pt>
                <c:pt idx="72">
                  <c:v>97.2375690607735</c:v>
                </c:pt>
                <c:pt idx="73">
                  <c:v>95.4271143221419</c:v>
                </c:pt>
                <c:pt idx="74">
                  <c:v>94.9893752656184</c:v>
                </c:pt>
                <c:pt idx="75">
                  <c:v>95.7756056098598</c:v>
                </c:pt>
                <c:pt idx="76">
                  <c:v>96.46408839779</c:v>
                </c:pt>
                <c:pt idx="77">
                  <c:v>96.5788355291118</c:v>
                </c:pt>
                <c:pt idx="78">
                  <c:v>98.219294517637</c:v>
                </c:pt>
                <c:pt idx="79">
                  <c:v>97.416064598385</c:v>
                </c:pt>
                <c:pt idx="80">
                  <c:v>97.985550361241</c:v>
                </c:pt>
                <c:pt idx="81">
                  <c:v>98.0747981300467</c:v>
                </c:pt>
                <c:pt idx="82">
                  <c:v>99.6855078623034</c:v>
                </c:pt>
                <c:pt idx="83">
                  <c:v>99.8597535061623</c:v>
                </c:pt>
                <c:pt idx="84">
                  <c:v>99.1245218869528</c:v>
                </c:pt>
                <c:pt idx="85">
                  <c:v>99.8725031874203</c:v>
                </c:pt>
                <c:pt idx="86">
                  <c:v>99.8725031874203</c:v>
                </c:pt>
                <c:pt idx="87">
                  <c:v>101.223969400765</c:v>
                </c:pt>
                <c:pt idx="88">
                  <c:v>101.223969400765</c:v>
                </c:pt>
                <c:pt idx="89">
                  <c:v>101.797705057374</c:v>
                </c:pt>
                <c:pt idx="90">
                  <c:v>101.427964300892</c:v>
                </c:pt>
                <c:pt idx="91">
                  <c:v>100.8797280068</c:v>
                </c:pt>
                <c:pt idx="92">
                  <c:v>99.4390140246494</c:v>
                </c:pt>
                <c:pt idx="93">
                  <c:v>99.4390140246494</c:v>
                </c:pt>
                <c:pt idx="94">
                  <c:v>100.730981725457</c:v>
                </c:pt>
                <c:pt idx="95">
                  <c:v>100.739481512962</c:v>
                </c:pt>
                <c:pt idx="96">
                  <c:v>103.319167020824</c:v>
                </c:pt>
                <c:pt idx="97">
                  <c:v>103.501912452189</c:v>
                </c:pt>
                <c:pt idx="98">
                  <c:v>103.132171695708</c:v>
                </c:pt>
                <c:pt idx="99">
                  <c:v>102.260943476413</c:v>
                </c:pt>
                <c:pt idx="100">
                  <c:v>100.786230344241</c:v>
                </c:pt>
                <c:pt idx="101">
                  <c:v>100.004249893753</c:v>
                </c:pt>
                <c:pt idx="102">
                  <c:v>99.5070123246919</c:v>
                </c:pt>
                <c:pt idx="103">
                  <c:v>97.9303017424564</c:v>
                </c:pt>
                <c:pt idx="104">
                  <c:v>99.4347641308967</c:v>
                </c:pt>
                <c:pt idx="105">
                  <c:v>98.244793880153</c:v>
                </c:pt>
                <c:pt idx="106">
                  <c:v>100.46323841904</c:v>
                </c:pt>
                <c:pt idx="107">
                  <c:v>100.917977050574</c:v>
                </c:pt>
                <c:pt idx="108">
                  <c:v>100.628984275393</c:v>
                </c:pt>
                <c:pt idx="109">
                  <c:v>99.0820229494263</c:v>
                </c:pt>
                <c:pt idx="110">
                  <c:v>99.9107522311942</c:v>
                </c:pt>
                <c:pt idx="111">
                  <c:v>99.7705057373566</c:v>
                </c:pt>
                <c:pt idx="112">
                  <c:v>99.7705057373566</c:v>
                </c:pt>
                <c:pt idx="113">
                  <c:v>98.3212919677008</c:v>
                </c:pt>
                <c:pt idx="114">
                  <c:v>96.2855928601785</c:v>
                </c:pt>
                <c:pt idx="115">
                  <c:v>96.6510837229069</c:v>
                </c:pt>
                <c:pt idx="116">
                  <c:v>93.9949001274968</c:v>
                </c:pt>
                <c:pt idx="117">
                  <c:v>94.6833829154271</c:v>
                </c:pt>
                <c:pt idx="118">
                  <c:v>95.5843603909902</c:v>
                </c:pt>
                <c:pt idx="119">
                  <c:v>95.0531236719082</c:v>
                </c:pt>
                <c:pt idx="120">
                  <c:v>96.3025924351891</c:v>
                </c:pt>
                <c:pt idx="121">
                  <c:v>94.3603909902252</c:v>
                </c:pt>
                <c:pt idx="122">
                  <c:v>93.7399065023374</c:v>
                </c:pt>
                <c:pt idx="123">
                  <c:v>92.8644283892903</c:v>
                </c:pt>
                <c:pt idx="124">
                  <c:v>92.6349341266468</c:v>
                </c:pt>
                <c:pt idx="125">
                  <c:v>93.0514237144071</c:v>
                </c:pt>
                <c:pt idx="126">
                  <c:v>93.1236719082023</c:v>
                </c:pt>
                <c:pt idx="127">
                  <c:v>91.1984700382491</c:v>
                </c:pt>
                <c:pt idx="128">
                  <c:v>90.7437314067148</c:v>
                </c:pt>
                <c:pt idx="129">
                  <c:v>90.531236719082</c:v>
                </c:pt>
                <c:pt idx="130">
                  <c:v>88.380790480238</c:v>
                </c:pt>
                <c:pt idx="131">
                  <c:v>87.4245643858903</c:v>
                </c:pt>
                <c:pt idx="132">
                  <c:v>85.7373565660859</c:v>
                </c:pt>
                <c:pt idx="133">
                  <c:v>85.9923501912452</c:v>
                </c:pt>
                <c:pt idx="134">
                  <c:v>83.5189120271993</c:v>
                </c:pt>
                <c:pt idx="135">
                  <c:v>82.707182320442</c:v>
                </c:pt>
                <c:pt idx="136">
                  <c:v>83.4424139396515</c:v>
                </c:pt>
                <c:pt idx="137">
                  <c:v>85.0488737781555</c:v>
                </c:pt>
                <c:pt idx="138">
                  <c:v>84.6238844028899</c:v>
                </c:pt>
                <c:pt idx="139">
                  <c:v>82.027199320017</c:v>
                </c:pt>
                <c:pt idx="140">
                  <c:v>81.8019549511262</c:v>
                </c:pt>
                <c:pt idx="141">
                  <c:v>82.8261793455163</c:v>
                </c:pt>
                <c:pt idx="142">
                  <c:v>81.9634509137272</c:v>
                </c:pt>
                <c:pt idx="143">
                  <c:v>84.9978750531237</c:v>
                </c:pt>
                <c:pt idx="144">
                  <c:v>84.9001274968126</c:v>
                </c:pt>
                <c:pt idx="145">
                  <c:v>86.5448363790905</c:v>
                </c:pt>
                <c:pt idx="146">
                  <c:v>88.5422864428389</c:v>
                </c:pt>
                <c:pt idx="147">
                  <c:v>86.8125796855079</c:v>
                </c:pt>
                <c:pt idx="148">
                  <c:v>86.6850828729282</c:v>
                </c:pt>
                <c:pt idx="149">
                  <c:v>84.9553761155971</c:v>
                </c:pt>
                <c:pt idx="150">
                  <c:v>85.7713557161071</c:v>
                </c:pt>
                <c:pt idx="151">
                  <c:v>86.748831279218</c:v>
                </c:pt>
                <c:pt idx="152">
                  <c:v>85.6056098597535</c:v>
                </c:pt>
                <c:pt idx="153">
                  <c:v>83.9609009774756</c:v>
                </c:pt>
                <c:pt idx="154">
                  <c:v>83.4849128771781</c:v>
                </c:pt>
                <c:pt idx="155">
                  <c:v>85.9668508287293</c:v>
                </c:pt>
                <c:pt idx="156">
                  <c:v>85.129621759456</c:v>
                </c:pt>
                <c:pt idx="157">
                  <c:v>85.3208669783255</c:v>
                </c:pt>
                <c:pt idx="158">
                  <c:v>86.3578410539737</c:v>
                </c:pt>
                <c:pt idx="159">
                  <c:v>85.8988525286868</c:v>
                </c:pt>
                <c:pt idx="160">
                  <c:v>85.1083722906927</c:v>
                </c:pt>
                <c:pt idx="161">
                  <c:v>85.6353591160221</c:v>
                </c:pt>
                <c:pt idx="162">
                  <c:v>85.6353591160221</c:v>
                </c:pt>
                <c:pt idx="163">
                  <c:v>85.4101147471313</c:v>
                </c:pt>
                <c:pt idx="164">
                  <c:v>83.9609009774756</c:v>
                </c:pt>
                <c:pt idx="165">
                  <c:v>83.8716532086698</c:v>
                </c:pt>
                <c:pt idx="166">
                  <c:v>82.3841903952401</c:v>
                </c:pt>
                <c:pt idx="167">
                  <c:v>81.6149596260093</c:v>
                </c:pt>
                <c:pt idx="168">
                  <c:v>82.0186995325117</c:v>
                </c:pt>
                <c:pt idx="169">
                  <c:v>81.3259668508287</c:v>
                </c:pt>
                <c:pt idx="170">
                  <c:v>81.4279643008925</c:v>
                </c:pt>
                <c:pt idx="171">
                  <c:v>80.2167445813855</c:v>
                </c:pt>
                <c:pt idx="172">
                  <c:v>80.3059923501912</c:v>
                </c:pt>
                <c:pt idx="173">
                  <c:v>77.4033149171271</c:v>
                </c:pt>
                <c:pt idx="174">
                  <c:v>77.5223119422014</c:v>
                </c:pt>
                <c:pt idx="175">
                  <c:v>78.3510412239694</c:v>
                </c:pt>
                <c:pt idx="176">
                  <c:v>78.0152996175096</c:v>
                </c:pt>
                <c:pt idx="177">
                  <c:v>76.7063323416915</c:v>
                </c:pt>
                <c:pt idx="178">
                  <c:v>80.7352316192095</c:v>
                </c:pt>
                <c:pt idx="179">
                  <c:v>79.468763280918</c:v>
                </c:pt>
                <c:pt idx="180">
                  <c:v>80.1104972375691</c:v>
                </c:pt>
                <c:pt idx="181">
                  <c:v>78.7377815554611</c:v>
                </c:pt>
                <c:pt idx="182">
                  <c:v>80.7054823629409</c:v>
                </c:pt>
                <c:pt idx="183">
                  <c:v>80.7054823629409</c:v>
                </c:pt>
                <c:pt idx="184">
                  <c:v>76.0730981725457</c:v>
                </c:pt>
                <c:pt idx="185">
                  <c:v>78.0025499362516</c:v>
                </c:pt>
                <c:pt idx="186">
                  <c:v>76.1793455163621</c:v>
                </c:pt>
                <c:pt idx="187">
                  <c:v>80.0297492562686</c:v>
                </c:pt>
                <c:pt idx="188">
                  <c:v>80.3909902252444</c:v>
                </c:pt>
                <c:pt idx="189">
                  <c:v>81.4194645133872</c:v>
                </c:pt>
                <c:pt idx="190">
                  <c:v>82.0994475138122</c:v>
                </c:pt>
                <c:pt idx="191">
                  <c:v>82.3926901827454</c:v>
                </c:pt>
                <c:pt idx="192">
                  <c:v>81.0029749256269</c:v>
                </c:pt>
                <c:pt idx="193">
                  <c:v>79.9405014874628</c:v>
                </c:pt>
                <c:pt idx="194">
                  <c:v>79.3115172120697</c:v>
                </c:pt>
                <c:pt idx="195">
                  <c:v>78.8440288992775</c:v>
                </c:pt>
                <c:pt idx="196">
                  <c:v>78.8440288992775</c:v>
                </c:pt>
                <c:pt idx="197">
                  <c:v>78.8440288992775</c:v>
                </c:pt>
                <c:pt idx="198">
                  <c:v>74.3858903527412</c:v>
                </c:pt>
                <c:pt idx="199">
                  <c:v>74.993625159371</c:v>
                </c:pt>
                <c:pt idx="200">
                  <c:v>71.0412239694008</c:v>
                </c:pt>
                <c:pt idx="201">
                  <c:v>71.7637059073523</c:v>
                </c:pt>
                <c:pt idx="202">
                  <c:v>68.8695282617935</c:v>
                </c:pt>
                <c:pt idx="203">
                  <c:v>71.35996600085</c:v>
                </c:pt>
                <c:pt idx="204">
                  <c:v>75.7118572035699</c:v>
                </c:pt>
                <c:pt idx="205">
                  <c:v>74.067148321292</c:v>
                </c:pt>
                <c:pt idx="206">
                  <c:v>66.9910752231194</c:v>
                </c:pt>
                <c:pt idx="207">
                  <c:v>65.0488737781555</c:v>
                </c:pt>
                <c:pt idx="208">
                  <c:v>66.9400764980876</c:v>
                </c:pt>
                <c:pt idx="209">
                  <c:v>66.2133446663834</c:v>
                </c:pt>
                <c:pt idx="210">
                  <c:v>62.9536761580961</c:v>
                </c:pt>
                <c:pt idx="211">
                  <c:v>58.4232894177646</c:v>
                </c:pt>
                <c:pt idx="212">
                  <c:v>52.3884402889928</c:v>
                </c:pt>
                <c:pt idx="213">
                  <c:v>53.5189120271993</c:v>
                </c:pt>
                <c:pt idx="214">
                  <c:v>56.2770930726732</c:v>
                </c:pt>
                <c:pt idx="215">
                  <c:v>54.6876328091798</c:v>
                </c:pt>
                <c:pt idx="216">
                  <c:v>61.3769655758606</c:v>
                </c:pt>
                <c:pt idx="217">
                  <c:v>62.6859328516787</c:v>
                </c:pt>
                <c:pt idx="218">
                  <c:v>63.2426689332767</c:v>
                </c:pt>
                <c:pt idx="219">
                  <c:v>64.4411389715257</c:v>
                </c:pt>
                <c:pt idx="220">
                  <c:v>65.8436039099022</c:v>
                </c:pt>
                <c:pt idx="221">
                  <c:v>60.9307267318317</c:v>
                </c:pt>
                <c:pt idx="222">
                  <c:v>63.0854228644284</c:v>
                </c:pt>
                <c:pt idx="223">
                  <c:v>64.1053973650659</c:v>
                </c:pt>
                <c:pt idx="224">
                  <c:v>62.7581810454739</c:v>
                </c:pt>
                <c:pt idx="225">
                  <c:v>62.5881852953676</c:v>
                </c:pt>
                <c:pt idx="226">
                  <c:v>60.6459838504037</c:v>
                </c:pt>
                <c:pt idx="227">
                  <c:v>60.4589885252869</c:v>
                </c:pt>
                <c:pt idx="228">
                  <c:v>59.740756481088</c:v>
                </c:pt>
                <c:pt idx="229">
                  <c:v>57.3225669358266</c:v>
                </c:pt>
                <c:pt idx="230">
                  <c:v>56.2388440288993</c:v>
                </c:pt>
                <c:pt idx="231">
                  <c:v>52.5031874203145</c:v>
                </c:pt>
                <c:pt idx="232">
                  <c:v>55.5716107097323</c:v>
                </c:pt>
                <c:pt idx="233">
                  <c:v>53.5571610709732</c:v>
                </c:pt>
                <c:pt idx="234">
                  <c:v>54.4028899277518</c:v>
                </c:pt>
                <c:pt idx="235">
                  <c:v>57.1610709732257</c:v>
                </c:pt>
                <c:pt idx="236">
                  <c:v>59.1457713557161</c:v>
                </c:pt>
                <c:pt idx="237">
                  <c:v>59.7790055248619</c:v>
                </c:pt>
                <c:pt idx="238">
                  <c:v>58.7972800679983</c:v>
                </c:pt>
                <c:pt idx="239">
                  <c:v>56.8210794730132</c:v>
                </c:pt>
                <c:pt idx="240">
                  <c:v>56.7870803229919</c:v>
                </c:pt>
                <c:pt idx="241">
                  <c:v>55.8563535911602</c:v>
                </c:pt>
                <c:pt idx="242">
                  <c:v>57.0888227794305</c:v>
                </c:pt>
                <c:pt idx="243">
                  <c:v>61.5767105822354</c:v>
                </c:pt>
                <c:pt idx="244">
                  <c:v>61.7084572885678</c:v>
                </c:pt>
                <c:pt idx="245">
                  <c:v>64.0586485337866</c:v>
                </c:pt>
                <c:pt idx="246">
                  <c:v>64.5686357841054</c:v>
                </c:pt>
                <c:pt idx="247">
                  <c:v>61.35996600085</c:v>
                </c:pt>
                <c:pt idx="248">
                  <c:v>64.3561410964726</c:v>
                </c:pt>
                <c:pt idx="249">
                  <c:v>64.3221419464513</c:v>
                </c:pt>
                <c:pt idx="250">
                  <c:v>64.8618784530387</c:v>
                </c:pt>
                <c:pt idx="251">
                  <c:v>65.1253718657034</c:v>
                </c:pt>
                <c:pt idx="252">
                  <c:v>65.4908627284318</c:v>
                </c:pt>
                <c:pt idx="253">
                  <c:v>65.4398640033999</c:v>
                </c:pt>
                <c:pt idx="254">
                  <c:v>63.2936676583085</c:v>
                </c:pt>
                <c:pt idx="255">
                  <c:v>62.4819379515512</c:v>
                </c:pt>
                <c:pt idx="256">
                  <c:v>61.9677008074798</c:v>
                </c:pt>
                <c:pt idx="257">
                  <c:v>61.9294517637059</c:v>
                </c:pt>
                <c:pt idx="258">
                  <c:v>62.1971950701232</c:v>
                </c:pt>
                <c:pt idx="259">
                  <c:v>62.1971950701232</c:v>
                </c:pt>
                <c:pt idx="260">
                  <c:v>64.2371440713982</c:v>
                </c:pt>
                <c:pt idx="261">
                  <c:v>65.3761155971101</c:v>
                </c:pt>
                <c:pt idx="262">
                  <c:v>66.6340841478963</c:v>
                </c:pt>
                <c:pt idx="263">
                  <c:v>68.5762855928602</c:v>
                </c:pt>
                <c:pt idx="264">
                  <c:v>67.046323841904</c:v>
                </c:pt>
                <c:pt idx="265">
                  <c:v>65.5206119847004</c:v>
                </c:pt>
                <c:pt idx="266">
                  <c:v>64.177645558861</c:v>
                </c:pt>
                <c:pt idx="267">
                  <c:v>64.7896302592435</c:v>
                </c:pt>
                <c:pt idx="268">
                  <c:v>65.660858478538</c:v>
                </c:pt>
                <c:pt idx="269">
                  <c:v>61.644708882278</c:v>
                </c:pt>
                <c:pt idx="270">
                  <c:v>62.9111772205695</c:v>
                </c:pt>
                <c:pt idx="271">
                  <c:v>63.7569060773481</c:v>
                </c:pt>
                <c:pt idx="272">
                  <c:v>62.2821929451764</c:v>
                </c:pt>
                <c:pt idx="273">
                  <c:v>60.8967275818105</c:v>
                </c:pt>
                <c:pt idx="274">
                  <c:v>61.6702082447939</c:v>
                </c:pt>
                <c:pt idx="275">
                  <c:v>60.2422439439014</c:v>
                </c:pt>
                <c:pt idx="276">
                  <c:v>60.2422439439014</c:v>
                </c:pt>
                <c:pt idx="277">
                  <c:v>60.2422439439014</c:v>
                </c:pt>
                <c:pt idx="278">
                  <c:v>64.190395240119</c:v>
                </c:pt>
                <c:pt idx="279">
                  <c:v>64.721631959201</c:v>
                </c:pt>
                <c:pt idx="280">
                  <c:v>64.313642158946</c:v>
                </c:pt>
                <c:pt idx="281">
                  <c:v>63.3234169145771</c:v>
                </c:pt>
                <c:pt idx="282">
                  <c:v>64.3518912027199</c:v>
                </c:pt>
                <c:pt idx="283">
                  <c:v>66.2940926476838</c:v>
                </c:pt>
                <c:pt idx="284">
                  <c:v>65.4483637909052</c:v>
                </c:pt>
                <c:pt idx="285">
                  <c:v>67.5308117297068</c:v>
                </c:pt>
                <c:pt idx="286">
                  <c:v>67.020824479388</c:v>
                </c:pt>
                <c:pt idx="287">
                  <c:v>66.6553336166596</c:v>
                </c:pt>
                <c:pt idx="288">
                  <c:v>65.9838504037399</c:v>
                </c:pt>
                <c:pt idx="289">
                  <c:v>65.3038674033149</c:v>
                </c:pt>
                <c:pt idx="290">
                  <c:v>65.9541011474713</c:v>
                </c:pt>
                <c:pt idx="291">
                  <c:v>64.8788780280493</c:v>
                </c:pt>
                <c:pt idx="292">
                  <c:v>62.3034424139397</c:v>
                </c:pt>
                <c:pt idx="293">
                  <c:v>61.2877178070548</c:v>
                </c:pt>
                <c:pt idx="294">
                  <c:v>61.0284742881428</c:v>
                </c:pt>
                <c:pt idx="295">
                  <c:v>58.7802804929877</c:v>
                </c:pt>
                <c:pt idx="296">
                  <c:v>60.679983000425</c:v>
                </c:pt>
                <c:pt idx="297">
                  <c:v>58.5720356991075</c:v>
                </c:pt>
                <c:pt idx="298">
                  <c:v>58.924776880578</c:v>
                </c:pt>
                <c:pt idx="299">
                  <c:v>58.2150446238844</c:v>
                </c:pt>
                <c:pt idx="300">
                  <c:v>58.6782830429239</c:v>
                </c:pt>
                <c:pt idx="301">
                  <c:v>56.2983425414365</c:v>
                </c:pt>
                <c:pt idx="302">
                  <c:v>56.8550786230344</c:v>
                </c:pt>
                <c:pt idx="303">
                  <c:v>58.7377815554611</c:v>
                </c:pt>
                <c:pt idx="304">
                  <c:v>58.7547811304717</c:v>
                </c:pt>
                <c:pt idx="305">
                  <c:v>58.5762855928602</c:v>
                </c:pt>
                <c:pt idx="306">
                  <c:v>59.4985125371866</c:v>
                </c:pt>
                <c:pt idx="307">
                  <c:v>60.6587335316617</c:v>
                </c:pt>
                <c:pt idx="308">
                  <c:v>62.7284317892053</c:v>
                </c:pt>
                <c:pt idx="309">
                  <c:v>62.9069273268168</c:v>
                </c:pt>
                <c:pt idx="310">
                  <c:v>62.5966850828729</c:v>
                </c:pt>
                <c:pt idx="311">
                  <c:v>62.4734381640459</c:v>
                </c:pt>
                <c:pt idx="312">
                  <c:v>64.6706332341691</c:v>
                </c:pt>
                <c:pt idx="313">
                  <c:v>64.9766255843604</c:v>
                </c:pt>
                <c:pt idx="314">
                  <c:v>64.3901402464938</c:v>
                </c:pt>
                <c:pt idx="315">
                  <c:v>64.8448788780281</c:v>
                </c:pt>
                <c:pt idx="316">
                  <c:v>66.476838079048</c:v>
                </c:pt>
                <c:pt idx="317">
                  <c:v>67.8113047173821</c:v>
                </c:pt>
                <c:pt idx="318">
                  <c:v>68.1172970675733</c:v>
                </c:pt>
                <c:pt idx="319">
                  <c:v>68.9417764555886</c:v>
                </c:pt>
                <c:pt idx="320">
                  <c:v>68.7037824054399</c:v>
                </c:pt>
                <c:pt idx="321">
                  <c:v>66.3960900977475</c:v>
                </c:pt>
                <c:pt idx="322">
                  <c:v>66.7275818104547</c:v>
                </c:pt>
                <c:pt idx="323">
                  <c:v>68.1937951551211</c:v>
                </c:pt>
                <c:pt idx="324">
                  <c:v>70.6247343816405</c:v>
                </c:pt>
                <c:pt idx="325">
                  <c:v>71.0199745006375</c:v>
                </c:pt>
                <c:pt idx="326">
                  <c:v>71.6617084572886</c:v>
                </c:pt>
                <c:pt idx="327">
                  <c:v>71.5427114322142</c:v>
                </c:pt>
                <c:pt idx="328">
                  <c:v>69.1372715682108</c:v>
                </c:pt>
                <c:pt idx="329">
                  <c:v>72.027199320017</c:v>
                </c:pt>
                <c:pt idx="330">
                  <c:v>73.102422439439</c:v>
                </c:pt>
                <c:pt idx="331">
                  <c:v>72.966425839354</c:v>
                </c:pt>
                <c:pt idx="332">
                  <c:v>73.1109222269443</c:v>
                </c:pt>
                <c:pt idx="333">
                  <c:v>72.7624309392265</c:v>
                </c:pt>
                <c:pt idx="334">
                  <c:v>72.9834254143646</c:v>
                </c:pt>
                <c:pt idx="335">
                  <c:v>72.8134296642584</c:v>
                </c:pt>
                <c:pt idx="336">
                  <c:v>73.2256693582661</c:v>
                </c:pt>
                <c:pt idx="337">
                  <c:v>73.0811729706757</c:v>
                </c:pt>
                <c:pt idx="338">
                  <c:v>74.1181470463238</c:v>
                </c:pt>
                <c:pt idx="339">
                  <c:v>74.857628559286</c:v>
                </c:pt>
                <c:pt idx="340">
                  <c:v>74.0033999150021</c:v>
                </c:pt>
                <c:pt idx="341">
                  <c:v>73.1534211644709</c:v>
                </c:pt>
                <c:pt idx="342">
                  <c:v>71.075223119422</c:v>
                </c:pt>
                <c:pt idx="343">
                  <c:v>73.1321716957076</c:v>
                </c:pt>
                <c:pt idx="344">
                  <c:v>74.7981300467488</c:v>
                </c:pt>
                <c:pt idx="345">
                  <c:v>74.7981300467488</c:v>
                </c:pt>
                <c:pt idx="346">
                  <c:v>76.366340841479</c:v>
                </c:pt>
                <c:pt idx="347">
                  <c:v>76.366340841479</c:v>
                </c:pt>
                <c:pt idx="348">
                  <c:v>75.9966000849979</c:v>
                </c:pt>
                <c:pt idx="349">
                  <c:v>76.3875903102422</c:v>
                </c:pt>
                <c:pt idx="350">
                  <c:v>76.9400764980876</c:v>
                </c:pt>
                <c:pt idx="351">
                  <c:v>77.0718232044199</c:v>
                </c:pt>
                <c:pt idx="352">
                  <c:v>76.3833404164896</c:v>
                </c:pt>
                <c:pt idx="353">
                  <c:v>76.9825754356141</c:v>
                </c:pt>
                <c:pt idx="354">
                  <c:v>74.9213769655759</c:v>
                </c:pt>
                <c:pt idx="355">
                  <c:v>75.5631109222269</c:v>
                </c:pt>
                <c:pt idx="356">
                  <c:v>75.3336166595835</c:v>
                </c:pt>
                <c:pt idx="357">
                  <c:v>77.6710582235444</c:v>
                </c:pt>
                <c:pt idx="358">
                  <c:v>78.1130471738206</c:v>
                </c:pt>
                <c:pt idx="359">
                  <c:v>77.2715682107947</c:v>
                </c:pt>
                <c:pt idx="360">
                  <c:v>76.0773480662983</c:v>
                </c:pt>
                <c:pt idx="361">
                  <c:v>75.8903527411815</c:v>
                </c:pt>
                <c:pt idx="362">
                  <c:v>74.2753931151721</c:v>
                </c:pt>
                <c:pt idx="363">
                  <c:v>73.8419039524012</c:v>
                </c:pt>
                <c:pt idx="364">
                  <c:v>75.7288567785805</c:v>
                </c:pt>
                <c:pt idx="365">
                  <c:v>75.945601359966</c:v>
                </c:pt>
                <c:pt idx="366">
                  <c:v>76.8805779855504</c:v>
                </c:pt>
                <c:pt idx="367">
                  <c:v>76.6978325541861</c:v>
                </c:pt>
                <c:pt idx="368">
                  <c:v>76.6298342541437</c:v>
                </c:pt>
                <c:pt idx="369">
                  <c:v>74.6918827029324</c:v>
                </c:pt>
                <c:pt idx="370">
                  <c:v>75.550361240969</c:v>
                </c:pt>
                <c:pt idx="371">
                  <c:v>75.5078623034424</c:v>
                </c:pt>
                <c:pt idx="372">
                  <c:v>74.3348916277093</c:v>
                </c:pt>
                <c:pt idx="373">
                  <c:v>76.884827879303</c:v>
                </c:pt>
                <c:pt idx="374">
                  <c:v>77.1058223544411</c:v>
                </c:pt>
                <c:pt idx="375">
                  <c:v>77.6413089672758</c:v>
                </c:pt>
                <c:pt idx="376">
                  <c:v>76.7785805354866</c:v>
                </c:pt>
                <c:pt idx="377">
                  <c:v>76.0220994475138</c:v>
                </c:pt>
                <c:pt idx="378">
                  <c:v>75.5631109222269</c:v>
                </c:pt>
                <c:pt idx="379">
                  <c:v>74.6026349341266</c:v>
                </c:pt>
                <c:pt idx="380">
                  <c:v>75.0658733531662</c:v>
                </c:pt>
                <c:pt idx="381">
                  <c:v>76.081597960051</c:v>
                </c:pt>
                <c:pt idx="382">
                  <c:v>74.0841478963026</c:v>
                </c:pt>
                <c:pt idx="383">
                  <c:v>74.4071398215045</c:v>
                </c:pt>
                <c:pt idx="384">
                  <c:v>76.0135996600085</c:v>
                </c:pt>
                <c:pt idx="385">
                  <c:v>76.1920951976201</c:v>
                </c:pt>
                <c:pt idx="386">
                  <c:v>75.9923501912452</c:v>
                </c:pt>
                <c:pt idx="387">
                  <c:v>76.068848278793</c:v>
                </c:pt>
                <c:pt idx="388">
                  <c:v>77.3268168295793</c:v>
                </c:pt>
                <c:pt idx="389">
                  <c:v>77.2843178920527</c:v>
                </c:pt>
                <c:pt idx="390">
                  <c:v>77.7390565235869</c:v>
                </c:pt>
                <c:pt idx="391">
                  <c:v>78.4105397365066</c:v>
                </c:pt>
                <c:pt idx="392">
                  <c:v>78.6697832554186</c:v>
                </c:pt>
                <c:pt idx="393">
                  <c:v>78.5082872928177</c:v>
                </c:pt>
                <c:pt idx="394">
                  <c:v>78.504037399065</c:v>
                </c:pt>
                <c:pt idx="395">
                  <c:v>78.4360390990225</c:v>
                </c:pt>
                <c:pt idx="396">
                  <c:v>75.7118572035699</c:v>
                </c:pt>
                <c:pt idx="397">
                  <c:v>76.2558436039099</c:v>
                </c:pt>
                <c:pt idx="398">
                  <c:v>78.3085422864428</c:v>
                </c:pt>
                <c:pt idx="399">
                  <c:v>79.1415214619635</c:v>
                </c:pt>
                <c:pt idx="400">
                  <c:v>79.5410114747131</c:v>
                </c:pt>
                <c:pt idx="401">
                  <c:v>81.7042073948151</c:v>
                </c:pt>
                <c:pt idx="402">
                  <c:v>82.286442838929</c:v>
                </c:pt>
                <c:pt idx="403">
                  <c:v>82.571185720357</c:v>
                </c:pt>
                <c:pt idx="404">
                  <c:v>82.6179345516362</c:v>
                </c:pt>
                <c:pt idx="405">
                  <c:v>82.9281767955801</c:v>
                </c:pt>
                <c:pt idx="406">
                  <c:v>84.177645558861</c:v>
                </c:pt>
                <c:pt idx="407">
                  <c:v>84.3688907777306</c:v>
                </c:pt>
                <c:pt idx="408">
                  <c:v>84.2498937526562</c:v>
                </c:pt>
                <c:pt idx="409">
                  <c:v>84.9468763280918</c:v>
                </c:pt>
                <c:pt idx="410">
                  <c:v>86.2558436039099</c:v>
                </c:pt>
                <c:pt idx="411">
                  <c:v>86.6170845728857</c:v>
                </c:pt>
                <c:pt idx="412">
                  <c:v>86.7403314917127</c:v>
                </c:pt>
                <c:pt idx="413">
                  <c:v>86.353591160221</c:v>
                </c:pt>
                <c:pt idx="414">
                  <c:v>86.5873353166171</c:v>
                </c:pt>
                <c:pt idx="415">
                  <c:v>87.1015724606885</c:v>
                </c:pt>
                <c:pt idx="416">
                  <c:v>87.0250743731407</c:v>
                </c:pt>
                <c:pt idx="417">
                  <c:v>87.1058223544411</c:v>
                </c:pt>
                <c:pt idx="418">
                  <c:v>86.1325966850829</c:v>
                </c:pt>
                <c:pt idx="419">
                  <c:v>86.0433489162771</c:v>
                </c:pt>
                <c:pt idx="420">
                  <c:v>87.7433064173396</c:v>
                </c:pt>
                <c:pt idx="421">
                  <c:v>85.2188695282618</c:v>
                </c:pt>
                <c:pt idx="422">
                  <c:v>85.5631109222269</c:v>
                </c:pt>
                <c:pt idx="423">
                  <c:v>85.4568635784105</c:v>
                </c:pt>
                <c:pt idx="424">
                  <c:v>87.2163195920102</c:v>
                </c:pt>
                <c:pt idx="425">
                  <c:v>87.6583085422864</c:v>
                </c:pt>
                <c:pt idx="426">
                  <c:v>89.5027624309392</c:v>
                </c:pt>
                <c:pt idx="427">
                  <c:v>88.8737781555461</c:v>
                </c:pt>
                <c:pt idx="428">
                  <c:v>89.5112622184445</c:v>
                </c:pt>
                <c:pt idx="429">
                  <c:v>88.6612834679133</c:v>
                </c:pt>
                <c:pt idx="430">
                  <c:v>89.1372715682108</c:v>
                </c:pt>
                <c:pt idx="431">
                  <c:v>88.1597960050999</c:v>
                </c:pt>
                <c:pt idx="432">
                  <c:v>90.0509987250319</c:v>
                </c:pt>
                <c:pt idx="433">
                  <c:v>89.4645133871653</c:v>
                </c:pt>
                <c:pt idx="434">
                  <c:v>89.5027624309392</c:v>
                </c:pt>
                <c:pt idx="435">
                  <c:v>89.1670208244794</c:v>
                </c:pt>
                <c:pt idx="436">
                  <c:v>89.1330216744581</c:v>
                </c:pt>
                <c:pt idx="437">
                  <c:v>89.8427539311517</c:v>
                </c:pt>
                <c:pt idx="438">
                  <c:v>89.2860178495538</c:v>
                </c:pt>
                <c:pt idx="439">
                  <c:v>91.3387165320867</c:v>
                </c:pt>
                <c:pt idx="440">
                  <c:v>91.7169570760731</c:v>
                </c:pt>
                <c:pt idx="441">
                  <c:v>90.7012324691883</c:v>
                </c:pt>
                <c:pt idx="442">
                  <c:v>91.8572035699108</c:v>
                </c:pt>
                <c:pt idx="443">
                  <c:v>93.7229069273268</c:v>
                </c:pt>
                <c:pt idx="444">
                  <c:v>94.4793880152996</c:v>
                </c:pt>
                <c:pt idx="445">
                  <c:v>94.4921376965576</c:v>
                </c:pt>
                <c:pt idx="446">
                  <c:v>94.2838929026774</c:v>
                </c:pt>
                <c:pt idx="447">
                  <c:v>95.7373565660859</c:v>
                </c:pt>
                <c:pt idx="448">
                  <c:v>95.4908627284318</c:v>
                </c:pt>
                <c:pt idx="449">
                  <c:v>94.4963875903102</c:v>
                </c:pt>
                <c:pt idx="450">
                  <c:v>94.2711432214195</c:v>
                </c:pt>
                <c:pt idx="451">
                  <c:v>93.3531661708457</c:v>
                </c:pt>
                <c:pt idx="452">
                  <c:v>94.1733956651084</c:v>
                </c:pt>
                <c:pt idx="453">
                  <c:v>93.3914152146196</c:v>
                </c:pt>
                <c:pt idx="454">
                  <c:v>91.7722056948576</c:v>
                </c:pt>
                <c:pt idx="455">
                  <c:v>91.7722056948576</c:v>
                </c:pt>
                <c:pt idx="456">
                  <c:v>89.4092647683808</c:v>
                </c:pt>
                <c:pt idx="457">
                  <c:v>88.9290267743306</c:v>
                </c:pt>
                <c:pt idx="458">
                  <c:v>88.7972800679983</c:v>
                </c:pt>
                <c:pt idx="459">
                  <c:v>89.6770080747981</c:v>
                </c:pt>
                <c:pt idx="460">
                  <c:v>91.6149596260093</c:v>
                </c:pt>
                <c:pt idx="461">
                  <c:v>91.0454738631534</c:v>
                </c:pt>
                <c:pt idx="462">
                  <c:v>90.5652358691033</c:v>
                </c:pt>
                <c:pt idx="463">
                  <c:v>91.755206119847</c:v>
                </c:pt>
                <c:pt idx="464">
                  <c:v>92.422439439014</c:v>
                </c:pt>
                <c:pt idx="465">
                  <c:v>91.334466638334</c:v>
                </c:pt>
                <c:pt idx="466">
                  <c:v>91.878453038674</c:v>
                </c:pt>
                <c:pt idx="467">
                  <c:v>92.44793880153</c:v>
                </c:pt>
                <c:pt idx="468">
                  <c:v>92.0696982575435</c:v>
                </c:pt>
                <c:pt idx="469">
                  <c:v>90.6289842753931</c:v>
                </c:pt>
                <c:pt idx="470">
                  <c:v>91.2579685507862</c:v>
                </c:pt>
                <c:pt idx="471">
                  <c:v>92.4139396515087</c:v>
                </c:pt>
                <c:pt idx="472">
                  <c:v>91.9974500637484</c:v>
                </c:pt>
                <c:pt idx="473">
                  <c:v>89.6855078623034</c:v>
                </c:pt>
                <c:pt idx="474">
                  <c:v>88.2617934551636</c:v>
                </c:pt>
                <c:pt idx="475">
                  <c:v>87.8920526986825</c:v>
                </c:pt>
                <c:pt idx="476">
                  <c:v>86.8040798980026</c:v>
                </c:pt>
                <c:pt idx="477">
                  <c:v>86.3280917977051</c:v>
                </c:pt>
                <c:pt idx="478">
                  <c:v>88.0492987675308</c:v>
                </c:pt>
                <c:pt idx="479">
                  <c:v>86.4938376540586</c:v>
                </c:pt>
                <c:pt idx="480">
                  <c:v>87.7730556736082</c:v>
                </c:pt>
                <c:pt idx="481">
                  <c:v>88.09604759881</c:v>
                </c:pt>
                <c:pt idx="482">
                  <c:v>88.4955376115597</c:v>
                </c:pt>
                <c:pt idx="483">
                  <c:v>89.2817679558011</c:v>
                </c:pt>
                <c:pt idx="484">
                  <c:v>87.8325541861453</c:v>
                </c:pt>
                <c:pt idx="485">
                  <c:v>87.9048023799405</c:v>
                </c:pt>
                <c:pt idx="486">
                  <c:v>89.2052698682533</c:v>
                </c:pt>
                <c:pt idx="487">
                  <c:v>88.8227794305142</c:v>
                </c:pt>
                <c:pt idx="488">
                  <c:v>89.9107522311942</c:v>
                </c:pt>
                <c:pt idx="489">
                  <c:v>90.9009774755631</c:v>
                </c:pt>
                <c:pt idx="490">
                  <c:v>90.8457288567786</c:v>
                </c:pt>
                <c:pt idx="491">
                  <c:v>90.8287292817679</c:v>
                </c:pt>
                <c:pt idx="492">
                  <c:v>90.0637484062898</c:v>
                </c:pt>
                <c:pt idx="493">
                  <c:v>90.3569910752231</c:v>
                </c:pt>
                <c:pt idx="494">
                  <c:v>89.5750106247344</c:v>
                </c:pt>
                <c:pt idx="495">
                  <c:v>85.3081172970676</c:v>
                </c:pt>
                <c:pt idx="496">
                  <c:v>87.0165745856354</c:v>
                </c:pt>
                <c:pt idx="497">
                  <c:v>88.0025499362516</c:v>
                </c:pt>
                <c:pt idx="498">
                  <c:v>89.3540161495963</c:v>
                </c:pt>
                <c:pt idx="499">
                  <c:v>90.6544836379091</c:v>
                </c:pt>
                <c:pt idx="500">
                  <c:v>91.1602209944751</c:v>
                </c:pt>
                <c:pt idx="501">
                  <c:v>91.606459838504</c:v>
                </c:pt>
                <c:pt idx="502">
                  <c:v>91.334466638334</c:v>
                </c:pt>
                <c:pt idx="503">
                  <c:v>91.6914577135572</c:v>
                </c:pt>
                <c:pt idx="504">
                  <c:v>92.9579260518487</c:v>
                </c:pt>
                <c:pt idx="505">
                  <c:v>92.9749256268593</c:v>
                </c:pt>
                <c:pt idx="506">
                  <c:v>93.2894177645559</c:v>
                </c:pt>
                <c:pt idx="507">
                  <c:v>93.3276668083298</c:v>
                </c:pt>
                <c:pt idx="508">
                  <c:v>93.2086697832554</c:v>
                </c:pt>
                <c:pt idx="509">
                  <c:v>92.1801954951126</c:v>
                </c:pt>
                <c:pt idx="510">
                  <c:v>92.0866978325542</c:v>
                </c:pt>
                <c:pt idx="511">
                  <c:v>91.8827029324267</c:v>
                </c:pt>
                <c:pt idx="512">
                  <c:v>92.5924351891203</c:v>
                </c:pt>
                <c:pt idx="513">
                  <c:v>93.0514237144071</c:v>
                </c:pt>
                <c:pt idx="514">
                  <c:v>94.2073948151296</c:v>
                </c:pt>
                <c:pt idx="515">
                  <c:v>94.3603909902252</c:v>
                </c:pt>
                <c:pt idx="516">
                  <c:v>93.6421589460263</c:v>
                </c:pt>
                <c:pt idx="517">
                  <c:v>94.2881427964301</c:v>
                </c:pt>
                <c:pt idx="518">
                  <c:v>94.2881427964301</c:v>
                </c:pt>
                <c:pt idx="519">
                  <c:v>94.9808754781131</c:v>
                </c:pt>
                <c:pt idx="520">
                  <c:v>94.7046323841904</c:v>
                </c:pt>
                <c:pt idx="521">
                  <c:v>95.4823629409265</c:v>
                </c:pt>
                <c:pt idx="522">
                  <c:v>94.054398640034</c:v>
                </c:pt>
                <c:pt idx="523">
                  <c:v>94.6281342966426</c:v>
                </c:pt>
                <c:pt idx="524">
                  <c:v>94.4453888652784</c:v>
                </c:pt>
                <c:pt idx="525">
                  <c:v>94.7896302592435</c:v>
                </c:pt>
                <c:pt idx="526">
                  <c:v>93.1449213769656</c:v>
                </c:pt>
                <c:pt idx="527">
                  <c:v>94.0033999150021</c:v>
                </c:pt>
                <c:pt idx="528">
                  <c:v>94.8618784530387</c:v>
                </c:pt>
                <c:pt idx="529">
                  <c:v>95.3591160220994</c:v>
                </c:pt>
                <c:pt idx="530">
                  <c:v>95.252868678283</c:v>
                </c:pt>
                <c:pt idx="531">
                  <c:v>95.550361240969</c:v>
                </c:pt>
                <c:pt idx="532">
                  <c:v>96.1155971100722</c:v>
                </c:pt>
                <c:pt idx="533">
                  <c:v>93.7866553336167</c:v>
                </c:pt>
                <c:pt idx="534">
                  <c:v>93.2129196770081</c:v>
                </c:pt>
                <c:pt idx="535">
                  <c:v>91.3259668508287</c:v>
                </c:pt>
                <c:pt idx="536">
                  <c:v>90.531236719082</c:v>
                </c:pt>
                <c:pt idx="537">
                  <c:v>91.6574585635359</c:v>
                </c:pt>
                <c:pt idx="538">
                  <c:v>89.3922651933702</c:v>
                </c:pt>
                <c:pt idx="539">
                  <c:v>89.5707607309817</c:v>
                </c:pt>
                <c:pt idx="540">
                  <c:v>88.937526561836</c:v>
                </c:pt>
                <c:pt idx="541">
                  <c:v>90.0382490437739</c:v>
                </c:pt>
                <c:pt idx="542">
                  <c:v>89.9787505312367</c:v>
                </c:pt>
                <c:pt idx="543">
                  <c:v>87.1483212919677</c:v>
                </c:pt>
                <c:pt idx="544">
                  <c:v>86.4300892477688</c:v>
                </c:pt>
                <c:pt idx="545">
                  <c:v>87.55206119847</c:v>
                </c:pt>
                <c:pt idx="546">
                  <c:v>87.5223119422014</c:v>
                </c:pt>
                <c:pt idx="547">
                  <c:v>89.1330216744581</c:v>
                </c:pt>
                <c:pt idx="548">
                  <c:v>88.7122821929452</c:v>
                </c:pt>
                <c:pt idx="549">
                  <c:v>89.1330216744581</c:v>
                </c:pt>
                <c:pt idx="550">
                  <c:v>90.7097322566936</c:v>
                </c:pt>
                <c:pt idx="551">
                  <c:v>90.3314917127072</c:v>
                </c:pt>
                <c:pt idx="552">
                  <c:v>88.6952826179346</c:v>
                </c:pt>
                <c:pt idx="553">
                  <c:v>90.6417339566511</c:v>
                </c:pt>
                <c:pt idx="554">
                  <c:v>90.7139821504462</c:v>
                </c:pt>
                <c:pt idx="555">
                  <c:v>89.6387590310242</c:v>
                </c:pt>
                <c:pt idx="556">
                  <c:v>88.2107947301317</c:v>
                </c:pt>
                <c:pt idx="557">
                  <c:v>88.5507862303443</c:v>
                </c:pt>
                <c:pt idx="558">
                  <c:v>88.5507862303443</c:v>
                </c:pt>
                <c:pt idx="559">
                  <c:v>89.8597535061623</c:v>
                </c:pt>
                <c:pt idx="560">
                  <c:v>90.2507437314067</c:v>
                </c:pt>
                <c:pt idx="561">
                  <c:v>90.0594985125372</c:v>
                </c:pt>
                <c:pt idx="562">
                  <c:v>90.9689757756056</c:v>
                </c:pt>
                <c:pt idx="563">
                  <c:v>92.5329366765831</c:v>
                </c:pt>
                <c:pt idx="564">
                  <c:v>92.571185720357</c:v>
                </c:pt>
                <c:pt idx="565">
                  <c:v>92.571185720357</c:v>
                </c:pt>
                <c:pt idx="566">
                  <c:v>92.1206969825754</c:v>
                </c:pt>
                <c:pt idx="567">
                  <c:v>92.3714407139821</c:v>
                </c:pt>
                <c:pt idx="568">
                  <c:v>91.5809604759881</c:v>
                </c:pt>
                <c:pt idx="569">
                  <c:v>91.4789630259243</c:v>
                </c:pt>
                <c:pt idx="570">
                  <c:v>93.6166595835104</c:v>
                </c:pt>
                <c:pt idx="571">
                  <c:v>93.0811729706757</c:v>
                </c:pt>
                <c:pt idx="572">
                  <c:v>93.7016574585635</c:v>
                </c:pt>
                <c:pt idx="573">
                  <c:v>92.8686782830429</c:v>
                </c:pt>
                <c:pt idx="574">
                  <c:v>93.5359116022099</c:v>
                </c:pt>
                <c:pt idx="575">
                  <c:v>93.5359116022099</c:v>
                </c:pt>
                <c:pt idx="576">
                  <c:v>93.9524011899703</c:v>
                </c:pt>
                <c:pt idx="577">
                  <c:v>94.4538886527837</c:v>
                </c:pt>
                <c:pt idx="578">
                  <c:v>94.177645558861</c:v>
                </c:pt>
                <c:pt idx="579">
                  <c:v>94.5516362090948</c:v>
                </c:pt>
                <c:pt idx="580">
                  <c:v>94.1691457713557</c:v>
                </c:pt>
                <c:pt idx="581">
                  <c:v>95.822354441139</c:v>
                </c:pt>
                <c:pt idx="582">
                  <c:v>96.340841478963</c:v>
                </c:pt>
                <c:pt idx="583">
                  <c:v>96.6765830854229</c:v>
                </c:pt>
                <c:pt idx="584">
                  <c:v>96.6893327666808</c:v>
                </c:pt>
                <c:pt idx="585">
                  <c:v>96.6043348916277</c:v>
                </c:pt>
                <c:pt idx="586">
                  <c:v>97.0123246918827</c:v>
                </c:pt>
                <c:pt idx="587">
                  <c:v>96.3918402039949</c:v>
                </c:pt>
                <c:pt idx="588">
                  <c:v>95.4483637909052</c:v>
                </c:pt>
                <c:pt idx="589">
                  <c:v>95.4908627284318</c:v>
                </c:pt>
                <c:pt idx="590">
                  <c:v>96.9315767105822</c:v>
                </c:pt>
                <c:pt idx="591">
                  <c:v>97.3948151296218</c:v>
                </c:pt>
                <c:pt idx="592">
                  <c:v>96.7658308542286</c:v>
                </c:pt>
                <c:pt idx="593">
                  <c:v>95.0488737781555</c:v>
                </c:pt>
                <c:pt idx="594">
                  <c:v>95.6778580535487</c:v>
                </c:pt>
                <c:pt idx="595">
                  <c:v>97.3608159796005</c:v>
                </c:pt>
                <c:pt idx="596">
                  <c:v>96.7955801104972</c:v>
                </c:pt>
                <c:pt idx="597">
                  <c:v>96.625584360391</c:v>
                </c:pt>
                <c:pt idx="598">
                  <c:v>97.5945601359966</c:v>
                </c:pt>
                <c:pt idx="599">
                  <c:v>97.441563960901</c:v>
                </c:pt>
                <c:pt idx="600">
                  <c:v>96.46408839779</c:v>
                </c:pt>
                <c:pt idx="601">
                  <c:v>96.094347641309</c:v>
                </c:pt>
                <c:pt idx="602">
                  <c:v>96.8763280917977</c:v>
                </c:pt>
                <c:pt idx="603">
                  <c:v>95.6651083722907</c:v>
                </c:pt>
                <c:pt idx="604">
                  <c:v>95.5206119847004</c:v>
                </c:pt>
                <c:pt idx="605">
                  <c:v>95.5206119847004</c:v>
                </c:pt>
                <c:pt idx="606">
                  <c:v>93.5869103272418</c:v>
                </c:pt>
                <c:pt idx="607">
                  <c:v>91.4109647258819</c:v>
                </c:pt>
                <c:pt idx="608">
                  <c:v>93.115172120697</c:v>
                </c:pt>
                <c:pt idx="609">
                  <c:v>92.4904377390565</c:v>
                </c:pt>
                <c:pt idx="610">
                  <c:v>92.1291967700807</c:v>
                </c:pt>
                <c:pt idx="611">
                  <c:v>93.8376540586485</c:v>
                </c:pt>
                <c:pt idx="612">
                  <c:v>93.9566510837229</c:v>
                </c:pt>
                <c:pt idx="613">
                  <c:v>91.5257118572036</c:v>
                </c:pt>
                <c:pt idx="614">
                  <c:v>91.1262218444539</c:v>
                </c:pt>
                <c:pt idx="615">
                  <c:v>90.2804929876753</c:v>
                </c:pt>
                <c:pt idx="616">
                  <c:v>88.7292817679558</c:v>
                </c:pt>
                <c:pt idx="617">
                  <c:v>88.7292817679558</c:v>
                </c:pt>
                <c:pt idx="618">
                  <c:v>89.3625159371016</c:v>
                </c:pt>
                <c:pt idx="619">
                  <c:v>87.0505737356566</c:v>
                </c:pt>
                <c:pt idx="620">
                  <c:v>87.8113047173821</c:v>
                </c:pt>
                <c:pt idx="621">
                  <c:v>89.1755206119847</c:v>
                </c:pt>
                <c:pt idx="622">
                  <c:v>90.1402464938377</c:v>
                </c:pt>
                <c:pt idx="623">
                  <c:v>91.0922226944326</c:v>
                </c:pt>
                <c:pt idx="624">
                  <c:v>90.531236719082</c:v>
                </c:pt>
                <c:pt idx="625">
                  <c:v>90.531236719082</c:v>
                </c:pt>
                <c:pt idx="626">
                  <c:v>92.4691882702932</c:v>
                </c:pt>
                <c:pt idx="627">
                  <c:v>92.6604334891628</c:v>
                </c:pt>
                <c:pt idx="628">
                  <c:v>91.1092222694433</c:v>
                </c:pt>
                <c:pt idx="629">
                  <c:v>91.8317042073948</c:v>
                </c:pt>
                <c:pt idx="630">
                  <c:v>91.483212919677</c:v>
                </c:pt>
                <c:pt idx="631">
                  <c:v>91.6829579260518</c:v>
                </c:pt>
                <c:pt idx="632">
                  <c:v>93.1661708457289</c:v>
                </c:pt>
                <c:pt idx="633">
                  <c:v>94.1053973650659</c:v>
                </c:pt>
                <c:pt idx="634">
                  <c:v>94.067148321292</c:v>
                </c:pt>
                <c:pt idx="635">
                  <c:v>94.9171270718232</c:v>
                </c:pt>
                <c:pt idx="636">
                  <c:v>94.9638759031024</c:v>
                </c:pt>
                <c:pt idx="637">
                  <c:v>95.0998725031874</c:v>
                </c:pt>
                <c:pt idx="638">
                  <c:v>96.7658308542286</c:v>
                </c:pt>
                <c:pt idx="639">
                  <c:v>96.2388440288993</c:v>
                </c:pt>
                <c:pt idx="640">
                  <c:v>95.8733531661708</c:v>
                </c:pt>
                <c:pt idx="641">
                  <c:v>96.6638334041649</c:v>
                </c:pt>
                <c:pt idx="642">
                  <c:v>95.8903527411815</c:v>
                </c:pt>
                <c:pt idx="643">
                  <c:v>95.8563535911602</c:v>
                </c:pt>
                <c:pt idx="644">
                  <c:v>94.5771355716107</c:v>
                </c:pt>
                <c:pt idx="645">
                  <c:v>93.8589035274118</c:v>
                </c:pt>
                <c:pt idx="646">
                  <c:v>92.9239269018274</c:v>
                </c:pt>
                <c:pt idx="647">
                  <c:v>92.2269443263918</c:v>
                </c:pt>
                <c:pt idx="648">
                  <c:v>92.422439439014</c:v>
                </c:pt>
                <c:pt idx="649">
                  <c:v>93.1236719082023</c:v>
                </c:pt>
                <c:pt idx="650">
                  <c:v>92.4139396515087</c:v>
                </c:pt>
                <c:pt idx="651">
                  <c:v>93.8291542711432</c:v>
                </c:pt>
                <c:pt idx="652">
                  <c:v>95.3846153846154</c:v>
                </c:pt>
                <c:pt idx="653">
                  <c:v>95.9881002974926</c:v>
                </c:pt>
                <c:pt idx="654">
                  <c:v>96.1070973225669</c:v>
                </c:pt>
                <c:pt idx="655">
                  <c:v>97.4373140671483</c:v>
                </c:pt>
                <c:pt idx="656">
                  <c:v>97.0633234169146</c:v>
                </c:pt>
                <c:pt idx="657">
                  <c:v>96.1920951976201</c:v>
                </c:pt>
                <c:pt idx="658">
                  <c:v>95.7586060348491</c:v>
                </c:pt>
                <c:pt idx="659">
                  <c:v>95.9796005099873</c:v>
                </c:pt>
                <c:pt idx="660">
                  <c:v>96.8465788355291</c:v>
                </c:pt>
                <c:pt idx="661">
                  <c:v>96.1453463663408</c:v>
                </c:pt>
                <c:pt idx="662">
                  <c:v>97.5350616234594</c:v>
                </c:pt>
                <c:pt idx="663">
                  <c:v>98.1172970675733</c:v>
                </c:pt>
                <c:pt idx="664">
                  <c:v>98.1427964300893</c:v>
                </c:pt>
                <c:pt idx="665">
                  <c:v>98.4105397365066</c:v>
                </c:pt>
                <c:pt idx="666">
                  <c:v>98.2405439864003</c:v>
                </c:pt>
                <c:pt idx="667">
                  <c:v>97.428814279643</c:v>
                </c:pt>
                <c:pt idx="668">
                  <c:v>98.6910327241819</c:v>
                </c:pt>
                <c:pt idx="669">
                  <c:v>99.18402039949</c:v>
                </c:pt>
                <c:pt idx="670">
                  <c:v>99.0820229494263</c:v>
                </c:pt>
                <c:pt idx="671">
                  <c:v>98.763280917977</c:v>
                </c:pt>
                <c:pt idx="672">
                  <c:v>98.7462813429664</c:v>
                </c:pt>
                <c:pt idx="673">
                  <c:v>99.0820229494263</c:v>
                </c:pt>
                <c:pt idx="674">
                  <c:v>98.6145346366341</c:v>
                </c:pt>
                <c:pt idx="675">
                  <c:v>97.3140671483213</c:v>
                </c:pt>
                <c:pt idx="676">
                  <c:v>95.1806204844879</c:v>
                </c:pt>
                <c:pt idx="677">
                  <c:v>96.476838079048</c:v>
                </c:pt>
                <c:pt idx="678">
                  <c:v>96.2643433914152</c:v>
                </c:pt>
                <c:pt idx="679">
                  <c:v>96.8805779855504</c:v>
                </c:pt>
                <c:pt idx="680">
                  <c:v>97.2800679983</c:v>
                </c:pt>
                <c:pt idx="681">
                  <c:v>98.5465363365916</c:v>
                </c:pt>
                <c:pt idx="682">
                  <c:v>98.244793880153</c:v>
                </c:pt>
                <c:pt idx="683">
                  <c:v>97.8325541861453</c:v>
                </c:pt>
                <c:pt idx="684">
                  <c:v>97.5010624734382</c:v>
                </c:pt>
                <c:pt idx="685">
                  <c:v>96.0433489162771</c:v>
                </c:pt>
                <c:pt idx="686">
                  <c:v>95.7883552911177</c:v>
                </c:pt>
                <c:pt idx="687">
                  <c:v>95.8436039099022</c:v>
                </c:pt>
                <c:pt idx="688">
                  <c:v>97.590310242244</c:v>
                </c:pt>
                <c:pt idx="689">
                  <c:v>96.3918402039949</c:v>
                </c:pt>
                <c:pt idx="690">
                  <c:v>97.4968125796855</c:v>
                </c:pt>
                <c:pt idx="691">
                  <c:v>98.0280492987675</c:v>
                </c:pt>
                <c:pt idx="692">
                  <c:v>98.1895452613685</c:v>
                </c:pt>
                <c:pt idx="693">
                  <c:v>98.924776880578</c:v>
                </c:pt>
                <c:pt idx="694">
                  <c:v>98.788780280493</c:v>
                </c:pt>
                <c:pt idx="695">
                  <c:v>98.1470463238419</c:v>
                </c:pt>
                <c:pt idx="696">
                  <c:v>98.3977900552486</c:v>
                </c:pt>
                <c:pt idx="697">
                  <c:v>99.4177645558861</c:v>
                </c:pt>
                <c:pt idx="698">
                  <c:v>100.441988950276</c:v>
                </c:pt>
                <c:pt idx="699">
                  <c:v>100.288992775181</c:v>
                </c:pt>
                <c:pt idx="700">
                  <c:v>100.781980450489</c:v>
                </c:pt>
                <c:pt idx="701">
                  <c:v>100.029749256269</c:v>
                </c:pt>
                <c:pt idx="702">
                  <c:v>100.994475138122</c:v>
                </c:pt>
                <c:pt idx="703">
                  <c:v>101.270718232044</c:v>
                </c:pt>
                <c:pt idx="704">
                  <c:v>101.270718232044</c:v>
                </c:pt>
                <c:pt idx="705">
                  <c:v>101.270718232044</c:v>
                </c:pt>
                <c:pt idx="706">
                  <c:v>101.270718232044</c:v>
                </c:pt>
                <c:pt idx="707">
                  <c:v>101.912452188695</c:v>
                </c:pt>
                <c:pt idx="708">
                  <c:v>102.583935401615</c:v>
                </c:pt>
                <c:pt idx="709">
                  <c:v>102.248193795155</c:v>
                </c:pt>
                <c:pt idx="710">
                  <c:v>102.962175945601</c:v>
                </c:pt>
                <c:pt idx="711">
                  <c:v>103.251168720782</c:v>
                </c:pt>
                <c:pt idx="712">
                  <c:v>103.480662983425</c:v>
                </c:pt>
                <c:pt idx="713">
                  <c:v>103.693157671058</c:v>
                </c:pt>
                <c:pt idx="714">
                  <c:v>103.790905227369</c:v>
                </c:pt>
                <c:pt idx="715">
                  <c:v>105.269868253294</c:v>
                </c:pt>
                <c:pt idx="716">
                  <c:v>105.065873353166</c:v>
                </c:pt>
                <c:pt idx="717">
                  <c:v>104.764130896728</c:v>
                </c:pt>
                <c:pt idx="718">
                  <c:v>104.309392265193</c:v>
                </c:pt>
                <c:pt idx="719">
                  <c:v>102.996175095623</c:v>
                </c:pt>
                <c:pt idx="720">
                  <c:v>103.268168295793</c:v>
                </c:pt>
                <c:pt idx="721">
                  <c:v>104.653633659159</c:v>
                </c:pt>
                <c:pt idx="722">
                  <c:v>104.785380365491</c:v>
                </c:pt>
                <c:pt idx="723">
                  <c:v>103.11942201445</c:v>
                </c:pt>
                <c:pt idx="724">
                  <c:v>102.044198895028</c:v>
                </c:pt>
                <c:pt idx="725">
                  <c:v>102.758181045474</c:v>
                </c:pt>
                <c:pt idx="726">
                  <c:v>103.07267318317</c:v>
                </c:pt>
                <c:pt idx="727">
                  <c:v>104.4793880153</c:v>
                </c:pt>
                <c:pt idx="728">
                  <c:v>105.465363365916</c:v>
                </c:pt>
                <c:pt idx="729">
                  <c:v>105.558861028474</c:v>
                </c:pt>
                <c:pt idx="730">
                  <c:v>104.806629834254</c:v>
                </c:pt>
                <c:pt idx="731">
                  <c:v>104.721631959201</c:v>
                </c:pt>
                <c:pt idx="732">
                  <c:v>103.26391840204</c:v>
                </c:pt>
                <c:pt idx="733">
                  <c:v>105.146621334467</c:v>
                </c:pt>
                <c:pt idx="734">
                  <c:v>105.367615809605</c:v>
                </c:pt>
                <c:pt idx="735">
                  <c:v>106.243093922652</c:v>
                </c:pt>
                <c:pt idx="736">
                  <c:v>106.723331916702</c:v>
                </c:pt>
                <c:pt idx="737">
                  <c:v>106.765830854229</c:v>
                </c:pt>
                <c:pt idx="738">
                  <c:v>106.982575435614</c:v>
                </c:pt>
                <c:pt idx="739">
                  <c:v>107.127071823204</c:v>
                </c:pt>
                <c:pt idx="740">
                  <c:v>108.427539311517</c:v>
                </c:pt>
                <c:pt idx="741">
                  <c:v>105.189120271993</c:v>
                </c:pt>
                <c:pt idx="742">
                  <c:v>105.546111347216</c:v>
                </c:pt>
                <c:pt idx="743">
                  <c:v>105.915852103697</c:v>
                </c:pt>
                <c:pt idx="744">
                  <c:v>105.329366765831</c:v>
                </c:pt>
                <c:pt idx="745">
                  <c:v>105.099872503187</c:v>
                </c:pt>
                <c:pt idx="746">
                  <c:v>106.73608159796</c:v>
                </c:pt>
                <c:pt idx="747">
                  <c:v>107.539311517212</c:v>
                </c:pt>
                <c:pt idx="748">
                  <c:v>107.947301317467</c:v>
                </c:pt>
                <c:pt idx="749">
                  <c:v>107.148321291968</c:v>
                </c:pt>
                <c:pt idx="750">
                  <c:v>107.258818529537</c:v>
                </c:pt>
                <c:pt idx="751">
                  <c:v>107.288567785805</c:v>
                </c:pt>
                <c:pt idx="752">
                  <c:v>105.954101147471</c:v>
                </c:pt>
                <c:pt idx="753">
                  <c:v>105.788355291118</c:v>
                </c:pt>
                <c:pt idx="754">
                  <c:v>106.094347641309</c:v>
                </c:pt>
                <c:pt idx="755">
                  <c:v>107.437314067148</c:v>
                </c:pt>
                <c:pt idx="756">
                  <c:v>108.805779855504</c:v>
                </c:pt>
                <c:pt idx="757">
                  <c:v>109.498512537187</c:v>
                </c:pt>
                <c:pt idx="758">
                  <c:v>109.358266043349</c:v>
                </c:pt>
                <c:pt idx="759">
                  <c:v>109.915002124947</c:v>
                </c:pt>
                <c:pt idx="760">
                  <c:v>109.439014024649</c:v>
                </c:pt>
                <c:pt idx="761">
                  <c:v>111.483212919677</c:v>
                </c:pt>
                <c:pt idx="762">
                  <c:v>111.236719082023</c:v>
                </c:pt>
                <c:pt idx="763">
                  <c:v>111.90395240119</c:v>
                </c:pt>
                <c:pt idx="764">
                  <c:v>112.677433064173</c:v>
                </c:pt>
                <c:pt idx="765">
                  <c:v>113.025924351891</c:v>
                </c:pt>
                <c:pt idx="766">
                  <c:v>112.588185295368</c:v>
                </c:pt>
                <c:pt idx="767">
                  <c:v>113.756906077348</c:v>
                </c:pt>
                <c:pt idx="768">
                  <c:v>113.650658733532</c:v>
                </c:pt>
                <c:pt idx="769">
                  <c:v>114.453888652784</c:v>
                </c:pt>
                <c:pt idx="770">
                  <c:v>114.577135571611</c:v>
                </c:pt>
                <c:pt idx="771">
                  <c:v>114.585635359116</c:v>
                </c:pt>
                <c:pt idx="772">
                  <c:v>114.109647258819</c:v>
                </c:pt>
                <c:pt idx="773">
                  <c:v>113.620909477263</c:v>
                </c:pt>
                <c:pt idx="774">
                  <c:v>114.339141521462</c:v>
                </c:pt>
                <c:pt idx="775">
                  <c:v>114.934126646834</c:v>
                </c:pt>
                <c:pt idx="776">
                  <c:v>115.252868678283</c:v>
                </c:pt>
                <c:pt idx="777">
                  <c:v>115.252868678283</c:v>
                </c:pt>
                <c:pt idx="778">
                  <c:v>116.366340841479</c:v>
                </c:pt>
                <c:pt idx="779">
                  <c:v>117.203569910752</c:v>
                </c:pt>
                <c:pt idx="780">
                  <c:v>117.020824479388</c:v>
                </c:pt>
                <c:pt idx="781">
                  <c:v>116.753081172971</c:v>
                </c:pt>
                <c:pt idx="782">
                  <c:v>117.131321716957</c:v>
                </c:pt>
                <c:pt idx="783">
                  <c:v>116.442838929027</c:v>
                </c:pt>
                <c:pt idx="784">
                  <c:v>116.914577135572</c:v>
                </c:pt>
                <c:pt idx="785">
                  <c:v>117.369315767106</c:v>
                </c:pt>
                <c:pt idx="786">
                  <c:v>117.093072673183</c:v>
                </c:pt>
                <c:pt idx="787">
                  <c:v>118.219294517637</c:v>
                </c:pt>
                <c:pt idx="788">
                  <c:v>117.74330641734</c:v>
                </c:pt>
                <c:pt idx="789">
                  <c:v>117.55206119847</c:v>
                </c:pt>
                <c:pt idx="790">
                  <c:v>118.678283042924</c:v>
                </c:pt>
                <c:pt idx="791">
                  <c:v>118.040798980026</c:v>
                </c:pt>
                <c:pt idx="792">
                  <c:v>115.881852953676</c:v>
                </c:pt>
                <c:pt idx="793">
                  <c:v>116.659583510412</c:v>
                </c:pt>
                <c:pt idx="794">
                  <c:v>116.948576285593</c:v>
                </c:pt>
                <c:pt idx="795">
                  <c:v>118.491287717807</c:v>
                </c:pt>
                <c:pt idx="796">
                  <c:v>118.657033574161</c:v>
                </c:pt>
                <c:pt idx="797">
                  <c:v>118.338291542711</c:v>
                </c:pt>
                <c:pt idx="798">
                  <c:v>116.073098172546</c:v>
                </c:pt>
                <c:pt idx="799">
                  <c:v>116.213344666383</c:v>
                </c:pt>
                <c:pt idx="800">
                  <c:v>116.213344666383</c:v>
                </c:pt>
                <c:pt idx="801">
                  <c:v>116.213344666383</c:v>
                </c:pt>
                <c:pt idx="802">
                  <c:v>116.213344666383</c:v>
                </c:pt>
                <c:pt idx="803">
                  <c:v>116.829579260518</c:v>
                </c:pt>
                <c:pt idx="804">
                  <c:v>116.090097747556</c:v>
                </c:pt>
                <c:pt idx="805">
                  <c:v>114.70463238419</c:v>
                </c:pt>
                <c:pt idx="806">
                  <c:v>112.439439014025</c:v>
                </c:pt>
                <c:pt idx="807">
                  <c:v>110.667233319167</c:v>
                </c:pt>
                <c:pt idx="808">
                  <c:v>113.05567360816</c:v>
                </c:pt>
                <c:pt idx="809">
                  <c:v>112.792180195495</c:v>
                </c:pt>
                <c:pt idx="810">
                  <c:v>111.585210369741</c:v>
                </c:pt>
                <c:pt idx="811">
                  <c:v>111.019974500637</c:v>
                </c:pt>
                <c:pt idx="812">
                  <c:v>112.962175945601</c:v>
                </c:pt>
                <c:pt idx="813">
                  <c:v>112.430939226519</c:v>
                </c:pt>
                <c:pt idx="814">
                  <c:v>110.552486187845</c:v>
                </c:pt>
                <c:pt idx="815">
                  <c:v>110.161495962601</c:v>
                </c:pt>
                <c:pt idx="816">
                  <c:v>109.515512112197</c:v>
                </c:pt>
                <c:pt idx="817">
                  <c:v>110.19124521887</c:v>
                </c:pt>
                <c:pt idx="818">
                  <c:v>108.950276243094</c:v>
                </c:pt>
                <c:pt idx="819">
                  <c:v>108.950276243094</c:v>
                </c:pt>
                <c:pt idx="820">
                  <c:v>108.355291117722</c:v>
                </c:pt>
                <c:pt idx="821">
                  <c:v>110.701232469188</c:v>
                </c:pt>
                <c:pt idx="822">
                  <c:v>112.800679983</c:v>
                </c:pt>
                <c:pt idx="823">
                  <c:v>111.109222269443</c:v>
                </c:pt>
                <c:pt idx="824">
                  <c:v>111.912452188695</c:v>
                </c:pt>
                <c:pt idx="825">
                  <c:v>112.11219719507</c:v>
                </c:pt>
                <c:pt idx="826">
                  <c:v>110.747981300467</c:v>
                </c:pt>
                <c:pt idx="827">
                  <c:v>109.150021249469</c:v>
                </c:pt>
                <c:pt idx="828">
                  <c:v>110.790480237994</c:v>
                </c:pt>
                <c:pt idx="829">
                  <c:v>108.070548236294</c:v>
                </c:pt>
                <c:pt idx="830">
                  <c:v>110.259243518912</c:v>
                </c:pt>
                <c:pt idx="831">
                  <c:v>110.412239694008</c:v>
                </c:pt>
                <c:pt idx="832">
                  <c:v>111.512962175946</c:v>
                </c:pt>
                <c:pt idx="833">
                  <c:v>112.57543561411</c:v>
                </c:pt>
                <c:pt idx="834">
                  <c:v>113.068423289418</c:v>
                </c:pt>
                <c:pt idx="835">
                  <c:v>112.906927326817</c:v>
                </c:pt>
                <c:pt idx="836">
                  <c:v>114.292392690183</c:v>
                </c:pt>
                <c:pt idx="837">
                  <c:v>115.452613684658</c:v>
                </c:pt>
                <c:pt idx="838">
                  <c:v>115.652358691033</c:v>
                </c:pt>
                <c:pt idx="839">
                  <c:v>116.540586485338</c:v>
                </c:pt>
                <c:pt idx="840">
                  <c:v>117.739056523587</c:v>
                </c:pt>
                <c:pt idx="841">
                  <c:v>118.516787080323</c:v>
                </c:pt>
                <c:pt idx="842">
                  <c:v>119.307267318317</c:v>
                </c:pt>
                <c:pt idx="843">
                  <c:v>119.001274968126</c:v>
                </c:pt>
                <c:pt idx="844">
                  <c:v>119.859753506162</c:v>
                </c:pt>
                <c:pt idx="845">
                  <c:v>119.570760730982</c:v>
                </c:pt>
                <c:pt idx="846">
                  <c:v>119.188270293243</c:v>
                </c:pt>
                <c:pt idx="847">
                  <c:v>119.443263918402</c:v>
                </c:pt>
                <c:pt idx="848">
                  <c:v>119.205269868253</c:v>
                </c:pt>
                <c:pt idx="849">
                  <c:v>117.352316192095</c:v>
                </c:pt>
                <c:pt idx="850">
                  <c:v>119.286017849554</c:v>
                </c:pt>
                <c:pt idx="851">
                  <c:v>120.33574160646</c:v>
                </c:pt>
                <c:pt idx="852">
                  <c:v>120.186995325117</c:v>
                </c:pt>
                <c:pt idx="853">
                  <c:v>119.906502337442</c:v>
                </c:pt>
                <c:pt idx="854">
                  <c:v>119.179770505737</c:v>
                </c:pt>
                <c:pt idx="855">
                  <c:v>122.052698682533</c:v>
                </c:pt>
                <c:pt idx="856">
                  <c:v>123.739906502337</c:v>
                </c:pt>
                <c:pt idx="857">
                  <c:v>123.603909902252</c:v>
                </c:pt>
                <c:pt idx="858">
                  <c:v>124.390140246494</c:v>
                </c:pt>
                <c:pt idx="859">
                  <c:v>123.833404164896</c:v>
                </c:pt>
                <c:pt idx="860">
                  <c:v>124.130896727582</c:v>
                </c:pt>
                <c:pt idx="861">
                  <c:v>124.16064598385</c:v>
                </c:pt>
                <c:pt idx="862">
                  <c:v>123.412664683383</c:v>
                </c:pt>
                <c:pt idx="863">
                  <c:v>125.5206119847</c:v>
                </c:pt>
                <c:pt idx="864">
                  <c:v>123.948151296218</c:v>
                </c:pt>
                <c:pt idx="865">
                  <c:v>122.59243518912</c:v>
                </c:pt>
                <c:pt idx="866">
                  <c:v>122.59243518912</c:v>
                </c:pt>
                <c:pt idx="867">
                  <c:v>120.560985975351</c:v>
                </c:pt>
                <c:pt idx="868">
                  <c:v>120.097747556311</c:v>
                </c:pt>
                <c:pt idx="869">
                  <c:v>120.097747556311</c:v>
                </c:pt>
                <c:pt idx="870">
                  <c:v>121.674458138547</c:v>
                </c:pt>
                <c:pt idx="871">
                  <c:v>119.005524861878</c:v>
                </c:pt>
                <c:pt idx="872">
                  <c:v>118.822779430514</c:v>
                </c:pt>
                <c:pt idx="873">
                  <c:v>117.815554611135</c:v>
                </c:pt>
                <c:pt idx="874">
                  <c:v>117.785805354866</c:v>
                </c:pt>
                <c:pt idx="875">
                  <c:v>119.745006374841</c:v>
                </c:pt>
                <c:pt idx="876">
                  <c:v>117.496812579686</c:v>
                </c:pt>
                <c:pt idx="877">
                  <c:v>118.397790055249</c:v>
                </c:pt>
                <c:pt idx="878">
                  <c:v>115.252868678283</c:v>
                </c:pt>
                <c:pt idx="879">
                  <c:v>115.50361240969</c:v>
                </c:pt>
                <c:pt idx="880">
                  <c:v>114.16064598385</c:v>
                </c:pt>
                <c:pt idx="881">
                  <c:v>117.437314067148</c:v>
                </c:pt>
                <c:pt idx="882">
                  <c:v>117.870803229919</c:v>
                </c:pt>
                <c:pt idx="883">
                  <c:v>117.433064173396</c:v>
                </c:pt>
                <c:pt idx="884">
                  <c:v>120.169995750106</c:v>
                </c:pt>
                <c:pt idx="885">
                  <c:v>120.165745856354</c:v>
                </c:pt>
                <c:pt idx="886">
                  <c:v>118.470038249044</c:v>
                </c:pt>
                <c:pt idx="887">
                  <c:v>118.504037399065</c:v>
                </c:pt>
                <c:pt idx="888">
                  <c:v>118.504037399065</c:v>
                </c:pt>
                <c:pt idx="889">
                  <c:v>117.709307267318</c:v>
                </c:pt>
                <c:pt idx="890">
                  <c:v>116.642583935402</c:v>
                </c:pt>
                <c:pt idx="891">
                  <c:v>115.784105397365</c:v>
                </c:pt>
                <c:pt idx="892">
                  <c:v>114.339141521462</c:v>
                </c:pt>
                <c:pt idx="893">
                  <c:v>114.657883552911</c:v>
                </c:pt>
                <c:pt idx="894">
                  <c:v>116.306842328942</c:v>
                </c:pt>
                <c:pt idx="895">
                  <c:v>116.67233319167</c:v>
                </c:pt>
                <c:pt idx="896">
                  <c:v>114.271143221419</c:v>
                </c:pt>
                <c:pt idx="897">
                  <c:v>113.140671483213</c:v>
                </c:pt>
                <c:pt idx="898">
                  <c:v>112.362940926477</c:v>
                </c:pt>
                <c:pt idx="899">
                  <c:v>114.173395665108</c:v>
                </c:pt>
                <c:pt idx="900">
                  <c:v>115.048873778156</c:v>
                </c:pt>
                <c:pt idx="901">
                  <c:v>114.466638334042</c:v>
                </c:pt>
                <c:pt idx="902">
                  <c:v>116.578835529112</c:v>
                </c:pt>
                <c:pt idx="903">
                  <c:v>115.359116022099</c:v>
                </c:pt>
                <c:pt idx="904">
                  <c:v>114.921376965576</c:v>
                </c:pt>
                <c:pt idx="905">
                  <c:v>116.706332341691</c:v>
                </c:pt>
                <c:pt idx="906">
                  <c:v>116.94432639184</c:v>
                </c:pt>
                <c:pt idx="907">
                  <c:v>118.474288142796</c:v>
                </c:pt>
                <c:pt idx="908">
                  <c:v>119.706757331067</c:v>
                </c:pt>
                <c:pt idx="909">
                  <c:v>120.645983850404</c:v>
                </c:pt>
                <c:pt idx="910">
                  <c:v>121.172970675733</c:v>
                </c:pt>
                <c:pt idx="911">
                  <c:v>121.576710582235</c:v>
                </c:pt>
                <c:pt idx="912">
                  <c:v>121.56821079473</c:v>
                </c:pt>
                <c:pt idx="913">
                  <c:v>120.042498937527</c:v>
                </c:pt>
                <c:pt idx="914">
                  <c:v>117.254568635784</c:v>
                </c:pt>
                <c:pt idx="915">
                  <c:v>118.283042923927</c:v>
                </c:pt>
                <c:pt idx="916">
                  <c:v>118.1597960051</c:v>
                </c:pt>
                <c:pt idx="917">
                  <c:v>118.822779430514</c:v>
                </c:pt>
                <c:pt idx="918">
                  <c:v>117.598810029749</c:v>
                </c:pt>
                <c:pt idx="919">
                  <c:v>117.543561410965</c:v>
                </c:pt>
                <c:pt idx="920">
                  <c:v>119.171270718232</c:v>
                </c:pt>
                <c:pt idx="921">
                  <c:v>118.657033574161</c:v>
                </c:pt>
                <c:pt idx="922">
                  <c:v>120.097747556311</c:v>
                </c:pt>
                <c:pt idx="923">
                  <c:v>118.852528686783</c:v>
                </c:pt>
                <c:pt idx="924">
                  <c:v>119.864003399915</c:v>
                </c:pt>
                <c:pt idx="925">
                  <c:v>120.14449638759</c:v>
                </c:pt>
                <c:pt idx="926">
                  <c:v>119.014024649384</c:v>
                </c:pt>
                <c:pt idx="927">
                  <c:v>117.768805779856</c:v>
                </c:pt>
                <c:pt idx="928">
                  <c:v>120</c:v>
                </c:pt>
                <c:pt idx="929">
                  <c:v>117.042073948151</c:v>
                </c:pt>
                <c:pt idx="930">
                  <c:v>113.812154696133</c:v>
                </c:pt>
                <c:pt idx="931">
                  <c:v>111.15172120697</c:v>
                </c:pt>
                <c:pt idx="932">
                  <c:v>107.054823629409</c:v>
                </c:pt>
                <c:pt idx="933">
                  <c:v>103.038674033149</c:v>
                </c:pt>
                <c:pt idx="934">
                  <c:v>99.2435189120272</c:v>
                </c:pt>
                <c:pt idx="935">
                  <c:v>99.1202719932002</c:v>
                </c:pt>
                <c:pt idx="936">
                  <c:v>99.5070123246919</c:v>
                </c:pt>
                <c:pt idx="937">
                  <c:v>97.9090522736932</c:v>
                </c:pt>
                <c:pt idx="938">
                  <c:v>97.9090522736932</c:v>
                </c:pt>
                <c:pt idx="939">
                  <c:v>102.945176370591</c:v>
                </c:pt>
                <c:pt idx="940">
                  <c:v>103.455163620909</c:v>
                </c:pt>
                <c:pt idx="941">
                  <c:v>101.27921801955</c:v>
                </c:pt>
                <c:pt idx="942">
                  <c:v>94.7641308967276</c:v>
                </c:pt>
                <c:pt idx="943">
                  <c:v>93.1364215894603</c:v>
                </c:pt>
                <c:pt idx="944">
                  <c:v>96.9485762855929</c:v>
                </c:pt>
                <c:pt idx="945">
                  <c:v>95.6821079473013</c:v>
                </c:pt>
                <c:pt idx="946">
                  <c:v>96.4810879728007</c:v>
                </c:pt>
                <c:pt idx="947">
                  <c:v>97.3225669358266</c:v>
                </c:pt>
                <c:pt idx="948">
                  <c:v>100.203994900128</c:v>
                </c:pt>
                <c:pt idx="949">
                  <c:v>100.994475138122</c:v>
                </c:pt>
                <c:pt idx="950">
                  <c:v>102.915427114322</c:v>
                </c:pt>
                <c:pt idx="951">
                  <c:v>103.004674883128</c:v>
                </c:pt>
                <c:pt idx="952">
                  <c:v>102.065448363791</c:v>
                </c:pt>
                <c:pt idx="953">
                  <c:v>97.2758181045474</c:v>
                </c:pt>
                <c:pt idx="954">
                  <c:v>96.3238419039524</c:v>
                </c:pt>
                <c:pt idx="955">
                  <c:v>100.348491287718</c:v>
                </c:pt>
                <c:pt idx="956">
                  <c:v>101.347216319592</c:v>
                </c:pt>
                <c:pt idx="957">
                  <c:v>99.1925201869953</c:v>
                </c:pt>
                <c:pt idx="958">
                  <c:v>99.1925201869953</c:v>
                </c:pt>
                <c:pt idx="959">
                  <c:v>99.1925201869953</c:v>
                </c:pt>
                <c:pt idx="960">
                  <c:v>95.686357841054</c:v>
                </c:pt>
                <c:pt idx="961">
                  <c:v>97.1440713982151</c:v>
                </c:pt>
                <c:pt idx="962">
                  <c:v>100.934976625584</c:v>
                </c:pt>
                <c:pt idx="963">
                  <c:v>100.008499787505</c:v>
                </c:pt>
                <c:pt idx="964">
                  <c:v>100.947726306842</c:v>
                </c:pt>
                <c:pt idx="965">
                  <c:v>101.789205269868</c:v>
                </c:pt>
                <c:pt idx="966">
                  <c:v>98.6187845303867</c:v>
                </c:pt>
                <c:pt idx="967">
                  <c:v>92.9111772205695</c:v>
                </c:pt>
                <c:pt idx="968">
                  <c:v>91.0242243943901</c:v>
                </c:pt>
                <c:pt idx="969">
                  <c:v>95.7458563535912</c:v>
                </c:pt>
                <c:pt idx="970">
                  <c:v>95.1211219719507</c:v>
                </c:pt>
                <c:pt idx="971">
                  <c:v>97.9048023799405</c:v>
                </c:pt>
                <c:pt idx="972">
                  <c:v>97.9218019549511</c:v>
                </c:pt>
                <c:pt idx="973">
                  <c:v>97.9218019549511</c:v>
                </c:pt>
                <c:pt idx="974">
                  <c:v>94.3178920526987</c:v>
                </c:pt>
                <c:pt idx="975">
                  <c:v>92.3671908202295</c:v>
                </c:pt>
                <c:pt idx="976">
                  <c:v>95.1721206969826</c:v>
                </c:pt>
                <c:pt idx="977">
                  <c:v>97.8623034424139</c:v>
                </c:pt>
                <c:pt idx="978">
                  <c:v>98.09604759881</c:v>
                </c:pt>
                <c:pt idx="979">
                  <c:v>99.7875053123672</c:v>
                </c:pt>
                <c:pt idx="980">
                  <c:v>100.577985550361</c:v>
                </c:pt>
                <c:pt idx="981">
                  <c:v>101.185720356991</c:v>
                </c:pt>
                <c:pt idx="982">
                  <c:v>101.857203569911</c:v>
                </c:pt>
                <c:pt idx="983">
                  <c:v>103.480662983425</c:v>
                </c:pt>
                <c:pt idx="984">
                  <c:v>101.950701232469</c:v>
                </c:pt>
                <c:pt idx="985">
                  <c:v>102.894177645559</c:v>
                </c:pt>
                <c:pt idx="986">
                  <c:v>100.114747131322</c:v>
                </c:pt>
                <c:pt idx="987">
                  <c:v>102.005949851254</c:v>
                </c:pt>
                <c:pt idx="988">
                  <c:v>105.486612834679</c:v>
                </c:pt>
                <c:pt idx="989">
                  <c:v>105.057373565661</c:v>
                </c:pt>
                <c:pt idx="990">
                  <c:v>105.210369740756</c:v>
                </c:pt>
                <c:pt idx="991">
                  <c:v>106.757331066723</c:v>
                </c:pt>
                <c:pt idx="992">
                  <c:v>107.297067573311</c:v>
                </c:pt>
                <c:pt idx="993">
                  <c:v>106.196345091373</c:v>
                </c:pt>
                <c:pt idx="994">
                  <c:v>106.213344666383</c:v>
                </c:pt>
                <c:pt idx="995">
                  <c:v>105.410114747131</c:v>
                </c:pt>
                <c:pt idx="996">
                  <c:v>103.735656608585</c:v>
                </c:pt>
                <c:pt idx="997">
                  <c:v>107.241818954526</c:v>
                </c:pt>
                <c:pt idx="998">
                  <c:v>106.578835529112</c:v>
                </c:pt>
                <c:pt idx="999">
                  <c:v>105.533361665958</c:v>
                </c:pt>
                <c:pt idx="1000">
                  <c:v>105.92010199745</c:v>
                </c:pt>
                <c:pt idx="1001">
                  <c:v>100.305992350191</c:v>
                </c:pt>
                <c:pt idx="1002">
                  <c:v>103.268168295793</c:v>
                </c:pt>
                <c:pt idx="1003">
                  <c:v>105.512112197195</c:v>
                </c:pt>
                <c:pt idx="1004">
                  <c:v>104.636634084148</c:v>
                </c:pt>
                <c:pt idx="1005">
                  <c:v>102.838929026774</c:v>
                </c:pt>
                <c:pt idx="1006">
                  <c:v>103.95240118997</c:v>
                </c:pt>
                <c:pt idx="1007">
                  <c:v>101.755206119847</c:v>
                </c:pt>
                <c:pt idx="1008">
                  <c:v>100.569485762856</c:v>
                </c:pt>
                <c:pt idx="1009">
                  <c:v>101.062473438164</c:v>
                </c:pt>
                <c:pt idx="1010">
                  <c:v>98.4615384615385</c:v>
                </c:pt>
                <c:pt idx="1011">
                  <c:v>99.171270718232</c:v>
                </c:pt>
                <c:pt idx="1012">
                  <c:v>98.1852953676158</c:v>
                </c:pt>
                <c:pt idx="1013">
                  <c:v>100.548236294093</c:v>
                </c:pt>
                <c:pt idx="1014">
                  <c:v>103.059923501912</c:v>
                </c:pt>
                <c:pt idx="1015">
                  <c:v>102.503187420314</c:v>
                </c:pt>
                <c:pt idx="1016">
                  <c:v>106.893327666808</c:v>
                </c:pt>
                <c:pt idx="1017">
                  <c:v>106.753081172971</c:v>
                </c:pt>
                <c:pt idx="1018">
                  <c:v>107.190820229494</c:v>
                </c:pt>
                <c:pt idx="1019">
                  <c:v>106.026349341266</c:v>
                </c:pt>
                <c:pt idx="1020">
                  <c:v>106.914577135572</c:v>
                </c:pt>
                <c:pt idx="1021">
                  <c:v>106.379090522737</c:v>
                </c:pt>
                <c:pt idx="1022">
                  <c:v>104.092647683808</c:v>
                </c:pt>
                <c:pt idx="1023">
                  <c:v>105.631109222269</c:v>
                </c:pt>
                <c:pt idx="1024">
                  <c:v>103.476413089673</c:v>
                </c:pt>
                <c:pt idx="1025">
                  <c:v>102.996175095623</c:v>
                </c:pt>
                <c:pt idx="1026">
                  <c:v>100.603484912877</c:v>
                </c:pt>
                <c:pt idx="1027">
                  <c:v>101.920951976201</c:v>
                </c:pt>
                <c:pt idx="1028">
                  <c:v>98.4870378240544</c:v>
                </c:pt>
                <c:pt idx="1029">
                  <c:v>99.3752656183595</c:v>
                </c:pt>
                <c:pt idx="1030">
                  <c:v>102.639184020399</c:v>
                </c:pt>
                <c:pt idx="1031">
                  <c:v>102.59243518912</c:v>
                </c:pt>
                <c:pt idx="1032">
                  <c:v>103.790905227369</c:v>
                </c:pt>
                <c:pt idx="1033">
                  <c:v>103.11942201445</c:v>
                </c:pt>
                <c:pt idx="1034">
                  <c:v>102.333191670208</c:v>
                </c:pt>
                <c:pt idx="1035">
                  <c:v>101.211219719507</c:v>
                </c:pt>
                <c:pt idx="1036">
                  <c:v>101.181470463238</c:v>
                </c:pt>
                <c:pt idx="1037">
                  <c:v>101.181470463238</c:v>
                </c:pt>
                <c:pt idx="1038">
                  <c:v>101.444963875903</c:v>
                </c:pt>
                <c:pt idx="1039">
                  <c:v>104.470888227794</c:v>
                </c:pt>
                <c:pt idx="1040">
                  <c:v>103.799405014875</c:v>
                </c:pt>
                <c:pt idx="1041">
                  <c:v>103.510412239694</c:v>
                </c:pt>
                <c:pt idx="1042">
                  <c:v>102.23969400765</c:v>
                </c:pt>
                <c:pt idx="1043">
                  <c:v>101.155971100722</c:v>
                </c:pt>
                <c:pt idx="1044">
                  <c:v>102.715682107947</c:v>
                </c:pt>
                <c:pt idx="1045">
                  <c:v>102.350191245219</c:v>
                </c:pt>
                <c:pt idx="1046">
                  <c:v>103.467913302167</c:v>
                </c:pt>
                <c:pt idx="1047">
                  <c:v>104.241393965151</c:v>
                </c:pt>
                <c:pt idx="1048">
                  <c:v>103.314917127072</c:v>
                </c:pt>
                <c:pt idx="1049">
                  <c:v>105.316617084573</c:v>
                </c:pt>
                <c:pt idx="1050">
                  <c:v>105.320866978326</c:v>
                </c:pt>
                <c:pt idx="1051">
                  <c:v>106.787080322992</c:v>
                </c:pt>
                <c:pt idx="1052">
                  <c:v>109.05652358691</c:v>
                </c:pt>
                <c:pt idx="1053">
                  <c:v>109.05652358691</c:v>
                </c:pt>
                <c:pt idx="1054">
                  <c:v>109.05652358691</c:v>
                </c:pt>
                <c:pt idx="1055">
                  <c:v>109.281767955801</c:v>
                </c:pt>
                <c:pt idx="1056">
                  <c:v>109.443263918402</c:v>
                </c:pt>
                <c:pt idx="1057">
                  <c:v>109.923501912452</c:v>
                </c:pt>
                <c:pt idx="1058">
                  <c:v>108.461538461538</c:v>
                </c:pt>
                <c:pt idx="1059">
                  <c:v>109.179770505737</c:v>
                </c:pt>
                <c:pt idx="1060">
                  <c:v>109.24776880578</c:v>
                </c:pt>
                <c:pt idx="1061">
                  <c:v>110.645983850404</c:v>
                </c:pt>
                <c:pt idx="1062">
                  <c:v>109.87250318742</c:v>
                </c:pt>
                <c:pt idx="1063">
                  <c:v>110.042498937527</c:v>
                </c:pt>
                <c:pt idx="1064">
                  <c:v>110.412239694008</c:v>
                </c:pt>
                <c:pt idx="1065">
                  <c:v>111.746706332342</c:v>
                </c:pt>
                <c:pt idx="1066">
                  <c:v>112.409689757756</c:v>
                </c:pt>
                <c:pt idx="1067">
                  <c:v>110.994475138122</c:v>
                </c:pt>
                <c:pt idx="1068">
                  <c:v>111.665958351041</c:v>
                </c:pt>
                <c:pt idx="1069">
                  <c:v>111.508712282193</c:v>
                </c:pt>
                <c:pt idx="1070">
                  <c:v>112.996175095623</c:v>
                </c:pt>
                <c:pt idx="1071">
                  <c:v>111.300467488313</c:v>
                </c:pt>
                <c:pt idx="1072">
                  <c:v>112.970675733107</c:v>
                </c:pt>
                <c:pt idx="1073">
                  <c:v>113.025924351891</c:v>
                </c:pt>
                <c:pt idx="1074">
                  <c:v>113.000424989375</c:v>
                </c:pt>
                <c:pt idx="1075">
                  <c:v>113.314917127072</c:v>
                </c:pt>
                <c:pt idx="1076">
                  <c:v>112.018699532512</c:v>
                </c:pt>
                <c:pt idx="1077">
                  <c:v>112.707182320442</c:v>
                </c:pt>
                <c:pt idx="1078">
                  <c:v>111.049723756906</c:v>
                </c:pt>
                <c:pt idx="1079">
                  <c:v>111.963450913727</c:v>
                </c:pt>
                <c:pt idx="1080">
                  <c:v>113.527411814705</c:v>
                </c:pt>
                <c:pt idx="1081">
                  <c:v>113.527411814705</c:v>
                </c:pt>
                <c:pt idx="1082">
                  <c:v>113.66340841479</c:v>
                </c:pt>
                <c:pt idx="1083">
                  <c:v>112.515937101572</c:v>
                </c:pt>
                <c:pt idx="1084">
                  <c:v>111.708457288568</c:v>
                </c:pt>
                <c:pt idx="1085">
                  <c:v>110.645983850404</c:v>
                </c:pt>
                <c:pt idx="1086">
                  <c:v>111.708457288568</c:v>
                </c:pt>
                <c:pt idx="1087">
                  <c:v>112.885677858054</c:v>
                </c:pt>
                <c:pt idx="1088">
                  <c:v>112.086697832554</c:v>
                </c:pt>
                <c:pt idx="1089">
                  <c:v>113.429664258394</c:v>
                </c:pt>
                <c:pt idx="1090">
                  <c:v>114.683382915427</c:v>
                </c:pt>
                <c:pt idx="1091">
                  <c:v>114.645133871653</c:v>
                </c:pt>
                <c:pt idx="1092">
                  <c:v>114.011899702507</c:v>
                </c:pt>
                <c:pt idx="1093">
                  <c:v>114.861878453039</c:v>
                </c:pt>
                <c:pt idx="1094">
                  <c:v>114.611134721632</c:v>
                </c:pt>
                <c:pt idx="1095">
                  <c:v>113.80790480238</c:v>
                </c:pt>
                <c:pt idx="1096">
                  <c:v>113.88865278368</c:v>
                </c:pt>
                <c:pt idx="1097">
                  <c:v>113.875903102422</c:v>
                </c:pt>
                <c:pt idx="1098">
                  <c:v>113.646408839779</c:v>
                </c:pt>
                <c:pt idx="1099">
                  <c:v>115.048873778156</c:v>
                </c:pt>
                <c:pt idx="1100">
                  <c:v>114.594135146621</c:v>
                </c:pt>
                <c:pt idx="1101">
                  <c:v>113.527411814705</c:v>
                </c:pt>
                <c:pt idx="1102">
                  <c:v>113.293667658309</c:v>
                </c:pt>
                <c:pt idx="1103">
                  <c:v>114.317892052699</c:v>
                </c:pt>
                <c:pt idx="1104">
                  <c:v>115.79260518487</c:v>
                </c:pt>
                <c:pt idx="1105">
                  <c:v>114.037399065023</c:v>
                </c:pt>
                <c:pt idx="1106">
                  <c:v>114.730131746706</c:v>
                </c:pt>
                <c:pt idx="1107">
                  <c:v>114.734381640459</c:v>
                </c:pt>
                <c:pt idx="1108">
                  <c:v>112.996175095623</c:v>
                </c:pt>
                <c:pt idx="1109">
                  <c:v>112.78368040799</c:v>
                </c:pt>
                <c:pt idx="1110">
                  <c:v>112.78368040799</c:v>
                </c:pt>
                <c:pt idx="1111">
                  <c:v>112.17594560136</c:v>
                </c:pt>
                <c:pt idx="1112">
                  <c:v>113.412664683383</c:v>
                </c:pt>
                <c:pt idx="1113">
                  <c:v>112.405439864003</c:v>
                </c:pt>
                <c:pt idx="1114">
                  <c:v>111.908202294943</c:v>
                </c:pt>
                <c:pt idx="1115">
                  <c:v>113.140671483213</c:v>
                </c:pt>
                <c:pt idx="1116">
                  <c:v>112.868678283043</c:v>
                </c:pt>
                <c:pt idx="1117">
                  <c:v>111.27921801955</c:v>
                </c:pt>
                <c:pt idx="1118">
                  <c:v>111.202719932002</c:v>
                </c:pt>
                <c:pt idx="1119">
                  <c:v>110.820229494263</c:v>
                </c:pt>
                <c:pt idx="1120">
                  <c:v>110.845728856779</c:v>
                </c:pt>
                <c:pt idx="1121">
                  <c:v>111.138971525712</c:v>
                </c:pt>
                <c:pt idx="1122">
                  <c:v>111.954951126222</c:v>
                </c:pt>
                <c:pt idx="1123">
                  <c:v>112.345941351466</c:v>
                </c:pt>
                <c:pt idx="1124">
                  <c:v>112.345941351466</c:v>
                </c:pt>
                <c:pt idx="1125">
                  <c:v>113.306417339567</c:v>
                </c:pt>
                <c:pt idx="1126">
                  <c:v>113.068423289418</c:v>
                </c:pt>
                <c:pt idx="1127">
                  <c:v>112.367190820229</c:v>
                </c:pt>
                <c:pt idx="1128">
                  <c:v>110.382490437739</c:v>
                </c:pt>
                <c:pt idx="1129">
                  <c:v>110.973225669358</c:v>
                </c:pt>
                <c:pt idx="1130">
                  <c:v>109.983000424989</c:v>
                </c:pt>
                <c:pt idx="1131">
                  <c:v>109.60050998725</c:v>
                </c:pt>
                <c:pt idx="1132">
                  <c:v>107.947301317467</c:v>
                </c:pt>
                <c:pt idx="1133">
                  <c:v>107.994050148746</c:v>
                </c:pt>
                <c:pt idx="1134">
                  <c:v>107.233319167021</c:v>
                </c:pt>
                <c:pt idx="1135">
                  <c:v>103.667658308542</c:v>
                </c:pt>
                <c:pt idx="1136">
                  <c:v>103.901402464938</c:v>
                </c:pt>
                <c:pt idx="1137">
                  <c:v>100.233744156396</c:v>
                </c:pt>
                <c:pt idx="1138">
                  <c:v>101.410964725882</c:v>
                </c:pt>
                <c:pt idx="1139">
                  <c:v>103.127921801955</c:v>
                </c:pt>
                <c:pt idx="1140">
                  <c:v>101.895452613685</c:v>
                </c:pt>
                <c:pt idx="1141">
                  <c:v>102.214194645134</c:v>
                </c:pt>
                <c:pt idx="1142">
                  <c:v>102.677433064173</c:v>
                </c:pt>
                <c:pt idx="1143">
                  <c:v>104.232894177646</c:v>
                </c:pt>
                <c:pt idx="1144">
                  <c:v>103.986400339992</c:v>
                </c:pt>
                <c:pt idx="1145">
                  <c:v>103.718657033574</c:v>
                </c:pt>
                <c:pt idx="1146">
                  <c:v>103.26391840204</c:v>
                </c:pt>
                <c:pt idx="1147">
                  <c:v>100.424989375266</c:v>
                </c:pt>
                <c:pt idx="1148">
                  <c:v>101.483212919677</c:v>
                </c:pt>
                <c:pt idx="1149">
                  <c:v>101.483212919677</c:v>
                </c:pt>
                <c:pt idx="1150">
                  <c:v>104.339141521462</c:v>
                </c:pt>
                <c:pt idx="1151">
                  <c:v>103.565660858479</c:v>
                </c:pt>
                <c:pt idx="1152">
                  <c:v>105.524861878453</c:v>
                </c:pt>
                <c:pt idx="1153">
                  <c:v>104.730131746706</c:v>
                </c:pt>
                <c:pt idx="1154">
                  <c:v>105.006374840629</c:v>
                </c:pt>
                <c:pt idx="1155">
                  <c:v>105.660858478538</c:v>
                </c:pt>
                <c:pt idx="1156">
                  <c:v>104.789630259244</c:v>
                </c:pt>
                <c:pt idx="1157">
                  <c:v>106.829579260518</c:v>
                </c:pt>
                <c:pt idx="1158">
                  <c:v>106.804079898003</c:v>
                </c:pt>
                <c:pt idx="1159">
                  <c:v>107.48831279218</c:v>
                </c:pt>
                <c:pt idx="1160">
                  <c:v>106.442838929027</c:v>
                </c:pt>
                <c:pt idx="1161">
                  <c:v>103.761155971101</c:v>
                </c:pt>
                <c:pt idx="1162">
                  <c:v>102.316192095198</c:v>
                </c:pt>
                <c:pt idx="1163">
                  <c:v>101.861453463663</c:v>
                </c:pt>
                <c:pt idx="1164">
                  <c:v>101.933701657459</c:v>
                </c:pt>
                <c:pt idx="1165">
                  <c:v>101.988950276243</c:v>
                </c:pt>
                <c:pt idx="1166">
                  <c:v>104.07989800255</c:v>
                </c:pt>
                <c:pt idx="1167">
                  <c:v>103.892902677433</c:v>
                </c:pt>
                <c:pt idx="1168">
                  <c:v>104.887377815555</c:v>
                </c:pt>
                <c:pt idx="1169">
                  <c:v>105.29536761581</c:v>
                </c:pt>
                <c:pt idx="1170">
                  <c:v>105.257118572036</c:v>
                </c:pt>
                <c:pt idx="1171">
                  <c:v>104.152146196345</c:v>
                </c:pt>
                <c:pt idx="1172">
                  <c:v>102.732681682958</c:v>
                </c:pt>
                <c:pt idx="1173">
                  <c:v>102.371440713982</c:v>
                </c:pt>
                <c:pt idx="1174">
                  <c:v>102.141946451339</c:v>
                </c:pt>
                <c:pt idx="1175">
                  <c:v>99.72800679983</c:v>
                </c:pt>
                <c:pt idx="1176">
                  <c:v>101.474713132172</c:v>
                </c:pt>
                <c:pt idx="1177">
                  <c:v>101.738206544836</c:v>
                </c:pt>
                <c:pt idx="1178">
                  <c:v>102.078198045049</c:v>
                </c:pt>
                <c:pt idx="1179">
                  <c:v>100.475988100297</c:v>
                </c:pt>
                <c:pt idx="1180">
                  <c:v>102.184445388865</c:v>
                </c:pt>
                <c:pt idx="1181">
                  <c:v>102.146196345091</c:v>
                </c:pt>
                <c:pt idx="1182">
                  <c:v>100.19124521887</c:v>
                </c:pt>
                <c:pt idx="1183">
                  <c:v>100.573735656609</c:v>
                </c:pt>
                <c:pt idx="1184">
                  <c:v>99.2307692307692</c:v>
                </c:pt>
                <c:pt idx="1185">
                  <c:v>100.012749681258</c:v>
                </c:pt>
                <c:pt idx="1186">
                  <c:v>102.945176370591</c:v>
                </c:pt>
                <c:pt idx="1187">
                  <c:v>103.943901402465</c:v>
                </c:pt>
                <c:pt idx="1188">
                  <c:v>106.281342966426</c:v>
                </c:pt>
                <c:pt idx="1189">
                  <c:v>106.077348066298</c:v>
                </c:pt>
                <c:pt idx="1190">
                  <c:v>105.354866128347</c:v>
                </c:pt>
                <c:pt idx="1191">
                  <c:v>104.041648958776</c:v>
                </c:pt>
                <c:pt idx="1192">
                  <c:v>106.4003399915</c:v>
                </c:pt>
                <c:pt idx="1193">
                  <c:v>106.413089672758</c:v>
                </c:pt>
                <c:pt idx="1194">
                  <c:v>107.454313642159</c:v>
                </c:pt>
                <c:pt idx="1195">
                  <c:v>109.681257968551</c:v>
                </c:pt>
                <c:pt idx="1196">
                  <c:v>110.033999150021</c:v>
                </c:pt>
                <c:pt idx="1197">
                  <c:v>109.073523161921</c:v>
                </c:pt>
                <c:pt idx="1198">
                  <c:v>110.54398640034</c:v>
                </c:pt>
                <c:pt idx="1199">
                  <c:v>110.54398640034</c:v>
                </c:pt>
                <c:pt idx="1200">
                  <c:v>110.531236719082</c:v>
                </c:pt>
                <c:pt idx="1201">
                  <c:v>109.732256693583</c:v>
                </c:pt>
                <c:pt idx="1202">
                  <c:v>109.660008499787</c:v>
                </c:pt>
                <c:pt idx="1203">
                  <c:v>109.434764130897</c:v>
                </c:pt>
                <c:pt idx="1204">
                  <c:v>108.886527836804</c:v>
                </c:pt>
                <c:pt idx="1205">
                  <c:v>109.341266468338</c:v>
                </c:pt>
                <c:pt idx="1206">
                  <c:v>107.832554186145</c:v>
                </c:pt>
                <c:pt idx="1207">
                  <c:v>107.42456438589</c:v>
                </c:pt>
                <c:pt idx="1208">
                  <c:v>107.339566510837</c:v>
                </c:pt>
                <c:pt idx="1209">
                  <c:v>108.040798980026</c:v>
                </c:pt>
                <c:pt idx="1210">
                  <c:v>106.65533361666</c:v>
                </c:pt>
                <c:pt idx="1211">
                  <c:v>106.485337866553</c:v>
                </c:pt>
                <c:pt idx="1212">
                  <c:v>106.770080747981</c:v>
                </c:pt>
                <c:pt idx="1213">
                  <c:v>106.485337866553</c:v>
                </c:pt>
                <c:pt idx="1214">
                  <c:v>104.441138971526</c:v>
                </c:pt>
                <c:pt idx="1215">
                  <c:v>104.883127921802</c:v>
                </c:pt>
                <c:pt idx="1216">
                  <c:v>107.955801104972</c:v>
                </c:pt>
                <c:pt idx="1217">
                  <c:v>107.683807904802</c:v>
                </c:pt>
                <c:pt idx="1218">
                  <c:v>107.40756481088</c:v>
                </c:pt>
                <c:pt idx="1219">
                  <c:v>109.201019974501</c:v>
                </c:pt>
                <c:pt idx="1220">
                  <c:v>109.167020824479</c:v>
                </c:pt>
                <c:pt idx="1221">
                  <c:v>112.630684232894</c:v>
                </c:pt>
                <c:pt idx="1222">
                  <c:v>112.184445388865</c:v>
                </c:pt>
                <c:pt idx="1223">
                  <c:v>112.30344241394</c:v>
                </c:pt>
                <c:pt idx="1224">
                  <c:v>112.38419039524</c:v>
                </c:pt>
                <c:pt idx="1225">
                  <c:v>111.291967700807</c:v>
                </c:pt>
                <c:pt idx="1226">
                  <c:v>111.946451338717</c:v>
                </c:pt>
                <c:pt idx="1227">
                  <c:v>112.010199745006</c:v>
                </c:pt>
                <c:pt idx="1228">
                  <c:v>111.35996600085</c:v>
                </c:pt>
                <c:pt idx="1229">
                  <c:v>110.675733106672</c:v>
                </c:pt>
                <c:pt idx="1230">
                  <c:v>111.185720356991</c:v>
                </c:pt>
                <c:pt idx="1231">
                  <c:v>111.555461113472</c:v>
                </c:pt>
                <c:pt idx="1232">
                  <c:v>111.555461113472</c:v>
                </c:pt>
                <c:pt idx="1233">
                  <c:v>111.55121121972</c:v>
                </c:pt>
                <c:pt idx="1234">
                  <c:v>111.55121121972</c:v>
                </c:pt>
                <c:pt idx="1235">
                  <c:v>111.313217169571</c:v>
                </c:pt>
                <c:pt idx="1236">
                  <c:v>111.376965575861</c:v>
                </c:pt>
                <c:pt idx="1237">
                  <c:v>110.54398640034</c:v>
                </c:pt>
                <c:pt idx="1238">
                  <c:v>110.35274118147</c:v>
                </c:pt>
                <c:pt idx="1239">
                  <c:v>108.436039099023</c:v>
                </c:pt>
                <c:pt idx="1240">
                  <c:v>107.454313642159</c:v>
                </c:pt>
                <c:pt idx="1241">
                  <c:v>107.284317892053</c:v>
                </c:pt>
                <c:pt idx="1242">
                  <c:v>106.859328516787</c:v>
                </c:pt>
                <c:pt idx="1243">
                  <c:v>107.938801529962</c:v>
                </c:pt>
                <c:pt idx="1244">
                  <c:v>108.822779430514</c:v>
                </c:pt>
                <c:pt idx="1245">
                  <c:v>109.337016574586</c:v>
                </c:pt>
                <c:pt idx="1246">
                  <c:v>108.283042923927</c:v>
                </c:pt>
                <c:pt idx="1247">
                  <c:v>108.040798980026</c:v>
                </c:pt>
                <c:pt idx="1248">
                  <c:v>107.037824054399</c:v>
                </c:pt>
                <c:pt idx="1249">
                  <c:v>106.162345941351</c:v>
                </c:pt>
                <c:pt idx="1250">
                  <c:v>106.978325541861</c:v>
                </c:pt>
                <c:pt idx="1251">
                  <c:v>105.048873778156</c:v>
                </c:pt>
                <c:pt idx="1252">
                  <c:v>105.252868678283</c:v>
                </c:pt>
                <c:pt idx="1253">
                  <c:v>105.618359541011</c:v>
                </c:pt>
                <c:pt idx="1254">
                  <c:v>106.323841903952</c:v>
                </c:pt>
                <c:pt idx="1255">
                  <c:v>105.325116872078</c:v>
                </c:pt>
                <c:pt idx="1256">
                  <c:v>106.689332766681</c:v>
                </c:pt>
                <c:pt idx="1257">
                  <c:v>106.034849128772</c:v>
                </c:pt>
                <c:pt idx="1258">
                  <c:v>107.224819379516</c:v>
                </c:pt>
                <c:pt idx="1259">
                  <c:v>107.819804504887</c:v>
                </c:pt>
                <c:pt idx="1260">
                  <c:v>106.302592435189</c:v>
                </c:pt>
                <c:pt idx="1261">
                  <c:v>105.690607734807</c:v>
                </c:pt>
                <c:pt idx="1262">
                  <c:v>105.473863153421</c:v>
                </c:pt>
                <c:pt idx="1263">
                  <c:v>104.929876753081</c:v>
                </c:pt>
                <c:pt idx="1264">
                  <c:v>105.31236719082</c:v>
                </c:pt>
                <c:pt idx="1265">
                  <c:v>103.969400764981</c:v>
                </c:pt>
                <c:pt idx="1266">
                  <c:v>103.463663408415</c:v>
                </c:pt>
                <c:pt idx="1267">
                  <c:v>104.470888227794</c:v>
                </c:pt>
                <c:pt idx="1268">
                  <c:v>105.278368040799</c:v>
                </c:pt>
                <c:pt idx="1269">
                  <c:v>104.980875478113</c:v>
                </c:pt>
                <c:pt idx="1270">
                  <c:v>106.039099022524</c:v>
                </c:pt>
                <c:pt idx="1271">
                  <c:v>106.859328516787</c:v>
                </c:pt>
                <c:pt idx="1272">
                  <c:v>106.557586060348</c:v>
                </c:pt>
                <c:pt idx="1273">
                  <c:v>107.69655758606</c:v>
                </c:pt>
                <c:pt idx="1274">
                  <c:v>106.978325541861</c:v>
                </c:pt>
                <c:pt idx="1275">
                  <c:v>108.257543561411</c:v>
                </c:pt>
                <c:pt idx="1276">
                  <c:v>108.053548661283</c:v>
                </c:pt>
                <c:pt idx="1277">
                  <c:v>108.614534636634</c:v>
                </c:pt>
                <c:pt idx="1278">
                  <c:v>108.300042498938</c:v>
                </c:pt>
                <c:pt idx="1279">
                  <c:v>109.065023374416</c:v>
                </c:pt>
                <c:pt idx="1280">
                  <c:v>109.337016574586</c:v>
                </c:pt>
                <c:pt idx="1281">
                  <c:v>109.978750531237</c:v>
                </c:pt>
                <c:pt idx="1282">
                  <c:v>110.084997875053</c:v>
                </c:pt>
                <c:pt idx="1283">
                  <c:v>110.548236294093</c:v>
                </c:pt>
                <c:pt idx="1284">
                  <c:v>111.206969825754</c:v>
                </c:pt>
                <c:pt idx="1285">
                  <c:v>112.957926051849</c:v>
                </c:pt>
                <c:pt idx="1286">
                  <c:v>112.435189120272</c:v>
                </c:pt>
                <c:pt idx="1287">
                  <c:v>111.670208244794</c:v>
                </c:pt>
                <c:pt idx="1288">
                  <c:v>112.294942626434</c:v>
                </c:pt>
                <c:pt idx="1289">
                  <c:v>112.294942626434</c:v>
                </c:pt>
                <c:pt idx="1290">
                  <c:v>112.52868678283</c:v>
                </c:pt>
                <c:pt idx="1291">
                  <c:v>111.300467488313</c:v>
                </c:pt>
                <c:pt idx="1292">
                  <c:v>111.393965150871</c:v>
                </c:pt>
                <c:pt idx="1293">
                  <c:v>111.334466638334</c:v>
                </c:pt>
                <c:pt idx="1294">
                  <c:v>111.636209094773</c:v>
                </c:pt>
                <c:pt idx="1295">
                  <c:v>112.163195920102</c:v>
                </c:pt>
                <c:pt idx="1296">
                  <c:v>112.163195920102</c:v>
                </c:pt>
                <c:pt idx="1297">
                  <c:v>114.390140246494</c:v>
                </c:pt>
                <c:pt idx="1298">
                  <c:v>113.693157671058</c:v>
                </c:pt>
                <c:pt idx="1299">
                  <c:v>113.106672333192</c:v>
                </c:pt>
                <c:pt idx="1300">
                  <c:v>113.034424139397</c:v>
                </c:pt>
                <c:pt idx="1301">
                  <c:v>112.17594560136</c:v>
                </c:pt>
                <c:pt idx="1302">
                  <c:v>111.729706757331</c:v>
                </c:pt>
                <c:pt idx="1303">
                  <c:v>112.600934976626</c:v>
                </c:pt>
                <c:pt idx="1304">
                  <c:v>111.908202294943</c:v>
                </c:pt>
                <c:pt idx="1305">
                  <c:v>112.537186570336</c:v>
                </c:pt>
                <c:pt idx="1306">
                  <c:v>111.104972375691</c:v>
                </c:pt>
                <c:pt idx="1307">
                  <c:v>110.705482362941</c:v>
                </c:pt>
                <c:pt idx="1308">
                  <c:v>110.539736506587</c:v>
                </c:pt>
                <c:pt idx="1309">
                  <c:v>111.223969400765</c:v>
                </c:pt>
                <c:pt idx="1310">
                  <c:v>111.049723756906</c:v>
                </c:pt>
                <c:pt idx="1311">
                  <c:v>111.733956651084</c:v>
                </c:pt>
                <c:pt idx="1312">
                  <c:v>110.964725881853</c:v>
                </c:pt>
                <c:pt idx="1313">
                  <c:v>109.961750956226</c:v>
                </c:pt>
                <c:pt idx="1314">
                  <c:v>108.822779430514</c:v>
                </c:pt>
                <c:pt idx="1315">
                  <c:v>108.227794305142</c:v>
                </c:pt>
                <c:pt idx="1316">
                  <c:v>109.315767105822</c:v>
                </c:pt>
                <c:pt idx="1317">
                  <c:v>109.847003824904</c:v>
                </c:pt>
                <c:pt idx="1318">
                  <c:v>109.677008074798</c:v>
                </c:pt>
                <c:pt idx="1319">
                  <c:v>109.494262643434</c:v>
                </c:pt>
                <c:pt idx="1320">
                  <c:v>109.175520611985</c:v>
                </c:pt>
                <c:pt idx="1321">
                  <c:v>108.295792605185</c:v>
                </c:pt>
                <c:pt idx="1322">
                  <c:v>108.079048023799</c:v>
                </c:pt>
                <c:pt idx="1323">
                  <c:v>107.947301317467</c:v>
                </c:pt>
                <c:pt idx="1324">
                  <c:v>109.260518487038</c:v>
                </c:pt>
                <c:pt idx="1325">
                  <c:v>109.260518487038</c:v>
                </c:pt>
                <c:pt idx="1326">
                  <c:v>109.073523161921</c:v>
                </c:pt>
                <c:pt idx="1327">
                  <c:v>110.888227794305</c:v>
                </c:pt>
                <c:pt idx="1328">
                  <c:v>111.109222269443</c:v>
                </c:pt>
                <c:pt idx="1329">
                  <c:v>111.181470463238</c:v>
                </c:pt>
                <c:pt idx="1330">
                  <c:v>111.189970250744</c:v>
                </c:pt>
                <c:pt idx="1331">
                  <c:v>111.415214619635</c:v>
                </c:pt>
                <c:pt idx="1332">
                  <c:v>113.926901827454</c:v>
                </c:pt>
                <c:pt idx="1333">
                  <c:v>113.40841478963</c:v>
                </c:pt>
                <c:pt idx="1334">
                  <c:v>113.53591160221</c:v>
                </c:pt>
                <c:pt idx="1335">
                  <c:v>113.051423714407</c:v>
                </c:pt>
                <c:pt idx="1336">
                  <c:v>112.486187845304</c:v>
                </c:pt>
                <c:pt idx="1337">
                  <c:v>112.6391840204</c:v>
                </c:pt>
                <c:pt idx="1338">
                  <c:v>113.901402464938</c:v>
                </c:pt>
                <c:pt idx="1339">
                  <c:v>113.901402464938</c:v>
                </c:pt>
                <c:pt idx="1340">
                  <c:v>113.106672333192</c:v>
                </c:pt>
                <c:pt idx="1341">
                  <c:v>113.276668083298</c:v>
                </c:pt>
                <c:pt idx="1342">
                  <c:v>113.578410539737</c:v>
                </c:pt>
                <c:pt idx="1343">
                  <c:v>112.52868678283</c:v>
                </c:pt>
                <c:pt idx="1344">
                  <c:v>112.439439014025</c:v>
                </c:pt>
                <c:pt idx="1345">
                  <c:v>112.260943476413</c:v>
                </c:pt>
                <c:pt idx="1346">
                  <c:v>111.529961750956</c:v>
                </c:pt>
                <c:pt idx="1347">
                  <c:v>111.912452188695</c:v>
                </c:pt>
                <c:pt idx="1348">
                  <c:v>111.929451763706</c:v>
                </c:pt>
                <c:pt idx="1349">
                  <c:v>110.854228644284</c:v>
                </c:pt>
                <c:pt idx="1350">
                  <c:v>109.774755631109</c:v>
                </c:pt>
                <c:pt idx="1351">
                  <c:v>110.407989800255</c:v>
                </c:pt>
                <c:pt idx="1352">
                  <c:v>109.239269018275</c:v>
                </c:pt>
                <c:pt idx="1353">
                  <c:v>108.72078198045</c:v>
                </c:pt>
                <c:pt idx="1354">
                  <c:v>108.51253718657</c:v>
                </c:pt>
                <c:pt idx="1355">
                  <c:v>110.318742031449</c:v>
                </c:pt>
                <c:pt idx="1356">
                  <c:v>110.726731831704</c:v>
                </c:pt>
                <c:pt idx="1357">
                  <c:v>111.287717807055</c:v>
                </c:pt>
                <c:pt idx="1358">
                  <c:v>111.287717807055</c:v>
                </c:pt>
                <c:pt idx="1359">
                  <c:v>111.937951551211</c:v>
                </c:pt>
                <c:pt idx="1360">
                  <c:v>111.461963450914</c:v>
                </c:pt>
                <c:pt idx="1361">
                  <c:v>110.832979175521</c:v>
                </c:pt>
                <c:pt idx="1362">
                  <c:v>110.650233744156</c:v>
                </c:pt>
                <c:pt idx="1363">
                  <c:v>109.243518912027</c:v>
                </c:pt>
                <c:pt idx="1364">
                  <c:v>107.42456438589</c:v>
                </c:pt>
                <c:pt idx="1365">
                  <c:v>107.263068423289</c:v>
                </c:pt>
                <c:pt idx="1366">
                  <c:v>107.322566935827</c:v>
                </c:pt>
                <c:pt idx="1367">
                  <c:v>108.091797705057</c:v>
                </c:pt>
                <c:pt idx="1368">
                  <c:v>108.873778155546</c:v>
                </c:pt>
                <c:pt idx="1369">
                  <c:v>107.097322566936</c:v>
                </c:pt>
                <c:pt idx="1370">
                  <c:v>106.889077773056</c:v>
                </c:pt>
                <c:pt idx="1371">
                  <c:v>107.003824904377</c:v>
                </c:pt>
                <c:pt idx="1372">
                  <c:v>106.889077773056</c:v>
                </c:pt>
                <c:pt idx="1373">
                  <c:v>105.333616659584</c:v>
                </c:pt>
                <c:pt idx="1374">
                  <c:v>105.724606884828</c:v>
                </c:pt>
                <c:pt idx="1375">
                  <c:v>106.867828304292</c:v>
                </c:pt>
                <c:pt idx="1376">
                  <c:v>106.251593710157</c:v>
                </c:pt>
                <c:pt idx="1377">
                  <c:v>107.097322566936</c:v>
                </c:pt>
                <c:pt idx="1378">
                  <c:v>108.155546111347</c:v>
                </c:pt>
                <c:pt idx="1379">
                  <c:v>107.539311517212</c:v>
                </c:pt>
                <c:pt idx="1380">
                  <c:v>107.203569910752</c:v>
                </c:pt>
                <c:pt idx="1381">
                  <c:v>108.678283042924</c:v>
                </c:pt>
                <c:pt idx="1382">
                  <c:v>108.678283042924</c:v>
                </c:pt>
                <c:pt idx="1383">
                  <c:v>108.338291542711</c:v>
                </c:pt>
                <c:pt idx="1384">
                  <c:v>108.805779855504</c:v>
                </c:pt>
                <c:pt idx="1385">
                  <c:v>108.457288567786</c:v>
                </c:pt>
                <c:pt idx="1386">
                  <c:v>107.879303017425</c:v>
                </c:pt>
                <c:pt idx="1387">
                  <c:v>107.955801104972</c:v>
                </c:pt>
                <c:pt idx="1388">
                  <c:v>109.447513812155</c:v>
                </c:pt>
                <c:pt idx="1389">
                  <c:v>107.403314917127</c:v>
                </c:pt>
                <c:pt idx="1390">
                  <c:v>107.645558861028</c:v>
                </c:pt>
                <c:pt idx="1391">
                  <c:v>108.920526986825</c:v>
                </c:pt>
                <c:pt idx="1392">
                  <c:v>109.052273693158</c:v>
                </c:pt>
                <c:pt idx="1393">
                  <c:v>110.067998300042</c:v>
                </c:pt>
                <c:pt idx="1394">
                  <c:v>110.067998300042</c:v>
                </c:pt>
                <c:pt idx="1395">
                  <c:v>109.902252443689</c:v>
                </c:pt>
                <c:pt idx="1396">
                  <c:v>109.723756906077</c:v>
                </c:pt>
                <c:pt idx="1397">
                  <c:v>110.577985550361</c:v>
                </c:pt>
                <c:pt idx="1398">
                  <c:v>109.077773055674</c:v>
                </c:pt>
                <c:pt idx="1399">
                  <c:v>109.358266043349</c:v>
                </c:pt>
                <c:pt idx="1400">
                  <c:v>109.72800679983</c:v>
                </c:pt>
                <c:pt idx="1401">
                  <c:v>109.898002549936</c:v>
                </c:pt>
                <c:pt idx="1402">
                  <c:v>110.888227794305</c:v>
                </c:pt>
                <c:pt idx="1403">
                  <c:v>111.011474713132</c:v>
                </c:pt>
                <c:pt idx="1404">
                  <c:v>111.121971950701</c:v>
                </c:pt>
                <c:pt idx="1405">
                  <c:v>110.620484487888</c:v>
                </c:pt>
                <c:pt idx="1406">
                  <c:v>110.726731831704</c:v>
                </c:pt>
                <c:pt idx="1407">
                  <c:v>109.014024649384</c:v>
                </c:pt>
                <c:pt idx="1408">
                  <c:v>109.014024649384</c:v>
                </c:pt>
                <c:pt idx="1409">
                  <c:v>106.757331066723</c:v>
                </c:pt>
                <c:pt idx="1410">
                  <c:v>107.182320441989</c:v>
                </c:pt>
                <c:pt idx="1411">
                  <c:v>106.328091797705</c:v>
                </c:pt>
                <c:pt idx="1412">
                  <c:v>105.609859753506</c:v>
                </c:pt>
                <c:pt idx="1413">
                  <c:v>103.905652358691</c:v>
                </c:pt>
                <c:pt idx="1414">
                  <c:v>104.275393115172</c:v>
                </c:pt>
                <c:pt idx="1415">
                  <c:v>104.024649383765</c:v>
                </c:pt>
                <c:pt idx="1416">
                  <c:v>105.027624309392</c:v>
                </c:pt>
                <c:pt idx="1417">
                  <c:v>104.309392265193</c:v>
                </c:pt>
                <c:pt idx="1418">
                  <c:v>102.107947301317</c:v>
                </c:pt>
                <c:pt idx="1419">
                  <c:v>100.539736506587</c:v>
                </c:pt>
                <c:pt idx="1420">
                  <c:v>99.2222694432639</c:v>
                </c:pt>
                <c:pt idx="1421">
                  <c:v>98.4912877178071</c:v>
                </c:pt>
                <c:pt idx="1422">
                  <c:v>98.393540161496</c:v>
                </c:pt>
                <c:pt idx="1423">
                  <c:v>101.42371440714</c:v>
                </c:pt>
                <c:pt idx="1424">
                  <c:v>102.962175945601</c:v>
                </c:pt>
                <c:pt idx="1425">
                  <c:v>102.443688907777</c:v>
                </c:pt>
                <c:pt idx="1426">
                  <c:v>102.337441563961</c:v>
                </c:pt>
                <c:pt idx="1427">
                  <c:v>100.565235869103</c:v>
                </c:pt>
                <c:pt idx="1428">
                  <c:v>101.385465363366</c:v>
                </c:pt>
                <c:pt idx="1429">
                  <c:v>100.841478963026</c:v>
                </c:pt>
                <c:pt idx="1430">
                  <c:v>99.9235019124522</c:v>
                </c:pt>
                <c:pt idx="1431">
                  <c:v>100.696982575436</c:v>
                </c:pt>
                <c:pt idx="1432">
                  <c:v>100.395240118997</c:v>
                </c:pt>
                <c:pt idx="1433">
                  <c:v>103.646408839779</c:v>
                </c:pt>
                <c:pt idx="1434">
                  <c:v>103.153421164471</c:v>
                </c:pt>
                <c:pt idx="1435">
                  <c:v>103.455163620909</c:v>
                </c:pt>
                <c:pt idx="1436">
                  <c:v>102.855928601785</c:v>
                </c:pt>
                <c:pt idx="1437">
                  <c:v>104.045898852529</c:v>
                </c:pt>
                <c:pt idx="1438">
                  <c:v>103.238419039524</c:v>
                </c:pt>
                <c:pt idx="1439">
                  <c:v>102.860178495538</c:v>
                </c:pt>
                <c:pt idx="1440">
                  <c:v>103.348916277093</c:v>
                </c:pt>
                <c:pt idx="1441">
                  <c:v>104.815129621759</c:v>
                </c:pt>
                <c:pt idx="1442">
                  <c:v>105.329366765831</c:v>
                </c:pt>
                <c:pt idx="1443">
                  <c:v>105.274118147046</c:v>
                </c:pt>
                <c:pt idx="1444">
                  <c:v>105.31236719082</c:v>
                </c:pt>
                <c:pt idx="1445">
                  <c:v>104.772630684233</c:v>
                </c:pt>
                <c:pt idx="1446">
                  <c:v>105.728856778581</c:v>
                </c:pt>
                <c:pt idx="1447">
                  <c:v>105.393115172121</c:v>
                </c:pt>
                <c:pt idx="1448">
                  <c:v>105.77560560986</c:v>
                </c:pt>
                <c:pt idx="1449">
                  <c:v>105.962600934977</c:v>
                </c:pt>
                <c:pt idx="1450">
                  <c:v>105.50361240969</c:v>
                </c:pt>
                <c:pt idx="1451">
                  <c:v>104.887377815555</c:v>
                </c:pt>
                <c:pt idx="1452">
                  <c:v>103.166170845729</c:v>
                </c:pt>
                <c:pt idx="1453">
                  <c:v>103.438164045899</c:v>
                </c:pt>
                <c:pt idx="1454">
                  <c:v>103.32766680833</c:v>
                </c:pt>
                <c:pt idx="1455">
                  <c:v>103.603909902252</c:v>
                </c:pt>
                <c:pt idx="1456">
                  <c:v>105.482362940926</c:v>
                </c:pt>
                <c:pt idx="1457">
                  <c:v>106.170845728857</c:v>
                </c:pt>
                <c:pt idx="1458">
                  <c:v>106.170845728857</c:v>
                </c:pt>
                <c:pt idx="1459">
                  <c:v>105.92010199745</c:v>
                </c:pt>
                <c:pt idx="1460">
                  <c:v>105.77560560986</c:v>
                </c:pt>
                <c:pt idx="1461">
                  <c:v>104.177645558861</c:v>
                </c:pt>
                <c:pt idx="1462">
                  <c:v>103.05567360816</c:v>
                </c:pt>
                <c:pt idx="1463">
                  <c:v>102.154696132597</c:v>
                </c:pt>
                <c:pt idx="1464">
                  <c:v>103.429664258394</c:v>
                </c:pt>
                <c:pt idx="1465">
                  <c:v>104.424139396515</c:v>
                </c:pt>
                <c:pt idx="1466">
                  <c:v>104.424139396515</c:v>
                </c:pt>
                <c:pt idx="1467">
                  <c:v>104.407139821504</c:v>
                </c:pt>
                <c:pt idx="1468">
                  <c:v>105.762855928602</c:v>
                </c:pt>
                <c:pt idx="1469">
                  <c:v>106.986825329367</c:v>
                </c:pt>
                <c:pt idx="1470">
                  <c:v>106.727581810455</c:v>
                </c:pt>
                <c:pt idx="1471">
                  <c:v>107.118572035699</c:v>
                </c:pt>
                <c:pt idx="1472">
                  <c:v>107.161070973226</c:v>
                </c:pt>
                <c:pt idx="1473">
                  <c:v>108.210794730132</c:v>
                </c:pt>
                <c:pt idx="1474">
                  <c:v>108.478538036549</c:v>
                </c:pt>
                <c:pt idx="1475">
                  <c:v>109.698257543561</c:v>
                </c:pt>
                <c:pt idx="1476">
                  <c:v>111.00722481938</c:v>
                </c:pt>
                <c:pt idx="1477">
                  <c:v>111.508712282193</c:v>
                </c:pt>
                <c:pt idx="1478">
                  <c:v>111.483212919677</c:v>
                </c:pt>
                <c:pt idx="1479">
                  <c:v>110.849978750531</c:v>
                </c:pt>
                <c:pt idx="1480">
                  <c:v>112.137696557586</c:v>
                </c:pt>
                <c:pt idx="1481">
                  <c:v>111.585210369741</c:v>
                </c:pt>
                <c:pt idx="1482">
                  <c:v>111.585210369741</c:v>
                </c:pt>
                <c:pt idx="1483">
                  <c:v>111.585210369741</c:v>
                </c:pt>
                <c:pt idx="1484">
                  <c:v>111.585210369741</c:v>
                </c:pt>
                <c:pt idx="1485">
                  <c:v>111.780705482363</c:v>
                </c:pt>
                <c:pt idx="1486">
                  <c:v>111.699957501062</c:v>
                </c:pt>
                <c:pt idx="1487">
                  <c:v>111.113472163196</c:v>
                </c:pt>
                <c:pt idx="1488">
                  <c:v>111.636209094773</c:v>
                </c:pt>
                <c:pt idx="1489">
                  <c:v>111.746706332342</c:v>
                </c:pt>
                <c:pt idx="1490">
                  <c:v>110.883977900552</c:v>
                </c:pt>
                <c:pt idx="1491">
                  <c:v>111.126221844454</c:v>
                </c:pt>
                <c:pt idx="1492">
                  <c:v>111.291967700807</c:v>
                </c:pt>
                <c:pt idx="1493">
                  <c:v>111.291967700807</c:v>
                </c:pt>
                <c:pt idx="1494">
                  <c:v>111.253718657034</c:v>
                </c:pt>
                <c:pt idx="1495">
                  <c:v>111.283467913302</c:v>
                </c:pt>
                <c:pt idx="1496">
                  <c:v>111.831704207395</c:v>
                </c:pt>
                <c:pt idx="1497">
                  <c:v>111.831704207395</c:v>
                </c:pt>
                <c:pt idx="1498">
                  <c:v>111.729706757331</c:v>
                </c:pt>
                <c:pt idx="1499">
                  <c:v>113.195920101997</c:v>
                </c:pt>
                <c:pt idx="1500">
                  <c:v>112.966425839354</c:v>
                </c:pt>
                <c:pt idx="1501">
                  <c:v>114.330641733957</c:v>
                </c:pt>
                <c:pt idx="1502">
                  <c:v>114.003399915002</c:v>
                </c:pt>
                <c:pt idx="1503">
                  <c:v>114.572885677858</c:v>
                </c:pt>
                <c:pt idx="1504">
                  <c:v>115.274118147046</c:v>
                </c:pt>
                <c:pt idx="1505">
                  <c:v>115.265618359541</c:v>
                </c:pt>
                <c:pt idx="1506">
                  <c:v>115.218869528262</c:v>
                </c:pt>
                <c:pt idx="1507">
                  <c:v>113.909902252444</c:v>
                </c:pt>
                <c:pt idx="1508">
                  <c:v>114.475138121547</c:v>
                </c:pt>
                <c:pt idx="1509">
                  <c:v>113.688907777306</c:v>
                </c:pt>
                <c:pt idx="1510">
                  <c:v>114.636634084148</c:v>
                </c:pt>
                <c:pt idx="1511">
                  <c:v>114.866128346791</c:v>
                </c:pt>
                <c:pt idx="1512">
                  <c:v>115.359116022099</c:v>
                </c:pt>
                <c:pt idx="1513">
                  <c:v>113.433914152146</c:v>
                </c:pt>
                <c:pt idx="1514">
                  <c:v>114.164895877603</c:v>
                </c:pt>
                <c:pt idx="1515">
                  <c:v>113.297917552061</c:v>
                </c:pt>
                <c:pt idx="1516">
                  <c:v>112.605184870378</c:v>
                </c:pt>
                <c:pt idx="1517">
                  <c:v>112.460688482788</c:v>
                </c:pt>
                <c:pt idx="1518">
                  <c:v>111.916702082448</c:v>
                </c:pt>
                <c:pt idx="1519">
                  <c:v>110.722481937952</c:v>
                </c:pt>
                <c:pt idx="1520">
                  <c:v>110.560985975351</c:v>
                </c:pt>
                <c:pt idx="1521">
                  <c:v>111.691457713557</c:v>
                </c:pt>
                <c:pt idx="1522">
                  <c:v>109.66425839354</c:v>
                </c:pt>
                <c:pt idx="1523">
                  <c:v>109.834254143646</c:v>
                </c:pt>
                <c:pt idx="1524">
                  <c:v>112.282192945176</c:v>
                </c:pt>
                <c:pt idx="1525">
                  <c:v>112.634934126647</c:v>
                </c:pt>
                <c:pt idx="1526">
                  <c:v>113.816404589885</c:v>
                </c:pt>
                <c:pt idx="1527">
                  <c:v>112.885677858054</c:v>
                </c:pt>
                <c:pt idx="1528">
                  <c:v>111.432214194645</c:v>
                </c:pt>
                <c:pt idx="1529">
                  <c:v>112.137696557586</c:v>
                </c:pt>
                <c:pt idx="1530">
                  <c:v>112.711432214195</c:v>
                </c:pt>
                <c:pt idx="1531">
                  <c:v>113.157671058224</c:v>
                </c:pt>
                <c:pt idx="1532">
                  <c:v>113.53591160221</c:v>
                </c:pt>
                <c:pt idx="1533">
                  <c:v>114.619634509137</c:v>
                </c:pt>
                <c:pt idx="1534">
                  <c:v>114.564385890353</c:v>
                </c:pt>
                <c:pt idx="1535">
                  <c:v>113.718657033574</c:v>
                </c:pt>
                <c:pt idx="1536">
                  <c:v>112.554186145346</c:v>
                </c:pt>
                <c:pt idx="1537">
                  <c:v>111.126221844454</c:v>
                </c:pt>
                <c:pt idx="1538">
                  <c:v>110.964725881853</c:v>
                </c:pt>
                <c:pt idx="1539">
                  <c:v>110.798980025499</c:v>
                </c:pt>
                <c:pt idx="1540">
                  <c:v>112.069698257544</c:v>
                </c:pt>
                <c:pt idx="1541">
                  <c:v>111.636209094773</c:v>
                </c:pt>
                <c:pt idx="1542">
                  <c:v>110.730981725457</c:v>
                </c:pt>
                <c:pt idx="1543">
                  <c:v>110.093497662558</c:v>
                </c:pt>
                <c:pt idx="1544">
                  <c:v>109.66425839354</c:v>
                </c:pt>
                <c:pt idx="1545">
                  <c:v>109.604759881003</c:v>
                </c:pt>
                <c:pt idx="1546">
                  <c:v>109.953251168721</c:v>
                </c:pt>
                <c:pt idx="1547">
                  <c:v>110.488737781555</c:v>
                </c:pt>
                <c:pt idx="1548">
                  <c:v>110.582235444114</c:v>
                </c:pt>
                <c:pt idx="1549">
                  <c:v>111.036974075648</c:v>
                </c:pt>
                <c:pt idx="1550">
                  <c:v>111.874203144921</c:v>
                </c:pt>
                <c:pt idx="1551">
                  <c:v>112.018699532512</c:v>
                </c:pt>
                <c:pt idx="1552">
                  <c:v>111.835954101147</c:v>
                </c:pt>
                <c:pt idx="1553">
                  <c:v>111.908202294943</c:v>
                </c:pt>
                <c:pt idx="1554">
                  <c:v>112.299192520187</c:v>
                </c:pt>
                <c:pt idx="1555">
                  <c:v>112.299192520187</c:v>
                </c:pt>
                <c:pt idx="1556">
                  <c:v>109.494262643434</c:v>
                </c:pt>
                <c:pt idx="1557">
                  <c:v>108.151296217595</c:v>
                </c:pt>
                <c:pt idx="1558">
                  <c:v>108.546536336592</c:v>
                </c:pt>
                <c:pt idx="1559">
                  <c:v>108.788780280493</c:v>
                </c:pt>
                <c:pt idx="1560">
                  <c:v>108.695282617935</c:v>
                </c:pt>
                <c:pt idx="1561">
                  <c:v>107.790055248619</c:v>
                </c:pt>
                <c:pt idx="1562">
                  <c:v>107.301317467063</c:v>
                </c:pt>
                <c:pt idx="1563">
                  <c:v>107.981300467488</c:v>
                </c:pt>
                <c:pt idx="1564">
                  <c:v>107.934551636209</c:v>
                </c:pt>
                <c:pt idx="1565">
                  <c:v>108.257543561411</c:v>
                </c:pt>
                <c:pt idx="1566">
                  <c:v>108.525286867828</c:v>
                </c:pt>
                <c:pt idx="1567">
                  <c:v>107.717807054824</c:v>
                </c:pt>
                <c:pt idx="1568">
                  <c:v>108.291542711432</c:v>
                </c:pt>
                <c:pt idx="1569">
                  <c:v>108.941776455589</c:v>
                </c:pt>
                <c:pt idx="1570">
                  <c:v>109.256268593285</c:v>
                </c:pt>
                <c:pt idx="1571">
                  <c:v>107.836804079898</c:v>
                </c:pt>
                <c:pt idx="1572">
                  <c:v>107.475563110922</c:v>
                </c:pt>
                <c:pt idx="1573">
                  <c:v>105.801104972376</c:v>
                </c:pt>
                <c:pt idx="1574">
                  <c:v>106.209094772631</c:v>
                </c:pt>
                <c:pt idx="1575">
                  <c:v>107.475563110922</c:v>
                </c:pt>
                <c:pt idx="1576">
                  <c:v>107.475563110922</c:v>
                </c:pt>
                <c:pt idx="1577">
                  <c:v>107.475563110922</c:v>
                </c:pt>
                <c:pt idx="1578">
                  <c:v>106.251593710157</c:v>
                </c:pt>
                <c:pt idx="1579">
                  <c:v>104.249893752656</c:v>
                </c:pt>
                <c:pt idx="1580">
                  <c:v>104.564385890353</c:v>
                </c:pt>
                <c:pt idx="1581">
                  <c:v>105.635359116022</c:v>
                </c:pt>
                <c:pt idx="1582">
                  <c:v>106.46408839779</c:v>
                </c:pt>
                <c:pt idx="1583">
                  <c:v>106.447088822779</c:v>
                </c:pt>
                <c:pt idx="1584">
                  <c:v>107.042073948151</c:v>
                </c:pt>
                <c:pt idx="1585">
                  <c:v>107.229069273268</c:v>
                </c:pt>
                <c:pt idx="1586">
                  <c:v>106.659583510412</c:v>
                </c:pt>
                <c:pt idx="1587">
                  <c:v>107.411814704632</c:v>
                </c:pt>
                <c:pt idx="1588">
                  <c:v>107.794305142371</c:v>
                </c:pt>
                <c:pt idx="1589">
                  <c:v>107.802804929877</c:v>
                </c:pt>
                <c:pt idx="1590">
                  <c:v>107.48831279218</c:v>
                </c:pt>
                <c:pt idx="1591">
                  <c:v>106.651083722907</c:v>
                </c:pt>
                <c:pt idx="1592">
                  <c:v>108.465788355291</c:v>
                </c:pt>
                <c:pt idx="1593">
                  <c:v>107.95155121122</c:v>
                </c:pt>
                <c:pt idx="1594">
                  <c:v>108.899277518062</c:v>
                </c:pt>
                <c:pt idx="1595">
                  <c:v>109.354016149596</c:v>
                </c:pt>
                <c:pt idx="1596">
                  <c:v>109.766255843604</c:v>
                </c:pt>
                <c:pt idx="1597">
                  <c:v>109.821504462388</c:v>
                </c:pt>
                <c:pt idx="1598">
                  <c:v>108.920526986825</c:v>
                </c:pt>
                <c:pt idx="1599">
                  <c:v>108.278793030174</c:v>
                </c:pt>
                <c:pt idx="1600">
                  <c:v>109.349766255844</c:v>
                </c:pt>
                <c:pt idx="1601">
                  <c:v>109.490012749681</c:v>
                </c:pt>
                <c:pt idx="1602">
                  <c:v>109.371015724607</c:v>
                </c:pt>
                <c:pt idx="1603">
                  <c:v>108.151296217595</c:v>
                </c:pt>
                <c:pt idx="1604">
                  <c:v>108.580535486613</c:v>
                </c:pt>
                <c:pt idx="1605">
                  <c:v>106.719082022949</c:v>
                </c:pt>
                <c:pt idx="1606">
                  <c:v>106.710582235444</c:v>
                </c:pt>
                <c:pt idx="1607">
                  <c:v>105.830854228644</c:v>
                </c:pt>
                <c:pt idx="1608">
                  <c:v>106.311092222694</c:v>
                </c:pt>
                <c:pt idx="1609">
                  <c:v>107.042073948151</c:v>
                </c:pt>
                <c:pt idx="1610">
                  <c:v>106.808329791755</c:v>
                </c:pt>
                <c:pt idx="1611">
                  <c:v>105.686357841054</c:v>
                </c:pt>
                <c:pt idx="1612">
                  <c:v>106.536336591585</c:v>
                </c:pt>
                <c:pt idx="1613">
                  <c:v>107.229069273268</c:v>
                </c:pt>
                <c:pt idx="1614">
                  <c:v>106.910327241819</c:v>
                </c:pt>
                <c:pt idx="1615">
                  <c:v>108.406289842754</c:v>
                </c:pt>
                <c:pt idx="1616">
                  <c:v>109.332766680833</c:v>
                </c:pt>
                <c:pt idx="1617">
                  <c:v>109.409264768381</c:v>
                </c:pt>
                <c:pt idx="1618">
                  <c:v>109.694007649809</c:v>
                </c:pt>
                <c:pt idx="1619">
                  <c:v>110.050998725032</c:v>
                </c:pt>
                <c:pt idx="1620">
                  <c:v>110.369740756481</c:v>
                </c:pt>
                <c:pt idx="1621">
                  <c:v>110.216744581385</c:v>
                </c:pt>
                <c:pt idx="1622">
                  <c:v>110.27199320017</c:v>
                </c:pt>
                <c:pt idx="1623">
                  <c:v>110.450488737782</c:v>
                </c:pt>
                <c:pt idx="1624">
                  <c:v>110.696982575436</c:v>
                </c:pt>
                <c:pt idx="1625">
                  <c:v>111.011474713132</c:v>
                </c:pt>
                <c:pt idx="1626">
                  <c:v>111.521461963451</c:v>
                </c:pt>
                <c:pt idx="1627">
                  <c:v>110.722481937952</c:v>
                </c:pt>
                <c:pt idx="1628">
                  <c:v>110.713982150446</c:v>
                </c:pt>
                <c:pt idx="1629">
                  <c:v>110.386740331492</c:v>
                </c:pt>
                <c:pt idx="1630">
                  <c:v>110.424989375266</c:v>
                </c:pt>
                <c:pt idx="1631">
                  <c:v>110.35274118147</c:v>
                </c:pt>
                <c:pt idx="1632">
                  <c:v>111.143221419465</c:v>
                </c:pt>
                <c:pt idx="1633">
                  <c:v>110.8797280068</c:v>
                </c:pt>
                <c:pt idx="1634">
                  <c:v>111.155971100722</c:v>
                </c:pt>
                <c:pt idx="1635">
                  <c:v>111.00722481938</c:v>
                </c:pt>
                <c:pt idx="1636">
                  <c:v>110.956226094348</c:v>
                </c:pt>
                <c:pt idx="1637">
                  <c:v>109.400764980875</c:v>
                </c:pt>
                <c:pt idx="1638">
                  <c:v>109.137271568211</c:v>
                </c:pt>
                <c:pt idx="1639">
                  <c:v>108.712282192945</c:v>
                </c:pt>
                <c:pt idx="1640">
                  <c:v>108.51253718657</c:v>
                </c:pt>
                <c:pt idx="1641">
                  <c:v>108.51253718657</c:v>
                </c:pt>
                <c:pt idx="1642">
                  <c:v>108.402039949001</c:v>
                </c:pt>
                <c:pt idx="1643">
                  <c:v>108.402039949001</c:v>
                </c:pt>
                <c:pt idx="1644">
                  <c:v>108.402039949001</c:v>
                </c:pt>
                <c:pt idx="1645">
                  <c:v>107.246068848279</c:v>
                </c:pt>
                <c:pt idx="1646">
                  <c:v>107.879303017425</c:v>
                </c:pt>
                <c:pt idx="1647">
                  <c:v>108.079048023799</c:v>
                </c:pt>
                <c:pt idx="1648">
                  <c:v>108.712282192945</c:v>
                </c:pt>
                <c:pt idx="1649">
                  <c:v>109.817254568636</c:v>
                </c:pt>
                <c:pt idx="1650">
                  <c:v>111.529961750956</c:v>
                </c:pt>
                <c:pt idx="1651">
                  <c:v>111.517212069698</c:v>
                </c:pt>
                <c:pt idx="1652">
                  <c:v>111.7594560136</c:v>
                </c:pt>
                <c:pt idx="1653">
                  <c:v>111.950701232469</c:v>
                </c:pt>
                <c:pt idx="1654">
                  <c:v>111.789205269868</c:v>
                </c:pt>
                <c:pt idx="1655">
                  <c:v>111.517212069698</c:v>
                </c:pt>
                <c:pt idx="1656">
                  <c:v>111.912452188695</c:v>
                </c:pt>
                <c:pt idx="1657">
                  <c:v>111.950701232469</c:v>
                </c:pt>
                <c:pt idx="1658">
                  <c:v>111.48746281343</c:v>
                </c:pt>
                <c:pt idx="1659">
                  <c:v>110.650233744156</c:v>
                </c:pt>
                <c:pt idx="1660">
                  <c:v>111.77645558861</c:v>
                </c:pt>
                <c:pt idx="1661">
                  <c:v>111.589460263493</c:v>
                </c:pt>
                <c:pt idx="1662">
                  <c:v>110.471738206545</c:v>
                </c:pt>
                <c:pt idx="1663">
                  <c:v>111.092222694433</c:v>
                </c:pt>
                <c:pt idx="1664">
                  <c:v>111.44071398215</c:v>
                </c:pt>
                <c:pt idx="1665">
                  <c:v>111.44071398215</c:v>
                </c:pt>
                <c:pt idx="1666">
                  <c:v>110.73523161921</c:v>
                </c:pt>
                <c:pt idx="1667">
                  <c:v>110.73523161921</c:v>
                </c:pt>
                <c:pt idx="1668">
                  <c:v>110.361240968976</c:v>
                </c:pt>
                <c:pt idx="1669">
                  <c:v>111.619209519762</c:v>
                </c:pt>
                <c:pt idx="1670">
                  <c:v>111.610709732257</c:v>
                </c:pt>
                <c:pt idx="1671">
                  <c:v>111.351466213345</c:v>
                </c:pt>
                <c:pt idx="1672">
                  <c:v>109.966000849979</c:v>
                </c:pt>
                <c:pt idx="1673">
                  <c:v>110.254993625159</c:v>
                </c:pt>
                <c:pt idx="1674">
                  <c:v>110.679983000425</c:v>
                </c:pt>
                <c:pt idx="1675">
                  <c:v>109.944751381215</c:v>
                </c:pt>
                <c:pt idx="1676">
                  <c:v>110</c:v>
                </c:pt>
                <c:pt idx="1677">
                  <c:v>108.504037399065</c:v>
                </c:pt>
                <c:pt idx="1678">
                  <c:v>109.124521886953</c:v>
                </c:pt>
                <c:pt idx="1679">
                  <c:v>110.390990225244</c:v>
                </c:pt>
                <c:pt idx="1680">
                  <c:v>109.715257118572</c:v>
                </c:pt>
                <c:pt idx="1681">
                  <c:v>110.509987250319</c:v>
                </c:pt>
                <c:pt idx="1682">
                  <c:v>109.978750531237</c:v>
                </c:pt>
                <c:pt idx="1683">
                  <c:v>110.73523161921</c:v>
                </c:pt>
                <c:pt idx="1684">
                  <c:v>110.386740331492</c:v>
                </c:pt>
                <c:pt idx="1685">
                  <c:v>111.364215894603</c:v>
                </c:pt>
                <c:pt idx="1686">
                  <c:v>110.977475563111</c:v>
                </c:pt>
                <c:pt idx="1687">
                  <c:v>110.764980875478</c:v>
                </c:pt>
                <c:pt idx="1688">
                  <c:v>110.475988100297</c:v>
                </c:pt>
                <c:pt idx="1689">
                  <c:v>110.467488312792</c:v>
                </c:pt>
                <c:pt idx="1690">
                  <c:v>110.016999575011</c:v>
                </c:pt>
                <c:pt idx="1691">
                  <c:v>110.14449638759</c:v>
                </c:pt>
                <c:pt idx="1692">
                  <c:v>109.10327241819</c:v>
                </c:pt>
                <c:pt idx="1693">
                  <c:v>109.337016574586</c:v>
                </c:pt>
                <c:pt idx="1694">
                  <c:v>110.667233319167</c:v>
                </c:pt>
                <c:pt idx="1695">
                  <c:v>110.845728856779</c:v>
                </c:pt>
                <c:pt idx="1696">
                  <c:v>111.317467063323</c:v>
                </c:pt>
                <c:pt idx="1697">
                  <c:v>111.202719932002</c:v>
                </c:pt>
                <c:pt idx="1698">
                  <c:v>111.138971525712</c:v>
                </c:pt>
                <c:pt idx="1699">
                  <c:v>111.71270718232</c:v>
                </c:pt>
                <c:pt idx="1700">
                  <c:v>111.585210369741</c:v>
                </c:pt>
                <c:pt idx="1701">
                  <c:v>111.653208669783</c:v>
                </c:pt>
                <c:pt idx="1702">
                  <c:v>111.971950701232</c:v>
                </c:pt>
                <c:pt idx="1703">
                  <c:v>112.84742881428</c:v>
                </c:pt>
                <c:pt idx="1704">
                  <c:v>113.901402464938</c:v>
                </c:pt>
                <c:pt idx="1705">
                  <c:v>115.244368890778</c:v>
                </c:pt>
                <c:pt idx="1706">
                  <c:v>114.611134721632</c:v>
                </c:pt>
                <c:pt idx="1707">
                  <c:v>114.135146621334</c:v>
                </c:pt>
                <c:pt idx="1708">
                  <c:v>114.598385040374</c:v>
                </c:pt>
                <c:pt idx="1709">
                  <c:v>113.739906502337</c:v>
                </c:pt>
                <c:pt idx="1710">
                  <c:v>113.302167445814</c:v>
                </c:pt>
                <c:pt idx="1711">
                  <c:v>112.894177645559</c:v>
                </c:pt>
                <c:pt idx="1712">
                  <c:v>111.355716107097</c:v>
                </c:pt>
                <c:pt idx="1713">
                  <c:v>111.908202294943</c:v>
                </c:pt>
                <c:pt idx="1714">
                  <c:v>111.916702082448</c:v>
                </c:pt>
                <c:pt idx="1715">
                  <c:v>113.008924776881</c:v>
                </c:pt>
                <c:pt idx="1716">
                  <c:v>112.996175095623</c:v>
                </c:pt>
                <c:pt idx="1717">
                  <c:v>112.996175095623</c:v>
                </c:pt>
                <c:pt idx="1718">
                  <c:v>112.299192520187</c:v>
                </c:pt>
                <c:pt idx="1719">
                  <c:v>113.310667233319</c:v>
                </c:pt>
                <c:pt idx="1720">
                  <c:v>113.382915427114</c:v>
                </c:pt>
                <c:pt idx="1721">
                  <c:v>111.572460688483</c:v>
                </c:pt>
                <c:pt idx="1722">
                  <c:v>112.307692307692</c:v>
                </c:pt>
                <c:pt idx="1723">
                  <c:v>112.392690182745</c:v>
                </c:pt>
                <c:pt idx="1724">
                  <c:v>112.681682957926</c:v>
                </c:pt>
                <c:pt idx="1725">
                  <c:v>112.996175095623</c:v>
                </c:pt>
                <c:pt idx="1726">
                  <c:v>113.127921801955</c:v>
                </c:pt>
                <c:pt idx="1727">
                  <c:v>112.796430089248</c:v>
                </c:pt>
                <c:pt idx="1728">
                  <c:v>112.736931576711</c:v>
                </c:pt>
                <c:pt idx="1729">
                  <c:v>111.606459838504</c:v>
                </c:pt>
                <c:pt idx="1730">
                  <c:v>111.461963450914</c:v>
                </c:pt>
                <c:pt idx="1731">
                  <c:v>111.852953676158</c:v>
                </c:pt>
                <c:pt idx="1732">
                  <c:v>111.385465363366</c:v>
                </c:pt>
                <c:pt idx="1733">
                  <c:v>111.385465363366</c:v>
                </c:pt>
                <c:pt idx="1734">
                  <c:v>111.385465363366</c:v>
                </c:pt>
                <c:pt idx="1735">
                  <c:v>111.385465363366</c:v>
                </c:pt>
                <c:pt idx="1736">
                  <c:v>110.412239694008</c:v>
                </c:pt>
                <c:pt idx="1737">
                  <c:v>111.08797280068</c:v>
                </c:pt>
                <c:pt idx="1738">
                  <c:v>110.73523161921</c:v>
                </c:pt>
                <c:pt idx="1739">
                  <c:v>111.113472163196</c:v>
                </c:pt>
                <c:pt idx="1740">
                  <c:v>112.201444963876</c:v>
                </c:pt>
                <c:pt idx="1741">
                  <c:v>111.228219294518</c:v>
                </c:pt>
                <c:pt idx="1742">
                  <c:v>111.478963025924</c:v>
                </c:pt>
                <c:pt idx="1743">
                  <c:v>110.560985975351</c:v>
                </c:pt>
                <c:pt idx="1744">
                  <c:v>109.85550361241</c:v>
                </c:pt>
                <c:pt idx="1745">
                  <c:v>110.021249468763</c:v>
                </c:pt>
                <c:pt idx="1746">
                  <c:v>109.842753931152</c:v>
                </c:pt>
                <c:pt idx="1747">
                  <c:v>109.787505312367</c:v>
                </c:pt>
                <c:pt idx="1748">
                  <c:v>109.626009349766</c:v>
                </c:pt>
                <c:pt idx="1749">
                  <c:v>109.124521886953</c:v>
                </c:pt>
                <c:pt idx="1750">
                  <c:v>107.441563960901</c:v>
                </c:pt>
                <c:pt idx="1751">
                  <c:v>106.272843178921</c:v>
                </c:pt>
                <c:pt idx="1752">
                  <c:v>106.272843178921</c:v>
                </c:pt>
                <c:pt idx="1753">
                  <c:v>105.903102422439</c:v>
                </c:pt>
                <c:pt idx="1754">
                  <c:v>106.217594560136</c:v>
                </c:pt>
                <c:pt idx="1755">
                  <c:v>105.550361240969</c:v>
                </c:pt>
                <c:pt idx="1756">
                  <c:v>105.550361240969</c:v>
                </c:pt>
                <c:pt idx="1757">
                  <c:v>104.147896302592</c:v>
                </c:pt>
                <c:pt idx="1758">
                  <c:v>103.773905652359</c:v>
                </c:pt>
                <c:pt idx="1759">
                  <c:v>103.897152571186</c:v>
                </c:pt>
                <c:pt idx="1760">
                  <c:v>103.642158946026</c:v>
                </c:pt>
                <c:pt idx="1761">
                  <c:v>103.183170420739</c:v>
                </c:pt>
                <c:pt idx="1762">
                  <c:v>101.929451763706</c:v>
                </c:pt>
                <c:pt idx="1763">
                  <c:v>103.654908627284</c:v>
                </c:pt>
                <c:pt idx="1764">
                  <c:v>102.626434339142</c:v>
                </c:pt>
                <c:pt idx="1765">
                  <c:v>103.748406289843</c:v>
                </c:pt>
                <c:pt idx="1766">
                  <c:v>103.433914152146</c:v>
                </c:pt>
                <c:pt idx="1767">
                  <c:v>103.234169145771</c:v>
                </c:pt>
                <c:pt idx="1768">
                  <c:v>103.650658733532</c:v>
                </c:pt>
                <c:pt idx="1769">
                  <c:v>103.399915002125</c:v>
                </c:pt>
                <c:pt idx="1770">
                  <c:v>105.669358266043</c:v>
                </c:pt>
                <c:pt idx="1771">
                  <c:v>105.754356141096</c:v>
                </c:pt>
                <c:pt idx="1772">
                  <c:v>106.438589035274</c:v>
                </c:pt>
                <c:pt idx="1773">
                  <c:v>105.690607734807</c:v>
                </c:pt>
                <c:pt idx="1774">
                  <c:v>104.764130896728</c:v>
                </c:pt>
                <c:pt idx="1775">
                  <c:v>104.487887802805</c:v>
                </c:pt>
                <c:pt idx="1776">
                  <c:v>105.053123671908</c:v>
                </c:pt>
                <c:pt idx="1777">
                  <c:v>105.138121546961</c:v>
                </c:pt>
                <c:pt idx="1778">
                  <c:v>106.519337016575</c:v>
                </c:pt>
                <c:pt idx="1779">
                  <c:v>106.438589035274</c:v>
                </c:pt>
                <c:pt idx="1780">
                  <c:v>106.782830429239</c:v>
                </c:pt>
                <c:pt idx="1781">
                  <c:v>106.294092647684</c:v>
                </c:pt>
                <c:pt idx="1782">
                  <c:v>105.473863153421</c:v>
                </c:pt>
                <c:pt idx="1783">
                  <c:v>105.524861878453</c:v>
                </c:pt>
                <c:pt idx="1784">
                  <c:v>106.523586910327</c:v>
                </c:pt>
                <c:pt idx="1785">
                  <c:v>106.387590310242</c:v>
                </c:pt>
                <c:pt idx="1786">
                  <c:v>105.805354866128</c:v>
                </c:pt>
                <c:pt idx="1787">
                  <c:v>106.204844878878</c:v>
                </c:pt>
                <c:pt idx="1788">
                  <c:v>107.241818954526</c:v>
                </c:pt>
                <c:pt idx="1789">
                  <c:v>106.978325541861</c:v>
                </c:pt>
                <c:pt idx="1790">
                  <c:v>107.097322566936</c:v>
                </c:pt>
                <c:pt idx="1791">
                  <c:v>107.649808754781</c:v>
                </c:pt>
                <c:pt idx="1792">
                  <c:v>107.819804504887</c:v>
                </c:pt>
                <c:pt idx="1793">
                  <c:v>106.923076923077</c:v>
                </c:pt>
                <c:pt idx="1794">
                  <c:v>106.846578835529</c:v>
                </c:pt>
                <c:pt idx="1795">
                  <c:v>106.948576285593</c:v>
                </c:pt>
                <c:pt idx="1796">
                  <c:v>107.972800679983</c:v>
                </c:pt>
                <c:pt idx="1797">
                  <c:v>108.049298767531</c:v>
                </c:pt>
                <c:pt idx="1798">
                  <c:v>107.82405439864</c:v>
                </c:pt>
                <c:pt idx="1799">
                  <c:v>107.611559711007</c:v>
                </c:pt>
                <c:pt idx="1800">
                  <c:v>105.971100722482</c:v>
                </c:pt>
                <c:pt idx="1801">
                  <c:v>104.35189120272</c:v>
                </c:pt>
                <c:pt idx="1802">
                  <c:v>104.734381640459</c:v>
                </c:pt>
                <c:pt idx="1803">
                  <c:v>104.662133446664</c:v>
                </c:pt>
                <c:pt idx="1804">
                  <c:v>103.880152996175</c:v>
                </c:pt>
                <c:pt idx="1805">
                  <c:v>103.578410539736</c:v>
                </c:pt>
                <c:pt idx="1806">
                  <c:v>103.620909477263</c:v>
                </c:pt>
                <c:pt idx="1807">
                  <c:v>105.380365490863</c:v>
                </c:pt>
                <c:pt idx="1808">
                  <c:v>106.119847003825</c:v>
                </c:pt>
                <c:pt idx="1809">
                  <c:v>105.847853803655</c:v>
                </c:pt>
                <c:pt idx="1810">
                  <c:v>106.277093072673</c:v>
                </c:pt>
                <c:pt idx="1811">
                  <c:v>106.268593285168</c:v>
                </c:pt>
                <c:pt idx="1812">
                  <c:v>104.674883127922</c:v>
                </c:pt>
                <c:pt idx="1813">
                  <c:v>103.718657033574</c:v>
                </c:pt>
                <c:pt idx="1814">
                  <c:v>103.718657033574</c:v>
                </c:pt>
                <c:pt idx="1815">
                  <c:v>104.033149171271</c:v>
                </c:pt>
                <c:pt idx="1816">
                  <c:v>103.80790480238</c:v>
                </c:pt>
                <c:pt idx="1817">
                  <c:v>101.96770080748</c:v>
                </c:pt>
                <c:pt idx="1818">
                  <c:v>102.222694432639</c:v>
                </c:pt>
                <c:pt idx="1819">
                  <c:v>103.671908202295</c:v>
                </c:pt>
                <c:pt idx="1820">
                  <c:v>104.568635784105</c:v>
                </c:pt>
                <c:pt idx="1821">
                  <c:v>104.419889502762</c:v>
                </c:pt>
                <c:pt idx="1822">
                  <c:v>104.670633234169</c:v>
                </c:pt>
                <c:pt idx="1823">
                  <c:v>104.543136421589</c:v>
                </c:pt>
                <c:pt idx="1824">
                  <c:v>104.445388865278</c:v>
                </c:pt>
                <c:pt idx="1825">
                  <c:v>102.940926476838</c:v>
                </c:pt>
                <c:pt idx="1826">
                  <c:v>104.028899277518</c:v>
                </c:pt>
                <c:pt idx="1827">
                  <c:v>105.074373140671</c:v>
                </c:pt>
                <c:pt idx="1828">
                  <c:v>105.64810879728</c:v>
                </c:pt>
                <c:pt idx="1829">
                  <c:v>105.597110072248</c:v>
                </c:pt>
                <c:pt idx="1830">
                  <c:v>106.38334041649</c:v>
                </c:pt>
                <c:pt idx="1831">
                  <c:v>106.306842328942</c:v>
                </c:pt>
                <c:pt idx="1832">
                  <c:v>107.182320441989</c:v>
                </c:pt>
                <c:pt idx="1833">
                  <c:v>107.186570335742</c:v>
                </c:pt>
                <c:pt idx="1834">
                  <c:v>106.442838929027</c:v>
                </c:pt>
                <c:pt idx="1835">
                  <c:v>106.196345091373</c:v>
                </c:pt>
                <c:pt idx="1836">
                  <c:v>106.506587335317</c:v>
                </c:pt>
                <c:pt idx="1837">
                  <c:v>106.408839779006</c:v>
                </c:pt>
                <c:pt idx="1838">
                  <c:v>106.92732681683</c:v>
                </c:pt>
                <c:pt idx="1839">
                  <c:v>106.153846153846</c:v>
                </c:pt>
                <c:pt idx="1840">
                  <c:v>106.315342116447</c:v>
                </c:pt>
                <c:pt idx="1841">
                  <c:v>105.932851678708</c:v>
                </c:pt>
                <c:pt idx="1842">
                  <c:v>105.252868678283</c:v>
                </c:pt>
                <c:pt idx="1843">
                  <c:v>105.56736081598</c:v>
                </c:pt>
                <c:pt idx="1844">
                  <c:v>105.274118147046</c:v>
                </c:pt>
                <c:pt idx="1845">
                  <c:v>106.145346366341</c:v>
                </c:pt>
                <c:pt idx="1846">
                  <c:v>106.166595835104</c:v>
                </c:pt>
                <c:pt idx="1847">
                  <c:v>106.404589885253</c:v>
                </c:pt>
                <c:pt idx="1848">
                  <c:v>106.404589885253</c:v>
                </c:pt>
                <c:pt idx="1849">
                  <c:v>106.404589885253</c:v>
                </c:pt>
                <c:pt idx="1850">
                  <c:v>106.404589885253</c:v>
                </c:pt>
                <c:pt idx="1851">
                  <c:v>106.587335316617</c:v>
                </c:pt>
                <c:pt idx="1852">
                  <c:v>106.791330216745</c:v>
                </c:pt>
                <c:pt idx="1853">
                  <c:v>107.505312367191</c:v>
                </c:pt>
                <c:pt idx="1854">
                  <c:v>107.492562685933</c:v>
                </c:pt>
                <c:pt idx="1855">
                  <c:v>106.867828304292</c:v>
                </c:pt>
                <c:pt idx="1856">
                  <c:v>107.798555036124</c:v>
                </c:pt>
                <c:pt idx="1857">
                  <c:v>108.1597960051</c:v>
                </c:pt>
                <c:pt idx="1858">
                  <c:v>108.079048023799</c:v>
                </c:pt>
                <c:pt idx="1859">
                  <c:v>108.01529961751</c:v>
                </c:pt>
                <c:pt idx="1860">
                  <c:v>108.780280492988</c:v>
                </c:pt>
                <c:pt idx="1861">
                  <c:v>107.42456438589</c:v>
                </c:pt>
                <c:pt idx="1862">
                  <c:v>106.991075223119</c:v>
                </c:pt>
                <c:pt idx="1863">
                  <c:v>107.165320866978</c:v>
                </c:pt>
                <c:pt idx="1864">
                  <c:v>106.366340841479</c:v>
                </c:pt>
                <c:pt idx="1865">
                  <c:v>107.173820654484</c:v>
                </c:pt>
                <c:pt idx="1866">
                  <c:v>107.284317892053</c:v>
                </c:pt>
                <c:pt idx="1867">
                  <c:v>109.723756906077</c:v>
                </c:pt>
                <c:pt idx="1868">
                  <c:v>109.740756481088</c:v>
                </c:pt>
                <c:pt idx="1869">
                  <c:v>110.067998300042</c:v>
                </c:pt>
                <c:pt idx="1870">
                  <c:v>109.944751381215</c:v>
                </c:pt>
                <c:pt idx="1871">
                  <c:v>110.050998725032</c:v>
                </c:pt>
                <c:pt idx="1872">
                  <c:v>110.140246493838</c:v>
                </c:pt>
                <c:pt idx="1873">
                  <c:v>110.046748831279</c:v>
                </c:pt>
                <c:pt idx="1874">
                  <c:v>108.793030174246</c:v>
                </c:pt>
                <c:pt idx="1875">
                  <c:v>108.601784955376</c:v>
                </c:pt>
                <c:pt idx="1876">
                  <c:v>108.839779005525</c:v>
                </c:pt>
                <c:pt idx="1877">
                  <c:v>109.341266468338</c:v>
                </c:pt>
                <c:pt idx="1878">
                  <c:v>108.359541011475</c:v>
                </c:pt>
                <c:pt idx="1879">
                  <c:v>108.36804079898</c:v>
                </c:pt>
                <c:pt idx="1880">
                  <c:v>109.116022099448</c:v>
                </c:pt>
                <c:pt idx="1881">
                  <c:v>109.192520186995</c:v>
                </c:pt>
                <c:pt idx="1882">
                  <c:v>109.171270718232</c:v>
                </c:pt>
                <c:pt idx="1883">
                  <c:v>109.864003399915</c:v>
                </c:pt>
                <c:pt idx="1884">
                  <c:v>109.787505312367</c:v>
                </c:pt>
                <c:pt idx="1885">
                  <c:v>111.325966850829</c:v>
                </c:pt>
                <c:pt idx="1886">
                  <c:v>111.976200594985</c:v>
                </c:pt>
                <c:pt idx="1887">
                  <c:v>112.86442838929</c:v>
                </c:pt>
                <c:pt idx="1888">
                  <c:v>112.949426264343</c:v>
                </c:pt>
                <c:pt idx="1889">
                  <c:v>114.088397790055</c:v>
                </c:pt>
                <c:pt idx="1890">
                  <c:v>114.01614959626</c:v>
                </c:pt>
                <c:pt idx="1891">
                  <c:v>114.130896727582</c:v>
                </c:pt>
                <c:pt idx="1892">
                  <c:v>113.969400764981</c:v>
                </c:pt>
                <c:pt idx="1893">
                  <c:v>114.169145771356</c:v>
                </c:pt>
                <c:pt idx="1894">
                  <c:v>115.847853803655</c:v>
                </c:pt>
                <c:pt idx="1895">
                  <c:v>115.193370165746</c:v>
                </c:pt>
                <c:pt idx="1896">
                  <c:v>114.76838079048</c:v>
                </c:pt>
                <c:pt idx="1897">
                  <c:v>114.130896727582</c:v>
                </c:pt>
                <c:pt idx="1898">
                  <c:v>113.909902252444</c:v>
                </c:pt>
                <c:pt idx="1899">
                  <c:v>113.225669358266</c:v>
                </c:pt>
                <c:pt idx="1900">
                  <c:v>113.225669358266</c:v>
                </c:pt>
                <c:pt idx="1901">
                  <c:v>113.612409689758</c:v>
                </c:pt>
                <c:pt idx="1902">
                  <c:v>113.612409689758</c:v>
                </c:pt>
                <c:pt idx="1903">
                  <c:v>112.209944751381</c:v>
                </c:pt>
                <c:pt idx="1904">
                  <c:v>111.546961325967</c:v>
                </c:pt>
                <c:pt idx="1905">
                  <c:v>110.841478963026</c:v>
                </c:pt>
                <c:pt idx="1906">
                  <c:v>111.130471738207</c:v>
                </c:pt>
                <c:pt idx="1907">
                  <c:v>111.100722481938</c:v>
                </c:pt>
                <c:pt idx="1908">
                  <c:v>111.878453038674</c:v>
                </c:pt>
                <c:pt idx="1909">
                  <c:v>112.065448363791</c:v>
                </c:pt>
                <c:pt idx="1910">
                  <c:v>111.062473438164</c:v>
                </c:pt>
                <c:pt idx="1911">
                  <c:v>111.334466638334</c:v>
                </c:pt>
                <c:pt idx="1912">
                  <c:v>111.738206544836</c:v>
                </c:pt>
                <c:pt idx="1913">
                  <c:v>112.775180620484</c:v>
                </c:pt>
                <c:pt idx="1914">
                  <c:v>111.627709307267</c:v>
                </c:pt>
                <c:pt idx="1915">
                  <c:v>113.059923501912</c:v>
                </c:pt>
                <c:pt idx="1916">
                  <c:v>112.796430089248</c:v>
                </c:pt>
                <c:pt idx="1917">
                  <c:v>110.565235869103</c:v>
                </c:pt>
                <c:pt idx="1918">
                  <c:v>110.522736931577</c:v>
                </c:pt>
                <c:pt idx="1919">
                  <c:v>110.662983425414</c:v>
                </c:pt>
                <c:pt idx="1920">
                  <c:v>109.961750956226</c:v>
                </c:pt>
                <c:pt idx="1921">
                  <c:v>108.920526986825</c:v>
                </c:pt>
                <c:pt idx="1922">
                  <c:v>107.994050148746</c:v>
                </c:pt>
                <c:pt idx="1923">
                  <c:v>108.572035699108</c:v>
                </c:pt>
                <c:pt idx="1924">
                  <c:v>108.346791330217</c:v>
                </c:pt>
                <c:pt idx="1925">
                  <c:v>108.036549086273</c:v>
                </c:pt>
                <c:pt idx="1926">
                  <c:v>107.739056523587</c:v>
                </c:pt>
                <c:pt idx="1927">
                  <c:v>107.144071398215</c:v>
                </c:pt>
                <c:pt idx="1928">
                  <c:v>107.233319167021</c:v>
                </c:pt>
                <c:pt idx="1929">
                  <c:v>106.952826179346</c:v>
                </c:pt>
                <c:pt idx="1930">
                  <c:v>106.561835954101</c:v>
                </c:pt>
                <c:pt idx="1931">
                  <c:v>105.605609859754</c:v>
                </c:pt>
                <c:pt idx="1932">
                  <c:v>105.85635359116</c:v>
                </c:pt>
                <c:pt idx="1933">
                  <c:v>106.107097322567</c:v>
                </c:pt>
                <c:pt idx="1934">
                  <c:v>106.179345516362</c:v>
                </c:pt>
                <c:pt idx="1935">
                  <c:v>106.668083297918</c:v>
                </c:pt>
                <c:pt idx="1936">
                  <c:v>108.168295792605</c:v>
                </c:pt>
                <c:pt idx="1937">
                  <c:v>108.346791330217</c:v>
                </c:pt>
                <c:pt idx="1938">
                  <c:v>107.862303442414</c:v>
                </c:pt>
                <c:pt idx="1939">
                  <c:v>108.151296217595</c:v>
                </c:pt>
                <c:pt idx="1940">
                  <c:v>106.782830429239</c:v>
                </c:pt>
                <c:pt idx="1941">
                  <c:v>107.212069698258</c:v>
                </c:pt>
                <c:pt idx="1942">
                  <c:v>108.402039949001</c:v>
                </c:pt>
                <c:pt idx="1943">
                  <c:v>108.584785380366</c:v>
                </c:pt>
                <c:pt idx="1944">
                  <c:v>108.227794305142</c:v>
                </c:pt>
                <c:pt idx="1945">
                  <c:v>105.524861878453</c:v>
                </c:pt>
                <c:pt idx="1946">
                  <c:v>105.418614534637</c:v>
                </c:pt>
                <c:pt idx="1947">
                  <c:v>104.096897577561</c:v>
                </c:pt>
                <c:pt idx="1948">
                  <c:v>104.874628134297</c:v>
                </c:pt>
                <c:pt idx="1949">
                  <c:v>104.900127496813</c:v>
                </c:pt>
                <c:pt idx="1950">
                  <c:v>106.179345516362</c:v>
                </c:pt>
                <c:pt idx="1951">
                  <c:v>105.669358266043</c:v>
                </c:pt>
                <c:pt idx="1952">
                  <c:v>106.098597535062</c:v>
                </c:pt>
                <c:pt idx="1953">
                  <c:v>106.872078198045</c:v>
                </c:pt>
                <c:pt idx="1954">
                  <c:v>106.345091372716</c:v>
                </c:pt>
                <c:pt idx="1955">
                  <c:v>105.784105397365</c:v>
                </c:pt>
                <c:pt idx="1956">
                  <c:v>106.396090097748</c:v>
                </c:pt>
                <c:pt idx="1957">
                  <c:v>105.346366340841</c:v>
                </c:pt>
                <c:pt idx="1958">
                  <c:v>105.10412239694</c:v>
                </c:pt>
                <c:pt idx="1959">
                  <c:v>104.084147896303</c:v>
                </c:pt>
                <c:pt idx="1960">
                  <c:v>104.113897152571</c:v>
                </c:pt>
                <c:pt idx="1961">
                  <c:v>104.211644708882</c:v>
                </c:pt>
                <c:pt idx="1962">
                  <c:v>104.534636634084</c:v>
                </c:pt>
                <c:pt idx="1963">
                  <c:v>103.531661708457</c:v>
                </c:pt>
                <c:pt idx="1964">
                  <c:v>103.824904377391</c:v>
                </c:pt>
                <c:pt idx="1965">
                  <c:v>102.626434339142</c:v>
                </c:pt>
                <c:pt idx="1966">
                  <c:v>103.506162345941</c:v>
                </c:pt>
                <c:pt idx="1967">
                  <c:v>103.323416914577</c:v>
                </c:pt>
                <c:pt idx="1968">
                  <c:v>102.014449638759</c:v>
                </c:pt>
                <c:pt idx="1969">
                  <c:v>101.908202294943</c:v>
                </c:pt>
                <c:pt idx="1970">
                  <c:v>101.648958776031</c:v>
                </c:pt>
                <c:pt idx="1971">
                  <c:v>101.109222269443</c:v>
                </c:pt>
                <c:pt idx="1972">
                  <c:v>100.824479388015</c:v>
                </c:pt>
                <c:pt idx="1973">
                  <c:v>100.858478538037</c:v>
                </c:pt>
                <c:pt idx="1974">
                  <c:v>100.858478538037</c:v>
                </c:pt>
                <c:pt idx="1975">
                  <c:v>100.029749256269</c:v>
                </c:pt>
                <c:pt idx="1976">
                  <c:v>99.9575010624734</c:v>
                </c:pt>
                <c:pt idx="1977">
                  <c:v>99.5622609434764</c:v>
                </c:pt>
                <c:pt idx="1978">
                  <c:v>98.4232894177645</c:v>
                </c:pt>
                <c:pt idx="1979">
                  <c:v>96.5320866978326</c:v>
                </c:pt>
                <c:pt idx="1980">
                  <c:v>94.1478963025924</c:v>
                </c:pt>
                <c:pt idx="1981">
                  <c:v>94.8023799405015</c:v>
                </c:pt>
                <c:pt idx="1982">
                  <c:v>96.774330641734</c:v>
                </c:pt>
                <c:pt idx="1983">
                  <c:v>97.2970675733107</c:v>
                </c:pt>
                <c:pt idx="1984">
                  <c:v>98.7462813429664</c:v>
                </c:pt>
                <c:pt idx="1985">
                  <c:v>98.937526561836</c:v>
                </c:pt>
                <c:pt idx="1986">
                  <c:v>97.5563110922227</c:v>
                </c:pt>
                <c:pt idx="1987">
                  <c:v>97.7093072673183</c:v>
                </c:pt>
                <c:pt idx="1988">
                  <c:v>97.9175520611985</c:v>
                </c:pt>
                <c:pt idx="1989">
                  <c:v>96.8550786230344</c:v>
                </c:pt>
                <c:pt idx="1990">
                  <c:v>96.6043348916277</c:v>
                </c:pt>
                <c:pt idx="1991">
                  <c:v>96.7955801104972</c:v>
                </c:pt>
                <c:pt idx="1992">
                  <c:v>99.6175095622609</c:v>
                </c:pt>
                <c:pt idx="1993">
                  <c:v>100.798980025499</c:v>
                </c:pt>
                <c:pt idx="1994">
                  <c:v>99.3370165745856</c:v>
                </c:pt>
                <c:pt idx="1995">
                  <c:v>99.048023799405</c:v>
                </c:pt>
                <c:pt idx="1996">
                  <c:v>99.2732681682958</c:v>
                </c:pt>
                <c:pt idx="1997">
                  <c:v>101.478963025924</c:v>
                </c:pt>
                <c:pt idx="1998">
                  <c:v>101.69570760731</c:v>
                </c:pt>
                <c:pt idx="1999">
                  <c:v>102.473438164046</c:v>
                </c:pt>
                <c:pt idx="2000">
                  <c:v>100.603484912877</c:v>
                </c:pt>
                <c:pt idx="2001">
                  <c:v>101.436464088398</c:v>
                </c:pt>
                <c:pt idx="2002">
                  <c:v>99.5580110497238</c:v>
                </c:pt>
                <c:pt idx="2003">
                  <c:v>99.5580110497238</c:v>
                </c:pt>
                <c:pt idx="2004">
                  <c:v>99.3582660433489</c:v>
                </c:pt>
                <c:pt idx="2005">
                  <c:v>99.3582660433489</c:v>
                </c:pt>
                <c:pt idx="2006">
                  <c:v>99.3582660433489</c:v>
                </c:pt>
                <c:pt idx="2007">
                  <c:v>100.599235019125</c:v>
                </c:pt>
                <c:pt idx="2008">
                  <c:v>101.410964725882</c:v>
                </c:pt>
                <c:pt idx="2009">
                  <c:v>100.786230344241</c:v>
                </c:pt>
                <c:pt idx="2010">
                  <c:v>101.138971525712</c:v>
                </c:pt>
                <c:pt idx="2011">
                  <c:v>102.073948151296</c:v>
                </c:pt>
                <c:pt idx="2012">
                  <c:v>103.493412664683</c:v>
                </c:pt>
                <c:pt idx="2013">
                  <c:v>104.555886102847</c:v>
                </c:pt>
                <c:pt idx="2014">
                  <c:v>104.555886102847</c:v>
                </c:pt>
                <c:pt idx="2015">
                  <c:v>104.755631109222</c:v>
                </c:pt>
                <c:pt idx="2016">
                  <c:v>104.564385890353</c:v>
                </c:pt>
                <c:pt idx="2017">
                  <c:v>104.096897577561</c:v>
                </c:pt>
                <c:pt idx="2018">
                  <c:v>105.350616234594</c:v>
                </c:pt>
                <c:pt idx="2019">
                  <c:v>105.129621759456</c:v>
                </c:pt>
                <c:pt idx="2020">
                  <c:v>105.172120696983</c:v>
                </c:pt>
                <c:pt idx="2021">
                  <c:v>105.622609434764</c:v>
                </c:pt>
                <c:pt idx="2022">
                  <c:v>105.928601784955</c:v>
                </c:pt>
                <c:pt idx="2023">
                  <c:v>105.065873353166</c:v>
                </c:pt>
                <c:pt idx="2024">
                  <c:v>105.996600084998</c:v>
                </c:pt>
                <c:pt idx="2025">
                  <c:v>106.4003399915</c:v>
                </c:pt>
                <c:pt idx="2026">
                  <c:v>106.264343391415</c:v>
                </c:pt>
                <c:pt idx="2027">
                  <c:v>106.158096047599</c:v>
                </c:pt>
                <c:pt idx="2028">
                  <c:v>105.79260518487</c:v>
                </c:pt>
                <c:pt idx="2029">
                  <c:v>105.996600084998</c:v>
                </c:pt>
                <c:pt idx="2030">
                  <c:v>106.502337441564</c:v>
                </c:pt>
                <c:pt idx="2031">
                  <c:v>107.148321291968</c:v>
                </c:pt>
                <c:pt idx="2032">
                  <c:v>107.237569060773</c:v>
                </c:pt>
                <c:pt idx="2033">
                  <c:v>107.00807479813</c:v>
                </c:pt>
                <c:pt idx="2034">
                  <c:v>106.353591160221</c:v>
                </c:pt>
                <c:pt idx="2035">
                  <c:v>105.911602209945</c:v>
                </c:pt>
                <c:pt idx="2036">
                  <c:v>104.487887802805</c:v>
                </c:pt>
                <c:pt idx="2037">
                  <c:v>104.487887802805</c:v>
                </c:pt>
                <c:pt idx="2038">
                  <c:v>104.181895452614</c:v>
                </c:pt>
                <c:pt idx="2039">
                  <c:v>103.149171270718</c:v>
                </c:pt>
                <c:pt idx="2040">
                  <c:v>101.517212069698</c:v>
                </c:pt>
                <c:pt idx="2041">
                  <c:v>102.532936676583</c:v>
                </c:pt>
                <c:pt idx="2042">
                  <c:v>102.609434764131</c:v>
                </c:pt>
                <c:pt idx="2043">
                  <c:v>104.033149171271</c:v>
                </c:pt>
                <c:pt idx="2044">
                  <c:v>104.037399065023</c:v>
                </c:pt>
                <c:pt idx="2045">
                  <c:v>104.513387165321</c:v>
                </c:pt>
                <c:pt idx="2046">
                  <c:v>105.189120271993</c:v>
                </c:pt>
                <c:pt idx="2047">
                  <c:v>104.793880152996</c:v>
                </c:pt>
                <c:pt idx="2048">
                  <c:v>106.005099872503</c:v>
                </c:pt>
                <c:pt idx="2049">
                  <c:v>105.852103697408</c:v>
                </c:pt>
                <c:pt idx="2050">
                  <c:v>103.799405014875</c:v>
                </c:pt>
                <c:pt idx="2051">
                  <c:v>105.694857628559</c:v>
                </c:pt>
                <c:pt idx="2052">
                  <c:v>104.802379940501</c:v>
                </c:pt>
                <c:pt idx="2053">
                  <c:v>103.986400339992</c:v>
                </c:pt>
                <c:pt idx="2054">
                  <c:v>102.911177220569</c:v>
                </c:pt>
                <c:pt idx="2055">
                  <c:v>102.286442838929</c:v>
                </c:pt>
                <c:pt idx="2056">
                  <c:v>101.670208244794</c:v>
                </c:pt>
                <c:pt idx="2057">
                  <c:v>101.742456438589</c:v>
                </c:pt>
                <c:pt idx="2058">
                  <c:v>102.252443688908</c:v>
                </c:pt>
                <c:pt idx="2059">
                  <c:v>102.146196345091</c:v>
                </c:pt>
                <c:pt idx="2060">
                  <c:v>101.219719507012</c:v>
                </c:pt>
                <c:pt idx="2061">
                  <c:v>101.48746281343</c:v>
                </c:pt>
                <c:pt idx="2062">
                  <c:v>103.480662983425</c:v>
                </c:pt>
                <c:pt idx="2063">
                  <c:v>103.769655758606</c:v>
                </c:pt>
                <c:pt idx="2064">
                  <c:v>103.272418189545</c:v>
                </c:pt>
                <c:pt idx="2065">
                  <c:v>103.595410114747</c:v>
                </c:pt>
                <c:pt idx="2066">
                  <c:v>104.326391840204</c:v>
                </c:pt>
                <c:pt idx="2067">
                  <c:v>104.772630684233</c:v>
                </c:pt>
                <c:pt idx="2068">
                  <c:v>104.262643433914</c:v>
                </c:pt>
                <c:pt idx="2069">
                  <c:v>102.758181045474</c:v>
                </c:pt>
                <c:pt idx="2070">
                  <c:v>102.515937101572</c:v>
                </c:pt>
                <c:pt idx="2071">
                  <c:v>102.158946026349</c:v>
                </c:pt>
                <c:pt idx="2072">
                  <c:v>102.158946026349</c:v>
                </c:pt>
                <c:pt idx="2073">
                  <c:v>99.715257118572</c:v>
                </c:pt>
                <c:pt idx="2074">
                  <c:v>100.35274118147</c:v>
                </c:pt>
                <c:pt idx="2075">
                  <c:v>99.7025074373141</c:v>
                </c:pt>
                <c:pt idx="2076">
                  <c:v>98.5677858053549</c:v>
                </c:pt>
                <c:pt idx="2077">
                  <c:v>99.3115172120697</c:v>
                </c:pt>
                <c:pt idx="2078">
                  <c:v>98.1002974925627</c:v>
                </c:pt>
                <c:pt idx="2079">
                  <c:v>97.9813004674883</c:v>
                </c:pt>
                <c:pt idx="2080">
                  <c:v>99.2435189120272</c:v>
                </c:pt>
                <c:pt idx="2081">
                  <c:v>98.3340416489588</c:v>
                </c:pt>
                <c:pt idx="2082">
                  <c:v>97.2290692732682</c:v>
                </c:pt>
                <c:pt idx="2083">
                  <c:v>97.1483212919677</c:v>
                </c:pt>
                <c:pt idx="2084">
                  <c:v>97.7815554611135</c:v>
                </c:pt>
                <c:pt idx="2085">
                  <c:v>95.4271143221419</c:v>
                </c:pt>
                <c:pt idx="2086">
                  <c:v>95.116872078198</c:v>
                </c:pt>
                <c:pt idx="2087">
                  <c:v>97.2333191670208</c:v>
                </c:pt>
                <c:pt idx="2088">
                  <c:v>97.836804079898</c:v>
                </c:pt>
                <c:pt idx="2089">
                  <c:v>96.5533361665958</c:v>
                </c:pt>
                <c:pt idx="2090">
                  <c:v>98.1555461113472</c:v>
                </c:pt>
                <c:pt idx="2091">
                  <c:v>98.3892902677433</c:v>
                </c:pt>
                <c:pt idx="2092">
                  <c:v>98.64003399915</c:v>
                </c:pt>
                <c:pt idx="2093">
                  <c:v>99.307267318317</c:v>
                </c:pt>
                <c:pt idx="2094">
                  <c:v>98.2150446238844</c:v>
                </c:pt>
                <c:pt idx="2095">
                  <c:v>97.3098172545686</c:v>
                </c:pt>
                <c:pt idx="2096">
                  <c:v>98.9842753931152</c:v>
                </c:pt>
                <c:pt idx="2097">
                  <c:v>99.1500212494688</c:v>
                </c:pt>
                <c:pt idx="2098">
                  <c:v>99.1500212494688</c:v>
                </c:pt>
                <c:pt idx="2099">
                  <c:v>99.1500212494688</c:v>
                </c:pt>
                <c:pt idx="2100">
                  <c:v>99.1500212494688</c:v>
                </c:pt>
                <c:pt idx="2101">
                  <c:v>96.3450913727157</c:v>
                </c:pt>
                <c:pt idx="2102">
                  <c:v>95.6141096472588</c:v>
                </c:pt>
                <c:pt idx="2103">
                  <c:v>97.0675733106672</c:v>
                </c:pt>
                <c:pt idx="2104">
                  <c:v>98.393540161496</c:v>
                </c:pt>
                <c:pt idx="2105">
                  <c:v>98.5720356991075</c:v>
                </c:pt>
                <c:pt idx="2106">
                  <c:v>99.7620059498513</c:v>
                </c:pt>
                <c:pt idx="2107">
                  <c:v>99.987250318742</c:v>
                </c:pt>
                <c:pt idx="2108">
                  <c:v>99.851253718657</c:v>
                </c:pt>
                <c:pt idx="2109">
                  <c:v>99.8852528686783</c:v>
                </c:pt>
                <c:pt idx="2110">
                  <c:v>99.8342541436464</c:v>
                </c:pt>
                <c:pt idx="2111">
                  <c:v>100.029749256269</c:v>
                </c:pt>
                <c:pt idx="2112">
                  <c:v>99.9660008499787</c:v>
                </c:pt>
                <c:pt idx="2113">
                  <c:v>99.715257118572</c:v>
                </c:pt>
                <c:pt idx="2114">
                  <c:v>99.715257118572</c:v>
                </c:pt>
                <c:pt idx="2115">
                  <c:v>101.415214619635</c:v>
                </c:pt>
                <c:pt idx="2116">
                  <c:v>102.035699107522</c:v>
                </c:pt>
                <c:pt idx="2117">
                  <c:v>101.886952826179</c:v>
                </c:pt>
                <c:pt idx="2118">
                  <c:v>102.086697832554</c:v>
                </c:pt>
                <c:pt idx="2119">
                  <c:v>101.334466638334</c:v>
                </c:pt>
                <c:pt idx="2120">
                  <c:v>101.627709307267</c:v>
                </c:pt>
                <c:pt idx="2121">
                  <c:v>102.605184870378</c:v>
                </c:pt>
                <c:pt idx="2122">
                  <c:v>102.834679133022</c:v>
                </c:pt>
                <c:pt idx="2123">
                  <c:v>102.911177220569</c:v>
                </c:pt>
                <c:pt idx="2124">
                  <c:v>102.775180620484</c:v>
                </c:pt>
                <c:pt idx="2125">
                  <c:v>102.996175095623</c:v>
                </c:pt>
                <c:pt idx="2126">
                  <c:v>103.735656608585</c:v>
                </c:pt>
                <c:pt idx="2127">
                  <c:v>103.965150871228</c:v>
                </c:pt>
                <c:pt idx="2128">
                  <c:v>103.816404589885</c:v>
                </c:pt>
                <c:pt idx="2129">
                  <c:v>104.296642583935</c:v>
                </c:pt>
                <c:pt idx="2130">
                  <c:v>104.220144496388</c:v>
                </c:pt>
                <c:pt idx="2131">
                  <c:v>103.731406714832</c:v>
                </c:pt>
                <c:pt idx="2132">
                  <c:v>103.608159796005</c:v>
                </c:pt>
                <c:pt idx="2133">
                  <c:v>103.676158096048</c:v>
                </c:pt>
                <c:pt idx="2134">
                  <c:v>104.347641308967</c:v>
                </c:pt>
                <c:pt idx="2135">
                  <c:v>104.776880577986</c:v>
                </c:pt>
                <c:pt idx="2136">
                  <c:v>104.487887802805</c:v>
                </c:pt>
                <c:pt idx="2137">
                  <c:v>103.000424989375</c:v>
                </c:pt>
                <c:pt idx="2138">
                  <c:v>103.293667658309</c:v>
                </c:pt>
                <c:pt idx="2139">
                  <c:v>102.243943901402</c:v>
                </c:pt>
                <c:pt idx="2140">
                  <c:v>102.843178920527</c:v>
                </c:pt>
                <c:pt idx="2141">
                  <c:v>102.970675733107</c:v>
                </c:pt>
                <c:pt idx="2142">
                  <c:v>102.749681257969</c:v>
                </c:pt>
                <c:pt idx="2143">
                  <c:v>102.872928176796</c:v>
                </c:pt>
                <c:pt idx="2144">
                  <c:v>103.574160645984</c:v>
                </c:pt>
                <c:pt idx="2145">
                  <c:v>103.574160645984</c:v>
                </c:pt>
                <c:pt idx="2146">
                  <c:v>105.77560560986</c:v>
                </c:pt>
                <c:pt idx="2147">
                  <c:v>105.622609434764</c:v>
                </c:pt>
                <c:pt idx="2148">
                  <c:v>105.397365065873</c:v>
                </c:pt>
                <c:pt idx="2149">
                  <c:v>105.346366340841</c:v>
                </c:pt>
                <c:pt idx="2150">
                  <c:v>105.082872928177</c:v>
                </c:pt>
                <c:pt idx="2151">
                  <c:v>105.988100297493</c:v>
                </c:pt>
                <c:pt idx="2152">
                  <c:v>105.533361665958</c:v>
                </c:pt>
                <c:pt idx="2153">
                  <c:v>105.452613684658</c:v>
                </c:pt>
                <c:pt idx="2154">
                  <c:v>105.788355291118</c:v>
                </c:pt>
                <c:pt idx="2155">
                  <c:v>105.690607734807</c:v>
                </c:pt>
                <c:pt idx="2156">
                  <c:v>104.662133446664</c:v>
                </c:pt>
                <c:pt idx="2157">
                  <c:v>104.20739481513</c:v>
                </c:pt>
                <c:pt idx="2158">
                  <c:v>103.47216319592</c:v>
                </c:pt>
                <c:pt idx="2159">
                  <c:v>103.820654483638</c:v>
                </c:pt>
                <c:pt idx="2160">
                  <c:v>103.404164895878</c:v>
                </c:pt>
                <c:pt idx="2161">
                  <c:v>103.404164895878</c:v>
                </c:pt>
                <c:pt idx="2162">
                  <c:v>103.404164895878</c:v>
                </c:pt>
                <c:pt idx="2163">
                  <c:v>102.945176370591</c:v>
                </c:pt>
                <c:pt idx="2164">
                  <c:v>103.561410964726</c:v>
                </c:pt>
                <c:pt idx="2165">
                  <c:v>103.302167445814</c:v>
                </c:pt>
                <c:pt idx="2166">
                  <c:v>102.99192520187</c:v>
                </c:pt>
                <c:pt idx="2167">
                  <c:v>102.252443688908</c:v>
                </c:pt>
                <c:pt idx="2168">
                  <c:v>102.345941351466</c:v>
                </c:pt>
                <c:pt idx="2169">
                  <c:v>102.435189120272</c:v>
                </c:pt>
                <c:pt idx="2170">
                  <c:v>101.920951976201</c:v>
                </c:pt>
                <c:pt idx="2171">
                  <c:v>101.589460263493</c:v>
                </c:pt>
                <c:pt idx="2172">
                  <c:v>101.461963450914</c:v>
                </c:pt>
                <c:pt idx="2173">
                  <c:v>101.933701657459</c:v>
                </c:pt>
                <c:pt idx="2174">
                  <c:v>100.998725031874</c:v>
                </c:pt>
                <c:pt idx="2175">
                  <c:v>102.38419039524</c:v>
                </c:pt>
                <c:pt idx="2176">
                  <c:v>102.243943901402</c:v>
                </c:pt>
                <c:pt idx="2177">
                  <c:v>102.78368040799</c:v>
                </c:pt>
                <c:pt idx="2178">
                  <c:v>102.732681682958</c:v>
                </c:pt>
                <c:pt idx="2179">
                  <c:v>103.540161495963</c:v>
                </c:pt>
                <c:pt idx="2180">
                  <c:v>103.518912027199</c:v>
                </c:pt>
                <c:pt idx="2181">
                  <c:v>103.773905652359</c:v>
                </c:pt>
                <c:pt idx="2182">
                  <c:v>103.863153421164</c:v>
                </c:pt>
                <c:pt idx="2183">
                  <c:v>103.863153421164</c:v>
                </c:pt>
                <c:pt idx="2184">
                  <c:v>105.333616659584</c:v>
                </c:pt>
                <c:pt idx="2185">
                  <c:v>106.264343391415</c:v>
                </c:pt>
                <c:pt idx="2186">
                  <c:v>106.328091797705</c:v>
                </c:pt>
                <c:pt idx="2187">
                  <c:v>105.805354866128</c:v>
                </c:pt>
                <c:pt idx="2188">
                  <c:v>103.718657033574</c:v>
                </c:pt>
                <c:pt idx="2189">
                  <c:v>103.421164470888</c:v>
                </c:pt>
                <c:pt idx="2190">
                  <c:v>103.399915002125</c:v>
                </c:pt>
                <c:pt idx="2191">
                  <c:v>102.681682957926</c:v>
                </c:pt>
                <c:pt idx="2192">
                  <c:v>102.690182745431</c:v>
                </c:pt>
                <c:pt idx="2193">
                  <c:v>104.194645133872</c:v>
                </c:pt>
                <c:pt idx="2194">
                  <c:v>104.266893327667</c:v>
                </c:pt>
                <c:pt idx="2195">
                  <c:v>104.866128346791</c:v>
                </c:pt>
                <c:pt idx="2196">
                  <c:v>104.679133021674</c:v>
                </c:pt>
                <c:pt idx="2197">
                  <c:v>101.661708457289</c:v>
                </c:pt>
                <c:pt idx="2198">
                  <c:v>101.691457713557</c:v>
                </c:pt>
                <c:pt idx="2199">
                  <c:v>102.03144921377</c:v>
                </c:pt>
                <c:pt idx="2200">
                  <c:v>102.983425414365</c:v>
                </c:pt>
                <c:pt idx="2201">
                  <c:v>103.756906077348</c:v>
                </c:pt>
                <c:pt idx="2202">
                  <c:v>104.76838079048</c:v>
                </c:pt>
                <c:pt idx="2203">
                  <c:v>105.235869103272</c:v>
                </c:pt>
                <c:pt idx="2204">
                  <c:v>104.934126646834</c:v>
                </c:pt>
                <c:pt idx="2205">
                  <c:v>102.787930301742</c:v>
                </c:pt>
                <c:pt idx="2206">
                  <c:v>103.95240118997</c:v>
                </c:pt>
                <c:pt idx="2207">
                  <c:v>103.455163620909</c:v>
                </c:pt>
                <c:pt idx="2208">
                  <c:v>104.968125796855</c:v>
                </c:pt>
                <c:pt idx="2209">
                  <c:v>105.031874203145</c:v>
                </c:pt>
                <c:pt idx="2210">
                  <c:v>105.928601784955</c:v>
                </c:pt>
                <c:pt idx="2211">
                  <c:v>106.162345941351</c:v>
                </c:pt>
                <c:pt idx="2212">
                  <c:v>106.680832979176</c:v>
                </c:pt>
                <c:pt idx="2213">
                  <c:v>106.893327666808</c:v>
                </c:pt>
                <c:pt idx="2214">
                  <c:v>106.659583510412</c:v>
                </c:pt>
                <c:pt idx="2215">
                  <c:v>106.52783680408</c:v>
                </c:pt>
                <c:pt idx="2216">
                  <c:v>106.434339141521</c:v>
                </c:pt>
                <c:pt idx="2217">
                  <c:v>106.264343391415</c:v>
                </c:pt>
                <c:pt idx="2218">
                  <c:v>106.523586910327</c:v>
                </c:pt>
                <c:pt idx="2219">
                  <c:v>107.403314917127</c:v>
                </c:pt>
                <c:pt idx="2220">
                  <c:v>107.40756481088</c:v>
                </c:pt>
                <c:pt idx="2221">
                  <c:v>107.037824054399</c:v>
                </c:pt>
                <c:pt idx="2222">
                  <c:v>106.876328091798</c:v>
                </c:pt>
                <c:pt idx="2223">
                  <c:v>107.866553336167</c:v>
                </c:pt>
                <c:pt idx="2224">
                  <c:v>107.067573310667</c:v>
                </c:pt>
                <c:pt idx="2225">
                  <c:v>105.673608159796</c:v>
                </c:pt>
                <c:pt idx="2226">
                  <c:v>105.924351891203</c:v>
                </c:pt>
                <c:pt idx="2227">
                  <c:v>107.250318742031</c:v>
                </c:pt>
                <c:pt idx="2228">
                  <c:v>107.994050148746</c:v>
                </c:pt>
                <c:pt idx="2229">
                  <c:v>108.733531661708</c:v>
                </c:pt>
                <c:pt idx="2230">
                  <c:v>108.555036124097</c:v>
                </c:pt>
                <c:pt idx="2231">
                  <c:v>108.873778155546</c:v>
                </c:pt>
                <c:pt idx="2232">
                  <c:v>108.869528261793</c:v>
                </c:pt>
                <c:pt idx="2233">
                  <c:v>108.869528261793</c:v>
                </c:pt>
                <c:pt idx="2234">
                  <c:v>108.861028474288</c:v>
                </c:pt>
                <c:pt idx="2235">
                  <c:v>108.814279643009</c:v>
                </c:pt>
                <c:pt idx="2236">
                  <c:v>109.694007649809</c:v>
                </c:pt>
                <c:pt idx="2237">
                  <c:v>109.940501487463</c:v>
                </c:pt>
                <c:pt idx="2238">
                  <c:v>109.337016574586</c:v>
                </c:pt>
                <c:pt idx="2239">
                  <c:v>109.825754356141</c:v>
                </c:pt>
                <c:pt idx="2240">
                  <c:v>109.349766255844</c:v>
                </c:pt>
                <c:pt idx="2241">
                  <c:v>109.332766680833</c:v>
                </c:pt>
                <c:pt idx="2242">
                  <c:v>108.895027624309</c:v>
                </c:pt>
                <c:pt idx="2243">
                  <c:v>109.005524861878</c:v>
                </c:pt>
                <c:pt idx="2244">
                  <c:v>109.430514237144</c:v>
                </c:pt>
                <c:pt idx="2245">
                  <c:v>109.167020824479</c:v>
                </c:pt>
                <c:pt idx="2246">
                  <c:v>108.810029749256</c:v>
                </c:pt>
                <c:pt idx="2247">
                  <c:v>109.009774755631</c:v>
                </c:pt>
                <c:pt idx="2248">
                  <c:v>110.344241393965</c:v>
                </c:pt>
                <c:pt idx="2249">
                  <c:v>110.892477688058</c:v>
                </c:pt>
                <c:pt idx="2250">
                  <c:v>110.628984275393</c:v>
                </c:pt>
                <c:pt idx="2251">
                  <c:v>110.862728431789</c:v>
                </c:pt>
                <c:pt idx="2252">
                  <c:v>109.354016149596</c:v>
                </c:pt>
                <c:pt idx="2253">
                  <c:v>106.472588185295</c:v>
                </c:pt>
                <c:pt idx="2254">
                  <c:v>106.999575010625</c:v>
                </c:pt>
                <c:pt idx="2255">
                  <c:v>106.999575010625</c:v>
                </c:pt>
                <c:pt idx="2256">
                  <c:v>106.999575010625</c:v>
                </c:pt>
                <c:pt idx="2257">
                  <c:v>106.999575010625</c:v>
                </c:pt>
                <c:pt idx="2258">
                  <c:v>107.917552061198</c:v>
                </c:pt>
                <c:pt idx="2259">
                  <c:v>108.410539736507</c:v>
                </c:pt>
                <c:pt idx="2260">
                  <c:v>109.018274543136</c:v>
                </c:pt>
                <c:pt idx="2261">
                  <c:v>109.79175520612</c:v>
                </c:pt>
                <c:pt idx="2262">
                  <c:v>109.804504887378</c:v>
                </c:pt>
                <c:pt idx="2263">
                  <c:v>109.426264343391</c:v>
                </c:pt>
                <c:pt idx="2264">
                  <c:v>110.314492137697</c:v>
                </c:pt>
                <c:pt idx="2265">
                  <c:v>109.736506587335</c:v>
                </c:pt>
                <c:pt idx="2266">
                  <c:v>110.645983850404</c:v>
                </c:pt>
                <c:pt idx="2267">
                  <c:v>109.430514237144</c:v>
                </c:pt>
                <c:pt idx="2268">
                  <c:v>109.430514237144</c:v>
                </c:pt>
                <c:pt idx="2269">
                  <c:v>110.148746281343</c:v>
                </c:pt>
                <c:pt idx="2270">
                  <c:v>110.067998300042</c:v>
                </c:pt>
                <c:pt idx="2271">
                  <c:v>110.977475563111</c:v>
                </c:pt>
                <c:pt idx="2272">
                  <c:v>110.522736931577</c:v>
                </c:pt>
                <c:pt idx="2273">
                  <c:v>110.628984275393</c:v>
                </c:pt>
                <c:pt idx="2274">
                  <c:v>108.861028474288</c:v>
                </c:pt>
                <c:pt idx="2275">
                  <c:v>108.882277943051</c:v>
                </c:pt>
                <c:pt idx="2276">
                  <c:v>107.917552061198</c:v>
                </c:pt>
                <c:pt idx="2277">
                  <c:v>108.410539736507</c:v>
                </c:pt>
                <c:pt idx="2278">
                  <c:v>108.878028049299</c:v>
                </c:pt>
                <c:pt idx="2279">
                  <c:v>109.638759031024</c:v>
                </c:pt>
                <c:pt idx="2280">
                  <c:v>109.736506587335</c:v>
                </c:pt>
                <c:pt idx="2281">
                  <c:v>109.821504462388</c:v>
                </c:pt>
                <c:pt idx="2282">
                  <c:v>109.332766680833</c:v>
                </c:pt>
                <c:pt idx="2283">
                  <c:v>110.276243093923</c:v>
                </c:pt>
                <c:pt idx="2284">
                  <c:v>109.889502762431</c:v>
                </c:pt>
                <c:pt idx="2285">
                  <c:v>108.593285167871</c:v>
                </c:pt>
                <c:pt idx="2286">
                  <c:v>109.077773055674</c:v>
                </c:pt>
                <c:pt idx="2287">
                  <c:v>109.022524436889</c:v>
                </c:pt>
                <c:pt idx="2288">
                  <c:v>108.76753081173</c:v>
                </c:pt>
                <c:pt idx="2289">
                  <c:v>108.793030174246</c:v>
                </c:pt>
                <c:pt idx="2290">
                  <c:v>107.450063748406</c:v>
                </c:pt>
                <c:pt idx="2291">
                  <c:v>107.479813004675</c:v>
                </c:pt>
                <c:pt idx="2292">
                  <c:v>107.339566510837</c:v>
                </c:pt>
                <c:pt idx="2293">
                  <c:v>108.202294942626</c:v>
                </c:pt>
                <c:pt idx="2294">
                  <c:v>108.482787930302</c:v>
                </c:pt>
                <c:pt idx="2295">
                  <c:v>106.107097322567</c:v>
                </c:pt>
                <c:pt idx="2296">
                  <c:v>108.504037399065</c:v>
                </c:pt>
                <c:pt idx="2297">
                  <c:v>107.093072673183</c:v>
                </c:pt>
                <c:pt idx="2298">
                  <c:v>106.251593710157</c:v>
                </c:pt>
                <c:pt idx="2299">
                  <c:v>105.907352316192</c:v>
                </c:pt>
                <c:pt idx="2300">
                  <c:v>106.38334041649</c:v>
                </c:pt>
                <c:pt idx="2301">
                  <c:v>106.442838929027</c:v>
                </c:pt>
                <c:pt idx="2302">
                  <c:v>106.33659158521</c:v>
                </c:pt>
                <c:pt idx="2303">
                  <c:v>106.039099022524</c:v>
                </c:pt>
                <c:pt idx="2304">
                  <c:v>107.254568635784</c:v>
                </c:pt>
                <c:pt idx="2305">
                  <c:v>107.802804929877</c:v>
                </c:pt>
                <c:pt idx="2306">
                  <c:v>107.110072248194</c:v>
                </c:pt>
                <c:pt idx="2307">
                  <c:v>107.207819804505</c:v>
                </c:pt>
                <c:pt idx="2308">
                  <c:v>107.505312367191</c:v>
                </c:pt>
                <c:pt idx="2309">
                  <c:v>107.484062898428</c:v>
                </c:pt>
                <c:pt idx="2310">
                  <c:v>108.057798555036</c:v>
                </c:pt>
                <c:pt idx="2311">
                  <c:v>108.151296217595</c:v>
                </c:pt>
                <c:pt idx="2312">
                  <c:v>107.47131321717</c:v>
                </c:pt>
                <c:pt idx="2313">
                  <c:v>107.156821079473</c:v>
                </c:pt>
                <c:pt idx="2314">
                  <c:v>108.64003399915</c:v>
                </c:pt>
                <c:pt idx="2315">
                  <c:v>108.941776455589</c:v>
                </c:pt>
                <c:pt idx="2316">
                  <c:v>111.347216319592</c:v>
                </c:pt>
                <c:pt idx="2317">
                  <c:v>110.883977900552</c:v>
                </c:pt>
                <c:pt idx="2318">
                  <c:v>110.803229919252</c:v>
                </c:pt>
                <c:pt idx="2319">
                  <c:v>111.189970250744</c:v>
                </c:pt>
                <c:pt idx="2320">
                  <c:v>111.347216319592</c:v>
                </c:pt>
                <c:pt idx="2321">
                  <c:v>111.113472163196</c:v>
                </c:pt>
                <c:pt idx="2322">
                  <c:v>111.585210369741</c:v>
                </c:pt>
                <c:pt idx="2323">
                  <c:v>111.317467063323</c:v>
                </c:pt>
                <c:pt idx="2324">
                  <c:v>111.597960050999</c:v>
                </c:pt>
                <c:pt idx="2325">
                  <c:v>111.389715257119</c:v>
                </c:pt>
                <c:pt idx="2326">
                  <c:v>111.334466638334</c:v>
                </c:pt>
                <c:pt idx="2327">
                  <c:v>111.181470463238</c:v>
                </c:pt>
                <c:pt idx="2328">
                  <c:v>111.304717382065</c:v>
                </c:pt>
                <c:pt idx="2329">
                  <c:v>111.555461113472</c:v>
                </c:pt>
                <c:pt idx="2330">
                  <c:v>110.369740756481</c:v>
                </c:pt>
                <c:pt idx="2331">
                  <c:v>110.501487462813</c:v>
                </c:pt>
                <c:pt idx="2332">
                  <c:v>110.501487462813</c:v>
                </c:pt>
                <c:pt idx="2333">
                  <c:v>110.650233744156</c:v>
                </c:pt>
                <c:pt idx="2334">
                  <c:v>111.7594560136</c:v>
                </c:pt>
                <c:pt idx="2335">
                  <c:v>111.823204419889</c:v>
                </c:pt>
                <c:pt idx="2336">
                  <c:v>111.338716532087</c:v>
                </c:pt>
                <c:pt idx="2337">
                  <c:v>111.857203569911</c:v>
                </c:pt>
                <c:pt idx="2338">
                  <c:v>112.086697832554</c:v>
                </c:pt>
                <c:pt idx="2339">
                  <c:v>112.082447938802</c:v>
                </c:pt>
                <c:pt idx="2340">
                  <c:v>113.960900977476</c:v>
                </c:pt>
                <c:pt idx="2341">
                  <c:v>114.725881852954</c:v>
                </c:pt>
                <c:pt idx="2342">
                  <c:v>113.858903527412</c:v>
                </c:pt>
                <c:pt idx="2343">
                  <c:v>113.110922226944</c:v>
                </c:pt>
                <c:pt idx="2344">
                  <c:v>113.629409264768</c:v>
                </c:pt>
                <c:pt idx="2345">
                  <c:v>113.506162345941</c:v>
                </c:pt>
                <c:pt idx="2346">
                  <c:v>113.769655758606</c:v>
                </c:pt>
                <c:pt idx="2347">
                  <c:v>113.268168295793</c:v>
                </c:pt>
                <c:pt idx="2348">
                  <c:v>113.523161920952</c:v>
                </c:pt>
                <c:pt idx="2349">
                  <c:v>113.5996600085</c:v>
                </c:pt>
                <c:pt idx="2350">
                  <c:v>113.960900977476</c:v>
                </c:pt>
                <c:pt idx="2351">
                  <c:v>114.951126221844</c:v>
                </c:pt>
                <c:pt idx="2352">
                  <c:v>114.951126221844</c:v>
                </c:pt>
                <c:pt idx="2353">
                  <c:v>114.951126221844</c:v>
                </c:pt>
                <c:pt idx="2354">
                  <c:v>113.93540161496</c:v>
                </c:pt>
                <c:pt idx="2355">
                  <c:v>114.5601359966</c:v>
                </c:pt>
                <c:pt idx="2356">
                  <c:v>114.105397365066</c:v>
                </c:pt>
                <c:pt idx="2357">
                  <c:v>114.258393540162</c:v>
                </c:pt>
                <c:pt idx="2358">
                  <c:v>114.530386740331</c:v>
                </c:pt>
                <c:pt idx="2359">
                  <c:v>114.309392265193</c:v>
                </c:pt>
                <c:pt idx="2360">
                  <c:v>113.778155546111</c:v>
                </c:pt>
                <c:pt idx="2361">
                  <c:v>113.765405864853</c:v>
                </c:pt>
                <c:pt idx="2362">
                  <c:v>114.177645558861</c:v>
                </c:pt>
                <c:pt idx="2363">
                  <c:v>114.241393965151</c:v>
                </c:pt>
                <c:pt idx="2364">
                  <c:v>113.854653633659</c:v>
                </c:pt>
                <c:pt idx="2365">
                  <c:v>114.241393965151</c:v>
                </c:pt>
                <c:pt idx="2366">
                  <c:v>114.292392690183</c:v>
                </c:pt>
                <c:pt idx="2367">
                  <c:v>114.254143646409</c:v>
                </c:pt>
                <c:pt idx="2368">
                  <c:v>114.632384190395</c:v>
                </c:pt>
                <c:pt idx="2369">
                  <c:v>115.643858903527</c:v>
                </c:pt>
                <c:pt idx="2370">
                  <c:v>115.958351041224</c:v>
                </c:pt>
                <c:pt idx="2371">
                  <c:v>115.975350616235</c:v>
                </c:pt>
                <c:pt idx="2372">
                  <c:v>114.908627284318</c:v>
                </c:pt>
                <c:pt idx="2373">
                  <c:v>114.309392265193</c:v>
                </c:pt>
                <c:pt idx="2374">
                  <c:v>114.772630684233</c:v>
                </c:pt>
                <c:pt idx="2375">
                  <c:v>114.772630684233</c:v>
                </c:pt>
                <c:pt idx="2376">
                  <c:v>115.873353166171</c:v>
                </c:pt>
                <c:pt idx="2377">
                  <c:v>114.649383765406</c:v>
                </c:pt>
                <c:pt idx="2378">
                  <c:v>114.921376965576</c:v>
                </c:pt>
                <c:pt idx="2379">
                  <c:v>115.541861453464</c:v>
                </c:pt>
                <c:pt idx="2380">
                  <c:v>115.720356991075</c:v>
                </c:pt>
                <c:pt idx="2381">
                  <c:v>115.435614109647</c:v>
                </c:pt>
                <c:pt idx="2382">
                  <c:v>115.720356991075</c:v>
                </c:pt>
                <c:pt idx="2383">
                  <c:v>117.046323841904</c:v>
                </c:pt>
                <c:pt idx="2384">
                  <c:v>118.100297492563</c:v>
                </c:pt>
                <c:pt idx="2385">
                  <c:v>118.100297492563</c:v>
                </c:pt>
                <c:pt idx="2386">
                  <c:v>119.043773905652</c:v>
                </c:pt>
                <c:pt idx="2387">
                  <c:v>119.787505312367</c:v>
                </c:pt>
                <c:pt idx="2388">
                  <c:v>119.315767105822</c:v>
                </c:pt>
                <c:pt idx="2389">
                  <c:v>120.628984275393</c:v>
                </c:pt>
                <c:pt idx="2390">
                  <c:v>120.114747131322</c:v>
                </c:pt>
                <c:pt idx="2391">
                  <c:v>120.19124521887</c:v>
                </c:pt>
                <c:pt idx="2392">
                  <c:v>119.978750531237</c:v>
                </c:pt>
                <c:pt idx="2393">
                  <c:v>119.150021249469</c:v>
                </c:pt>
                <c:pt idx="2394">
                  <c:v>119.528261793455</c:v>
                </c:pt>
                <c:pt idx="2395">
                  <c:v>119.787505312367</c:v>
                </c:pt>
                <c:pt idx="2396">
                  <c:v>119.702507437314</c:v>
                </c:pt>
                <c:pt idx="2397">
                  <c:v>119.269018274543</c:v>
                </c:pt>
                <c:pt idx="2398">
                  <c:v>119.677008074798</c:v>
                </c:pt>
                <c:pt idx="2399">
                  <c:v>119.388015299618</c:v>
                </c:pt>
                <c:pt idx="2400">
                  <c:v>119.31151721207</c:v>
                </c:pt>
                <c:pt idx="2401">
                  <c:v>118.771780705482</c:v>
                </c:pt>
                <c:pt idx="2402">
                  <c:v>118.57628559286</c:v>
                </c:pt>
                <c:pt idx="2403">
                  <c:v>117.811304717382</c:v>
                </c:pt>
                <c:pt idx="2404">
                  <c:v>117.080322991925</c:v>
                </c:pt>
                <c:pt idx="2405">
                  <c:v>117.386315342116</c:v>
                </c:pt>
                <c:pt idx="2406">
                  <c:v>118.623034424139</c:v>
                </c:pt>
                <c:pt idx="2407">
                  <c:v>117.853803654909</c:v>
                </c:pt>
                <c:pt idx="2408">
                  <c:v>118.189545261369</c:v>
                </c:pt>
                <c:pt idx="2409">
                  <c:v>118.244793880153</c:v>
                </c:pt>
                <c:pt idx="2410">
                  <c:v>117.505312367191</c:v>
                </c:pt>
                <c:pt idx="2411">
                  <c:v>118.045048873778</c:v>
                </c:pt>
                <c:pt idx="2412">
                  <c:v>119.018274543136</c:v>
                </c:pt>
                <c:pt idx="2413">
                  <c:v>119.830004249894</c:v>
                </c:pt>
                <c:pt idx="2414">
                  <c:v>121.29621759456</c:v>
                </c:pt>
                <c:pt idx="2415">
                  <c:v>121.878453038674</c:v>
                </c:pt>
                <c:pt idx="2416">
                  <c:v>122.116447088823</c:v>
                </c:pt>
                <c:pt idx="2417">
                  <c:v>122.061198470038</c:v>
                </c:pt>
                <c:pt idx="2418">
                  <c:v>122.061198470038</c:v>
                </c:pt>
                <c:pt idx="2419">
                  <c:v>123.098172545686</c:v>
                </c:pt>
                <c:pt idx="2420">
                  <c:v>123.098172545686</c:v>
                </c:pt>
                <c:pt idx="2421">
                  <c:v>124.296642583935</c:v>
                </c:pt>
                <c:pt idx="2422">
                  <c:v>124.296642583935</c:v>
                </c:pt>
                <c:pt idx="2423">
                  <c:v>127.437314067148</c:v>
                </c:pt>
                <c:pt idx="2424">
                  <c:v>127.437314067148</c:v>
                </c:pt>
                <c:pt idx="2425">
                  <c:v>125.877603059924</c:v>
                </c:pt>
                <c:pt idx="2426">
                  <c:v>127.390565235869</c:v>
                </c:pt>
                <c:pt idx="2427">
                  <c:v>126.753081172971</c:v>
                </c:pt>
                <c:pt idx="2428">
                  <c:v>127.016574585635</c:v>
                </c:pt>
                <c:pt idx="2429">
                  <c:v>127.356566085848</c:v>
                </c:pt>
                <c:pt idx="2430">
                  <c:v>127.21631959201</c:v>
                </c:pt>
                <c:pt idx="2431">
                  <c:v>126.846578835529</c:v>
                </c:pt>
                <c:pt idx="2432">
                  <c:v>126.680832979176</c:v>
                </c:pt>
                <c:pt idx="2433">
                  <c:v>127.764555886103</c:v>
                </c:pt>
                <c:pt idx="2434">
                  <c:v>128.074798130047</c:v>
                </c:pt>
                <c:pt idx="2435">
                  <c:v>128.22354441139</c:v>
                </c:pt>
                <c:pt idx="2436">
                  <c:v>129.715257118572</c:v>
                </c:pt>
                <c:pt idx="2437">
                  <c:v>130.454738631534</c:v>
                </c:pt>
                <c:pt idx="2438">
                  <c:v>130.267743306417</c:v>
                </c:pt>
                <c:pt idx="2439">
                  <c:v>129.447513812155</c:v>
                </c:pt>
                <c:pt idx="2440">
                  <c:v>129.481512962176</c:v>
                </c:pt>
                <c:pt idx="2441">
                  <c:v>129.209519762006</c:v>
                </c:pt>
                <c:pt idx="2442">
                  <c:v>130.824479388015</c:v>
                </c:pt>
                <c:pt idx="2443">
                  <c:v>130.611984700382</c:v>
                </c:pt>
                <c:pt idx="2444">
                  <c:v>130.611984700382</c:v>
                </c:pt>
                <c:pt idx="2445">
                  <c:v>129.910752231194</c:v>
                </c:pt>
                <c:pt idx="2446">
                  <c:v>130.152996175096</c:v>
                </c:pt>
                <c:pt idx="2447">
                  <c:v>131.483212919677</c:v>
                </c:pt>
                <c:pt idx="2448">
                  <c:v>130.148746281343</c:v>
                </c:pt>
                <c:pt idx="2449">
                  <c:v>130.905227369316</c:v>
                </c:pt>
                <c:pt idx="2450">
                  <c:v>130.875478113047</c:v>
                </c:pt>
                <c:pt idx="2451">
                  <c:v>130.339991500212</c:v>
                </c:pt>
                <c:pt idx="2452">
                  <c:v>130.382490437739</c:v>
                </c:pt>
                <c:pt idx="2453">
                  <c:v>131.155971100722</c:v>
                </c:pt>
                <c:pt idx="2454">
                  <c:v>131.453463663408</c:v>
                </c:pt>
                <c:pt idx="2455">
                  <c:v>130.692732681683</c:v>
                </c:pt>
                <c:pt idx="2456">
                  <c:v>131.521461963451</c:v>
                </c:pt>
                <c:pt idx="2457">
                  <c:v>131.857203569911</c:v>
                </c:pt>
                <c:pt idx="2458">
                  <c:v>132.549936251594</c:v>
                </c:pt>
                <c:pt idx="2459">
                  <c:v>132.647683807905</c:v>
                </c:pt>
                <c:pt idx="2460">
                  <c:v>132.103697407565</c:v>
                </c:pt>
                <c:pt idx="2461">
                  <c:v>132.834679133022</c:v>
                </c:pt>
                <c:pt idx="2462">
                  <c:v>132.494687632809</c:v>
                </c:pt>
                <c:pt idx="2463">
                  <c:v>132.762430939227</c:v>
                </c:pt>
                <c:pt idx="2464">
                  <c:v>131.942201444964</c:v>
                </c:pt>
                <c:pt idx="2465">
                  <c:v>132.498937526562</c:v>
                </c:pt>
                <c:pt idx="2466">
                  <c:v>132.545686357841</c:v>
                </c:pt>
                <c:pt idx="2467">
                  <c:v>132.027199320017</c:v>
                </c:pt>
                <c:pt idx="2468">
                  <c:v>132.367190820229</c:v>
                </c:pt>
                <c:pt idx="2469">
                  <c:v>133.272418189545</c:v>
                </c:pt>
                <c:pt idx="2470">
                  <c:v>133.268168295793</c:v>
                </c:pt>
                <c:pt idx="2471">
                  <c:v>134.445388865278</c:v>
                </c:pt>
                <c:pt idx="2472">
                  <c:v>134.870378240544</c:v>
                </c:pt>
                <c:pt idx="2473">
                  <c:v>135.367615809605</c:v>
                </c:pt>
                <c:pt idx="2474">
                  <c:v>135.422864428389</c:v>
                </c:pt>
                <c:pt idx="2475">
                  <c:v>135.533361665958</c:v>
                </c:pt>
                <c:pt idx="2476">
                  <c:v>136.25584360391</c:v>
                </c:pt>
                <c:pt idx="2477">
                  <c:v>136.757331066723</c:v>
                </c:pt>
                <c:pt idx="2478">
                  <c:v>136.850828729282</c:v>
                </c:pt>
                <c:pt idx="2479">
                  <c:v>136.060348491288</c:v>
                </c:pt>
                <c:pt idx="2480">
                  <c:v>135.767105822354</c:v>
                </c:pt>
                <c:pt idx="2481">
                  <c:v>136.213344666383</c:v>
                </c:pt>
                <c:pt idx="2482">
                  <c:v>133.501912452189</c:v>
                </c:pt>
                <c:pt idx="2483">
                  <c:v>133.701657458564</c:v>
                </c:pt>
                <c:pt idx="2484">
                  <c:v>134.738631534212</c:v>
                </c:pt>
                <c:pt idx="2485">
                  <c:v>135.014874628134</c:v>
                </c:pt>
                <c:pt idx="2486">
                  <c:v>132.7199320017</c:v>
                </c:pt>
                <c:pt idx="2487">
                  <c:v>133.217169570761</c:v>
                </c:pt>
                <c:pt idx="2488">
                  <c:v>133.429664258394</c:v>
                </c:pt>
                <c:pt idx="2489">
                  <c:v>133.191670208245</c:v>
                </c:pt>
                <c:pt idx="2490">
                  <c:v>131.542711432214</c:v>
                </c:pt>
                <c:pt idx="2491">
                  <c:v>131.053973650659</c:v>
                </c:pt>
                <c:pt idx="2492">
                  <c:v>128.652783680408</c:v>
                </c:pt>
                <c:pt idx="2493">
                  <c:v>129.592010199745</c:v>
                </c:pt>
                <c:pt idx="2494">
                  <c:v>129.592010199745</c:v>
                </c:pt>
                <c:pt idx="2495">
                  <c:v>130.539736506587</c:v>
                </c:pt>
                <c:pt idx="2496">
                  <c:v>131.330216744581</c:v>
                </c:pt>
                <c:pt idx="2497">
                  <c:v>131.062473438164</c:v>
                </c:pt>
                <c:pt idx="2498">
                  <c:v>130.956226094348</c:v>
                </c:pt>
                <c:pt idx="2499">
                  <c:v>131.466213344666</c:v>
                </c:pt>
                <c:pt idx="2500">
                  <c:v>131.623459413515</c:v>
                </c:pt>
                <c:pt idx="2501">
                  <c:v>132.056948576286</c:v>
                </c:pt>
                <c:pt idx="2502">
                  <c:v>132.260943476413</c:v>
                </c:pt>
                <c:pt idx="2503">
                  <c:v>131.546961325967</c:v>
                </c:pt>
                <c:pt idx="2504">
                  <c:v>131.16872078198</c:v>
                </c:pt>
                <c:pt idx="2505">
                  <c:v>131.597960050999</c:v>
                </c:pt>
                <c:pt idx="2506">
                  <c:v>131.015724606885</c:v>
                </c:pt>
                <c:pt idx="2507">
                  <c:v>130.803229919252</c:v>
                </c:pt>
                <c:pt idx="2508">
                  <c:v>129.277518062048</c:v>
                </c:pt>
                <c:pt idx="2509">
                  <c:v>129.222269443264</c:v>
                </c:pt>
                <c:pt idx="2510">
                  <c:v>128.84827879303</c:v>
                </c:pt>
                <c:pt idx="2511">
                  <c:v>130.458988525287</c:v>
                </c:pt>
                <c:pt idx="2512">
                  <c:v>130.654483637909</c:v>
                </c:pt>
                <c:pt idx="2513">
                  <c:v>131.674458138547</c:v>
                </c:pt>
                <c:pt idx="2514">
                  <c:v>131.925201869953</c:v>
                </c:pt>
                <c:pt idx="2515">
                  <c:v>131.746706332342</c:v>
                </c:pt>
                <c:pt idx="2516">
                  <c:v>132.817679558011</c:v>
                </c:pt>
                <c:pt idx="2517">
                  <c:v>133.314917127072</c:v>
                </c:pt>
                <c:pt idx="2518">
                  <c:v>135.541861453464</c:v>
                </c:pt>
                <c:pt idx="2519">
                  <c:v>135.363365915852</c:v>
                </c:pt>
                <c:pt idx="2520">
                  <c:v>135.350616234594</c:v>
                </c:pt>
                <c:pt idx="2521">
                  <c:v>135.252868678283</c:v>
                </c:pt>
                <c:pt idx="2522">
                  <c:v>134.598385040374</c:v>
                </c:pt>
                <c:pt idx="2523">
                  <c:v>134.466638334042</c:v>
                </c:pt>
                <c:pt idx="2524">
                  <c:v>133.569910752231</c:v>
                </c:pt>
                <c:pt idx="2525">
                  <c:v>133.370165745856</c:v>
                </c:pt>
                <c:pt idx="2526">
                  <c:v>133.382915427114</c:v>
                </c:pt>
                <c:pt idx="2527">
                  <c:v>134.411389715257</c:v>
                </c:pt>
                <c:pt idx="2528">
                  <c:v>134.411389715257</c:v>
                </c:pt>
                <c:pt idx="2529">
                  <c:v>134.411389715257</c:v>
                </c:pt>
                <c:pt idx="2530">
                  <c:v>134.411389715257</c:v>
                </c:pt>
                <c:pt idx="2531">
                  <c:v>134.411389715257</c:v>
                </c:pt>
                <c:pt idx="2532">
                  <c:v>134.411389715257</c:v>
                </c:pt>
                <c:pt idx="2533">
                  <c:v>134.411389715257</c:v>
                </c:pt>
                <c:pt idx="2534">
                  <c:v>137.054823629409</c:v>
                </c:pt>
                <c:pt idx="2535">
                  <c:v>138.597535061623</c:v>
                </c:pt>
                <c:pt idx="2536">
                  <c:v>139.443263918402</c:v>
                </c:pt>
                <c:pt idx="2537">
                  <c:v>139.1202719932</c:v>
                </c:pt>
                <c:pt idx="2538">
                  <c:v>139.320016999575</c:v>
                </c:pt>
                <c:pt idx="2539">
                  <c:v>139.613259668508</c:v>
                </c:pt>
                <c:pt idx="2540">
                  <c:v>139.566510837229</c:v>
                </c:pt>
                <c:pt idx="2541">
                  <c:v>138.746281342966</c:v>
                </c:pt>
                <c:pt idx="2542">
                  <c:v>139.774755631109</c:v>
                </c:pt>
                <c:pt idx="2543">
                  <c:v>140.012749681258</c:v>
                </c:pt>
                <c:pt idx="2544">
                  <c:v>139.804504887378</c:v>
                </c:pt>
                <c:pt idx="2545">
                  <c:v>139.953251168721</c:v>
                </c:pt>
                <c:pt idx="2546">
                  <c:v>138.967275818105</c:v>
                </c:pt>
                <c:pt idx="2547">
                  <c:v>139.9192520187</c:v>
                </c:pt>
                <c:pt idx="2548">
                  <c:v>140.407989800255</c:v>
                </c:pt>
                <c:pt idx="2549">
                  <c:v>141.763705907352</c:v>
                </c:pt>
                <c:pt idx="2550">
                  <c:v>143.969400764981</c:v>
                </c:pt>
                <c:pt idx="2551">
                  <c:v>143.446663833404</c:v>
                </c:pt>
                <c:pt idx="2552">
                  <c:v>143.999150021249</c:v>
                </c:pt>
                <c:pt idx="2553">
                  <c:v>143.39141521462</c:v>
                </c:pt>
                <c:pt idx="2554">
                  <c:v>143.11942201445</c:v>
                </c:pt>
                <c:pt idx="2555">
                  <c:v>143.561410964726</c:v>
                </c:pt>
                <c:pt idx="2556">
                  <c:v>143.280917977051</c:v>
                </c:pt>
                <c:pt idx="2557">
                  <c:v>142.779430514237</c:v>
                </c:pt>
                <c:pt idx="2558">
                  <c:v>142.086697832554</c:v>
                </c:pt>
                <c:pt idx="2559">
                  <c:v>141.784955376116</c:v>
                </c:pt>
                <c:pt idx="2560">
                  <c:v>141.16872078198</c:v>
                </c:pt>
                <c:pt idx="2561">
                  <c:v>142.099447513812</c:v>
                </c:pt>
                <c:pt idx="2562">
                  <c:v>142.022949426264</c:v>
                </c:pt>
                <c:pt idx="2563">
                  <c:v>141.48746281343</c:v>
                </c:pt>
                <c:pt idx="2564">
                  <c:v>141.738206544836</c:v>
                </c:pt>
                <c:pt idx="2565">
                  <c:v>142.579685507862</c:v>
                </c:pt>
                <c:pt idx="2566">
                  <c:v>142.163195920102</c:v>
                </c:pt>
                <c:pt idx="2567">
                  <c:v>142.558436039099</c:v>
                </c:pt>
                <c:pt idx="2568">
                  <c:v>140.046748831279</c:v>
                </c:pt>
                <c:pt idx="2569">
                  <c:v>140.667233319167</c:v>
                </c:pt>
                <c:pt idx="2570">
                  <c:v>140.535486612835</c:v>
                </c:pt>
                <c:pt idx="2571">
                  <c:v>138.227794305142</c:v>
                </c:pt>
                <c:pt idx="2572">
                  <c:v>138.028049298768</c:v>
                </c:pt>
                <c:pt idx="2573">
                  <c:v>139.723756906077</c:v>
                </c:pt>
                <c:pt idx="2574">
                  <c:v>140.0807479813</c:v>
                </c:pt>
                <c:pt idx="2575">
                  <c:v>137.917552061198</c:v>
                </c:pt>
                <c:pt idx="2576">
                  <c:v>137.522311942201</c:v>
                </c:pt>
                <c:pt idx="2577">
                  <c:v>137.985550361241</c:v>
                </c:pt>
                <c:pt idx="2578">
                  <c:v>138.1597960051</c:v>
                </c:pt>
                <c:pt idx="2579">
                  <c:v>137.726306842329</c:v>
                </c:pt>
                <c:pt idx="2580">
                  <c:v>138.623034424139</c:v>
                </c:pt>
                <c:pt idx="2581">
                  <c:v>138.011049723757</c:v>
                </c:pt>
                <c:pt idx="2582">
                  <c:v>138.644283892903</c:v>
                </c:pt>
                <c:pt idx="2583">
                  <c:v>138.801529961751</c:v>
                </c:pt>
                <c:pt idx="2584">
                  <c:v>138.869528261793</c:v>
                </c:pt>
                <c:pt idx="2585">
                  <c:v>138.457288567786</c:v>
                </c:pt>
                <c:pt idx="2586">
                  <c:v>135.877603059924</c:v>
                </c:pt>
                <c:pt idx="2587">
                  <c:v>136.510837229069</c:v>
                </c:pt>
                <c:pt idx="2588">
                  <c:v>135.524861878453</c:v>
                </c:pt>
                <c:pt idx="2589">
                  <c:v>136.102847428814</c:v>
                </c:pt>
                <c:pt idx="2590">
                  <c:v>138.011049723757</c:v>
                </c:pt>
                <c:pt idx="2591">
                  <c:v>138.011049723757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277864"/>
        <c:axId val="56735464"/>
      </c:lineChart>
      <c:catAx>
        <c:axId val="16277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735464"/>
        <c:crosses val="autoZero"/>
        <c:auto val="1"/>
        <c:lblAlgn val="ctr"/>
        <c:lblOffset val="100"/>
        <c:noMultiLvlLbl val="0"/>
      </c:catAx>
      <c:valAx>
        <c:axId val="567354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27786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'그래프 분석'!$E$1</c:f>
              <c:strCache>
                <c:ptCount val="1"/>
                <c:pt idx="0">
                  <c:v>KOSPI200 nor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3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'그래프 분석'!$D$2:$D$2593</c:f>
              <c:numCache>
                <c:formatCode>General</c:formatCode>
                <c:ptCount val="2592"/>
                <c:pt idx="0">
                  <c:v>100</c:v>
                </c:pt>
                <c:pt idx="1">
                  <c:v>100</c:v>
                </c:pt>
                <c:pt idx="2">
                  <c:v>97.5448464578899</c:v>
                </c:pt>
                <c:pt idx="3">
                  <c:v>97.8592553691368</c:v>
                </c:pt>
                <c:pt idx="4">
                  <c:v>96.0633240277509</c:v>
                </c:pt>
                <c:pt idx="5">
                  <c:v>97.3720943088532</c:v>
                </c:pt>
                <c:pt idx="6">
                  <c:v>98.1460239365378</c:v>
                </c:pt>
                <c:pt idx="7">
                  <c:v>96.811686337378</c:v>
                </c:pt>
                <c:pt idx="8">
                  <c:v>97.8640924293098</c:v>
                </c:pt>
                <c:pt idx="9">
                  <c:v>95.4248320849111</c:v>
                </c:pt>
                <c:pt idx="10">
                  <c:v>94.8893004228973</c:v>
                </c:pt>
                <c:pt idx="11">
                  <c:v>92.1287210812903</c:v>
                </c:pt>
                <c:pt idx="12">
                  <c:v>91.5717681527958</c:v>
                </c:pt>
                <c:pt idx="13">
                  <c:v>91.5717681527958</c:v>
                </c:pt>
                <c:pt idx="14">
                  <c:v>90.556676525056</c:v>
                </c:pt>
                <c:pt idx="15">
                  <c:v>92.4984106802289</c:v>
                </c:pt>
                <c:pt idx="16">
                  <c:v>93.4291992592388</c:v>
                </c:pt>
                <c:pt idx="17">
                  <c:v>91.9462948119075</c:v>
                </c:pt>
                <c:pt idx="18">
                  <c:v>93.5597998839106</c:v>
                </c:pt>
                <c:pt idx="19">
                  <c:v>94.1361010530971</c:v>
                </c:pt>
                <c:pt idx="20">
                  <c:v>93.6876364741977</c:v>
                </c:pt>
                <c:pt idx="21">
                  <c:v>95.2589900218359</c:v>
                </c:pt>
                <c:pt idx="22">
                  <c:v>96.4247215235358</c:v>
                </c:pt>
                <c:pt idx="23">
                  <c:v>95.4158489731612</c:v>
                </c:pt>
                <c:pt idx="24">
                  <c:v>92.3629729953841</c:v>
                </c:pt>
                <c:pt idx="25">
                  <c:v>91.6588352359103</c:v>
                </c:pt>
                <c:pt idx="26">
                  <c:v>92.38163022748</c:v>
                </c:pt>
                <c:pt idx="27">
                  <c:v>91.9932833964455</c:v>
                </c:pt>
                <c:pt idx="28">
                  <c:v>92.5350341358246</c:v>
                </c:pt>
                <c:pt idx="29">
                  <c:v>93.2073854998756</c:v>
                </c:pt>
                <c:pt idx="30">
                  <c:v>94.4753862738052</c:v>
                </c:pt>
                <c:pt idx="31">
                  <c:v>93.2073854998756</c:v>
                </c:pt>
                <c:pt idx="32">
                  <c:v>93.2854694712402</c:v>
                </c:pt>
                <c:pt idx="33">
                  <c:v>93.2854694712402</c:v>
                </c:pt>
                <c:pt idx="34">
                  <c:v>93.2018574311064</c:v>
                </c:pt>
                <c:pt idx="35">
                  <c:v>93.9792421017718</c:v>
                </c:pt>
                <c:pt idx="36">
                  <c:v>92.7699770585146</c:v>
                </c:pt>
                <c:pt idx="37">
                  <c:v>93.5010641532381</c:v>
                </c:pt>
                <c:pt idx="38">
                  <c:v>94.7925592194367</c:v>
                </c:pt>
                <c:pt idx="39">
                  <c:v>95.4483263771801</c:v>
                </c:pt>
                <c:pt idx="40">
                  <c:v>95.3605682854695</c:v>
                </c:pt>
                <c:pt idx="41">
                  <c:v>94.5078636778242</c:v>
                </c:pt>
                <c:pt idx="42">
                  <c:v>91.9476768290997</c:v>
                </c:pt>
                <c:pt idx="43">
                  <c:v>91.9967384394262</c:v>
                </c:pt>
                <c:pt idx="44">
                  <c:v>91.6795654937947</c:v>
                </c:pt>
                <c:pt idx="45">
                  <c:v>92.1598164681169</c:v>
                </c:pt>
                <c:pt idx="46">
                  <c:v>90.1310152298295</c:v>
                </c:pt>
                <c:pt idx="47">
                  <c:v>89.3729787998563</c:v>
                </c:pt>
                <c:pt idx="48">
                  <c:v>87.9909616075624</c:v>
                </c:pt>
                <c:pt idx="49">
                  <c:v>91.2580502501451</c:v>
                </c:pt>
                <c:pt idx="50">
                  <c:v>90.4371320379225</c:v>
                </c:pt>
                <c:pt idx="51">
                  <c:v>90.9007988059371</c:v>
                </c:pt>
                <c:pt idx="52">
                  <c:v>89.0115813040714</c:v>
                </c:pt>
                <c:pt idx="53">
                  <c:v>88.2141573841178</c:v>
                </c:pt>
                <c:pt idx="54">
                  <c:v>91.9552779236574</c:v>
                </c:pt>
                <c:pt idx="55">
                  <c:v>89.7219381409105</c:v>
                </c:pt>
                <c:pt idx="56">
                  <c:v>91.8702838663313</c:v>
                </c:pt>
                <c:pt idx="57">
                  <c:v>91.8702838663313</c:v>
                </c:pt>
                <c:pt idx="58">
                  <c:v>93.2778683766826</c:v>
                </c:pt>
                <c:pt idx="59">
                  <c:v>93.4927720500843</c:v>
                </c:pt>
                <c:pt idx="60">
                  <c:v>92.673235855054</c:v>
                </c:pt>
                <c:pt idx="61">
                  <c:v>91.6111556427762</c:v>
                </c:pt>
                <c:pt idx="62">
                  <c:v>90.8828325824373</c:v>
                </c:pt>
                <c:pt idx="63">
                  <c:v>91.3997070123552</c:v>
                </c:pt>
                <c:pt idx="64">
                  <c:v>94.6806158268609</c:v>
                </c:pt>
                <c:pt idx="65">
                  <c:v>94.4974985488819</c:v>
                </c:pt>
                <c:pt idx="66">
                  <c:v>94.6204980789961</c:v>
                </c:pt>
                <c:pt idx="67">
                  <c:v>94.6958180159761</c:v>
                </c:pt>
                <c:pt idx="68">
                  <c:v>94.8436938555516</c:v>
                </c:pt>
                <c:pt idx="69">
                  <c:v>94.3599878382487</c:v>
                </c:pt>
                <c:pt idx="70">
                  <c:v>93.5964233395064</c:v>
                </c:pt>
                <c:pt idx="71">
                  <c:v>94.0151745487714</c:v>
                </c:pt>
                <c:pt idx="72">
                  <c:v>92.0996987202521</c:v>
                </c:pt>
                <c:pt idx="73">
                  <c:v>91.7880538433898</c:v>
                </c:pt>
                <c:pt idx="74">
                  <c:v>92.2102600956356</c:v>
                </c:pt>
                <c:pt idx="75">
                  <c:v>94.3026341247685</c:v>
                </c:pt>
                <c:pt idx="76">
                  <c:v>94.361369855441</c:v>
                </c:pt>
                <c:pt idx="77">
                  <c:v>96.072998148097</c:v>
                </c:pt>
                <c:pt idx="78">
                  <c:v>95.9237402913292</c:v>
                </c:pt>
                <c:pt idx="79">
                  <c:v>95.0786367782415</c:v>
                </c:pt>
                <c:pt idx="80">
                  <c:v>95.3543492081041</c:v>
                </c:pt>
                <c:pt idx="81">
                  <c:v>95.9686558500788</c:v>
                </c:pt>
                <c:pt idx="82">
                  <c:v>96.5919456038033</c:v>
                </c:pt>
                <c:pt idx="83">
                  <c:v>96.4903673401697</c:v>
                </c:pt>
                <c:pt idx="84">
                  <c:v>96.1151496724619</c:v>
                </c:pt>
                <c:pt idx="85">
                  <c:v>95.7454600735233</c:v>
                </c:pt>
                <c:pt idx="86">
                  <c:v>97.3866054893723</c:v>
                </c:pt>
                <c:pt idx="87">
                  <c:v>97.7017054092153</c:v>
                </c:pt>
                <c:pt idx="88">
                  <c:v>97.2587688990851</c:v>
                </c:pt>
                <c:pt idx="89">
                  <c:v>98.0029851571354</c:v>
                </c:pt>
                <c:pt idx="90">
                  <c:v>96.2277840736339</c:v>
                </c:pt>
                <c:pt idx="91">
                  <c:v>96.580889466265</c:v>
                </c:pt>
                <c:pt idx="92">
                  <c:v>95.9313413858868</c:v>
                </c:pt>
                <c:pt idx="93">
                  <c:v>96.9885845379917</c:v>
                </c:pt>
                <c:pt idx="94">
                  <c:v>96.9512700737997</c:v>
                </c:pt>
                <c:pt idx="95">
                  <c:v>97.3396169048343</c:v>
                </c:pt>
                <c:pt idx="96">
                  <c:v>98.3699107216894</c:v>
                </c:pt>
                <c:pt idx="97">
                  <c:v>98.4929102518035</c:v>
                </c:pt>
                <c:pt idx="98">
                  <c:v>98.5813593521104</c:v>
                </c:pt>
                <c:pt idx="99">
                  <c:v>97.6671549794079</c:v>
                </c:pt>
                <c:pt idx="100">
                  <c:v>96.0992564747506</c:v>
                </c:pt>
                <c:pt idx="101">
                  <c:v>96.350783603748</c:v>
                </c:pt>
                <c:pt idx="102">
                  <c:v>95.0779457696454</c:v>
                </c:pt>
                <c:pt idx="103">
                  <c:v>95.0779457696454</c:v>
                </c:pt>
                <c:pt idx="104">
                  <c:v>95.7288758672158</c:v>
                </c:pt>
                <c:pt idx="105">
                  <c:v>96.1082395865004</c:v>
                </c:pt>
                <c:pt idx="106">
                  <c:v>96.6209679648415</c:v>
                </c:pt>
                <c:pt idx="107">
                  <c:v>96.7674617872246</c:v>
                </c:pt>
                <c:pt idx="108">
                  <c:v>95.7509881422925</c:v>
                </c:pt>
                <c:pt idx="109">
                  <c:v>95.1967992481826</c:v>
                </c:pt>
                <c:pt idx="110">
                  <c:v>95.165703861356</c:v>
                </c:pt>
                <c:pt idx="111">
                  <c:v>97.0210619420105</c:v>
                </c:pt>
                <c:pt idx="112">
                  <c:v>94.0241576605213</c:v>
                </c:pt>
                <c:pt idx="113">
                  <c:v>94.0987865889052</c:v>
                </c:pt>
                <c:pt idx="114">
                  <c:v>93.8693717349844</c:v>
                </c:pt>
                <c:pt idx="115">
                  <c:v>92.2835070068272</c:v>
                </c:pt>
                <c:pt idx="116">
                  <c:v>92.5861687719395</c:v>
                </c:pt>
                <c:pt idx="117">
                  <c:v>93.8044169269466</c:v>
                </c:pt>
                <c:pt idx="118">
                  <c:v>93.9868431963294</c:v>
                </c:pt>
                <c:pt idx="119">
                  <c:v>93.350424279278</c:v>
                </c:pt>
                <c:pt idx="120">
                  <c:v>92.4438210011332</c:v>
                </c:pt>
                <c:pt idx="121">
                  <c:v>92.790707316399</c:v>
                </c:pt>
                <c:pt idx="122">
                  <c:v>91.0700959119931</c:v>
                </c:pt>
                <c:pt idx="123">
                  <c:v>91.0749329721662</c:v>
                </c:pt>
                <c:pt idx="124">
                  <c:v>90.8185687829957</c:v>
                </c:pt>
                <c:pt idx="125">
                  <c:v>91.3492633848365</c:v>
                </c:pt>
                <c:pt idx="126">
                  <c:v>88.6667680145941</c:v>
                </c:pt>
                <c:pt idx="127">
                  <c:v>88.337156914232</c:v>
                </c:pt>
                <c:pt idx="128">
                  <c:v>88.4491003068078</c:v>
                </c:pt>
                <c:pt idx="129">
                  <c:v>88.788385527516</c:v>
                </c:pt>
                <c:pt idx="130">
                  <c:v>87.1721164211283</c:v>
                </c:pt>
                <c:pt idx="131">
                  <c:v>87.2674756073966</c:v>
                </c:pt>
                <c:pt idx="132">
                  <c:v>87.2674756073966</c:v>
                </c:pt>
                <c:pt idx="133">
                  <c:v>86.5356975040769</c:v>
                </c:pt>
                <c:pt idx="134">
                  <c:v>88.0130738826391</c:v>
                </c:pt>
                <c:pt idx="135">
                  <c:v>86.0084579452168</c:v>
                </c:pt>
                <c:pt idx="136">
                  <c:v>86.6103264324608</c:v>
                </c:pt>
                <c:pt idx="137">
                  <c:v>85.6498244838166</c:v>
                </c:pt>
                <c:pt idx="138">
                  <c:v>84.8765858647282</c:v>
                </c:pt>
                <c:pt idx="139">
                  <c:v>83.9513253544874</c:v>
                </c:pt>
                <c:pt idx="140">
                  <c:v>86.0554465297548</c:v>
                </c:pt>
                <c:pt idx="141">
                  <c:v>87.0885043809945</c:v>
                </c:pt>
                <c:pt idx="142">
                  <c:v>87.1140716990519</c:v>
                </c:pt>
                <c:pt idx="143">
                  <c:v>87.0670831145139</c:v>
                </c:pt>
                <c:pt idx="144">
                  <c:v>88.2417977279637</c:v>
                </c:pt>
                <c:pt idx="145">
                  <c:v>88.5997401807678</c:v>
                </c:pt>
                <c:pt idx="146">
                  <c:v>86.5515907017883</c:v>
                </c:pt>
                <c:pt idx="147">
                  <c:v>86.912297188977</c:v>
                </c:pt>
                <c:pt idx="148">
                  <c:v>85.2960280825893</c:v>
                </c:pt>
                <c:pt idx="149">
                  <c:v>87.2875148566848</c:v>
                </c:pt>
                <c:pt idx="150">
                  <c:v>88.7434699687664</c:v>
                </c:pt>
                <c:pt idx="151">
                  <c:v>87.5770474584704</c:v>
                </c:pt>
                <c:pt idx="152">
                  <c:v>87.0885043809945</c:v>
                </c:pt>
                <c:pt idx="153">
                  <c:v>86.3076646673485</c:v>
                </c:pt>
                <c:pt idx="154">
                  <c:v>88.7863125017275</c:v>
                </c:pt>
                <c:pt idx="155">
                  <c:v>89.0834461980707</c:v>
                </c:pt>
                <c:pt idx="156">
                  <c:v>87.485834323779</c:v>
                </c:pt>
                <c:pt idx="157">
                  <c:v>89.5761353271235</c:v>
                </c:pt>
                <c:pt idx="158">
                  <c:v>90.1980430636557</c:v>
                </c:pt>
                <c:pt idx="159">
                  <c:v>89.1117775505127</c:v>
                </c:pt>
                <c:pt idx="160">
                  <c:v>88.8512673097653</c:v>
                </c:pt>
                <c:pt idx="161">
                  <c:v>89.3425744216258</c:v>
                </c:pt>
                <c:pt idx="162">
                  <c:v>89.7060449431991</c:v>
                </c:pt>
                <c:pt idx="163">
                  <c:v>88.3523591033472</c:v>
                </c:pt>
                <c:pt idx="164">
                  <c:v>87.5286768567401</c:v>
                </c:pt>
                <c:pt idx="165">
                  <c:v>88.0718096133116</c:v>
                </c:pt>
                <c:pt idx="166">
                  <c:v>88.2915503468863</c:v>
                </c:pt>
                <c:pt idx="167">
                  <c:v>89.2914397855109</c:v>
                </c:pt>
                <c:pt idx="168">
                  <c:v>87.5397329942784</c:v>
                </c:pt>
                <c:pt idx="169">
                  <c:v>87.8624340086791</c:v>
                </c:pt>
                <c:pt idx="170">
                  <c:v>88.5638077337682</c:v>
                </c:pt>
                <c:pt idx="171">
                  <c:v>89.8781060836397</c:v>
                </c:pt>
                <c:pt idx="172">
                  <c:v>88.6439647309213</c:v>
                </c:pt>
                <c:pt idx="173">
                  <c:v>88.6439647309213</c:v>
                </c:pt>
                <c:pt idx="174">
                  <c:v>88.2811852179441</c:v>
                </c:pt>
                <c:pt idx="175">
                  <c:v>88.1022139915421</c:v>
                </c:pt>
                <c:pt idx="176">
                  <c:v>85.4653251886453</c:v>
                </c:pt>
                <c:pt idx="177">
                  <c:v>85.84468890793</c:v>
                </c:pt>
                <c:pt idx="178">
                  <c:v>87.6053788109124</c:v>
                </c:pt>
                <c:pt idx="179">
                  <c:v>84.6146936067885</c:v>
                </c:pt>
                <c:pt idx="180">
                  <c:v>85.1350230796871</c:v>
                </c:pt>
                <c:pt idx="181">
                  <c:v>86.3104287017331</c:v>
                </c:pt>
                <c:pt idx="182">
                  <c:v>86.4928549711158</c:v>
                </c:pt>
                <c:pt idx="183">
                  <c:v>82.4159042538489</c:v>
                </c:pt>
                <c:pt idx="184">
                  <c:v>83.8608032283922</c:v>
                </c:pt>
                <c:pt idx="185">
                  <c:v>79.9075430498355</c:v>
                </c:pt>
                <c:pt idx="186">
                  <c:v>83.370878133724</c:v>
                </c:pt>
                <c:pt idx="187">
                  <c:v>86.7264158766135</c:v>
                </c:pt>
                <c:pt idx="188">
                  <c:v>83.4109566323005</c:v>
                </c:pt>
                <c:pt idx="189">
                  <c:v>82.1070234113712</c:v>
                </c:pt>
                <c:pt idx="190">
                  <c:v>81.9446363912767</c:v>
                </c:pt>
                <c:pt idx="191">
                  <c:v>83.5553774288952</c:v>
                </c:pt>
                <c:pt idx="192">
                  <c:v>83.8379999447193</c:v>
                </c:pt>
                <c:pt idx="193">
                  <c:v>76.4545730948893</c:v>
                </c:pt>
                <c:pt idx="194">
                  <c:v>80.4845352276182</c:v>
                </c:pt>
                <c:pt idx="195">
                  <c:v>80.2302440642362</c:v>
                </c:pt>
                <c:pt idx="196">
                  <c:v>76.9977058514608</c:v>
                </c:pt>
                <c:pt idx="197">
                  <c:v>75.9577379142597</c:v>
                </c:pt>
                <c:pt idx="198">
                  <c:v>73.0320075181735</c:v>
                </c:pt>
                <c:pt idx="199">
                  <c:v>68.8403493739462</c:v>
                </c:pt>
                <c:pt idx="200">
                  <c:v>68.0602006688963</c:v>
                </c:pt>
                <c:pt idx="201">
                  <c:v>62.876254180602</c:v>
                </c:pt>
                <c:pt idx="202">
                  <c:v>62.1368749827248</c:v>
                </c:pt>
                <c:pt idx="203">
                  <c:v>69.3323474944028</c:v>
                </c:pt>
                <c:pt idx="204">
                  <c:v>68.9633489040604</c:v>
                </c:pt>
                <c:pt idx="205">
                  <c:v>62.7325243926034</c:v>
                </c:pt>
                <c:pt idx="206">
                  <c:v>65.3991265651345</c:v>
                </c:pt>
                <c:pt idx="207">
                  <c:v>64.9928135106001</c:v>
                </c:pt>
                <c:pt idx="208">
                  <c:v>68.0919870643191</c:v>
                </c:pt>
                <c:pt idx="209">
                  <c:v>65.9947759750131</c:v>
                </c:pt>
                <c:pt idx="210">
                  <c:v>61.9682688852649</c:v>
                </c:pt>
                <c:pt idx="211">
                  <c:v>62.7511816246994</c:v>
                </c:pt>
                <c:pt idx="212">
                  <c:v>60.5855606843749</c:v>
                </c:pt>
                <c:pt idx="213">
                  <c:v>58.6611017441057</c:v>
                </c:pt>
                <c:pt idx="214">
                  <c:v>64.9900494762155</c:v>
                </c:pt>
                <c:pt idx="215">
                  <c:v>64.2700185190304</c:v>
                </c:pt>
                <c:pt idx="216">
                  <c:v>65.928439149783</c:v>
                </c:pt>
                <c:pt idx="217">
                  <c:v>66.9414577517344</c:v>
                </c:pt>
                <c:pt idx="218">
                  <c:v>66.7721606456784</c:v>
                </c:pt>
                <c:pt idx="219">
                  <c:v>69.4981895574781</c:v>
                </c:pt>
                <c:pt idx="220">
                  <c:v>65.8372260150916</c:v>
                </c:pt>
                <c:pt idx="221">
                  <c:v>62.5279858481439</c:v>
                </c:pt>
                <c:pt idx="222">
                  <c:v>64.3322092926836</c:v>
                </c:pt>
                <c:pt idx="223">
                  <c:v>63.5182011664225</c:v>
                </c:pt>
                <c:pt idx="224">
                  <c:v>62.1182177506288</c:v>
                </c:pt>
                <c:pt idx="225">
                  <c:v>58.8946626496034</c:v>
                </c:pt>
                <c:pt idx="226">
                  <c:v>62.9709223582741</c:v>
                </c:pt>
                <c:pt idx="227">
                  <c:v>60.3450896929158</c:v>
                </c:pt>
                <c:pt idx="228">
                  <c:v>58.7875563172006</c:v>
                </c:pt>
                <c:pt idx="229">
                  <c:v>59.3659305121756</c:v>
                </c:pt>
                <c:pt idx="230">
                  <c:v>55.7353713480196</c:v>
                </c:pt>
                <c:pt idx="231">
                  <c:v>51.9942508084801</c:v>
                </c:pt>
                <c:pt idx="232">
                  <c:v>55.2827607175433</c:v>
                </c:pt>
                <c:pt idx="233">
                  <c:v>58.8608032283922</c:v>
                </c:pt>
                <c:pt idx="234">
                  <c:v>59.2463860250422</c:v>
                </c:pt>
                <c:pt idx="235">
                  <c:v>61.3394510627712</c:v>
                </c:pt>
                <c:pt idx="236">
                  <c:v>61.3394510627712</c:v>
                </c:pt>
                <c:pt idx="237">
                  <c:v>61.930954421073</c:v>
                </c:pt>
                <c:pt idx="238">
                  <c:v>56.4008126261091</c:v>
                </c:pt>
                <c:pt idx="239">
                  <c:v>58.6535006495481</c:v>
                </c:pt>
                <c:pt idx="240">
                  <c:v>60.1688825008983</c:v>
                </c:pt>
                <c:pt idx="241">
                  <c:v>58.4054285635313</c:v>
                </c:pt>
                <c:pt idx="242">
                  <c:v>60.5371900826446</c:v>
                </c:pt>
                <c:pt idx="243">
                  <c:v>62.8610519914868</c:v>
                </c:pt>
                <c:pt idx="244">
                  <c:v>61.4078609137898</c:v>
                </c:pt>
                <c:pt idx="245">
                  <c:v>62.1382569999171</c:v>
                </c:pt>
                <c:pt idx="246">
                  <c:v>60.3658199508002</c:v>
                </c:pt>
                <c:pt idx="247">
                  <c:v>60.7900992288344</c:v>
                </c:pt>
                <c:pt idx="248">
                  <c:v>60.0189336355344</c:v>
                </c:pt>
                <c:pt idx="249">
                  <c:v>63.1015229829459</c:v>
                </c:pt>
                <c:pt idx="250">
                  <c:v>62.4961994527212</c:v>
                </c:pt>
                <c:pt idx="251">
                  <c:v>61.173608999696</c:v>
                </c:pt>
                <c:pt idx="252">
                  <c:v>61.3532712346942</c:v>
                </c:pt>
                <c:pt idx="253">
                  <c:v>60.2303822659554</c:v>
                </c:pt>
                <c:pt idx="254">
                  <c:v>59.6450979850189</c:v>
                </c:pt>
                <c:pt idx="255">
                  <c:v>59.7736255839023</c:v>
                </c:pt>
                <c:pt idx="256">
                  <c:v>60.3112302717046</c:v>
                </c:pt>
                <c:pt idx="257">
                  <c:v>60.0776693662069</c:v>
                </c:pt>
                <c:pt idx="258">
                  <c:v>61.5439896072307</c:v>
                </c:pt>
                <c:pt idx="259">
                  <c:v>62.415351446972</c:v>
                </c:pt>
                <c:pt idx="260">
                  <c:v>64.3881809889715</c:v>
                </c:pt>
                <c:pt idx="261">
                  <c:v>64.0875922496476</c:v>
                </c:pt>
                <c:pt idx="262">
                  <c:v>64.5885734818541</c:v>
                </c:pt>
                <c:pt idx="263">
                  <c:v>62.650294369662</c:v>
                </c:pt>
                <c:pt idx="264">
                  <c:v>62.8631250172752</c:v>
                </c:pt>
                <c:pt idx="265">
                  <c:v>61.5239503579424</c:v>
                </c:pt>
                <c:pt idx="266">
                  <c:v>60.1357140882833</c:v>
                </c:pt>
                <c:pt idx="267">
                  <c:v>60.2414384034937</c:v>
                </c:pt>
                <c:pt idx="268">
                  <c:v>58.2257663285331</c:v>
                </c:pt>
                <c:pt idx="269">
                  <c:v>58.3031592913016</c:v>
                </c:pt>
                <c:pt idx="270">
                  <c:v>58.7440227756433</c:v>
                </c:pt>
                <c:pt idx="271">
                  <c:v>58.7440227756433</c:v>
                </c:pt>
                <c:pt idx="272">
                  <c:v>55.6413941789436</c:v>
                </c:pt>
                <c:pt idx="273">
                  <c:v>58.0613062826502</c:v>
                </c:pt>
                <c:pt idx="274">
                  <c:v>57.180961331159</c:v>
                </c:pt>
                <c:pt idx="275">
                  <c:v>57.4884601564443</c:v>
                </c:pt>
                <c:pt idx="276">
                  <c:v>57.8077061278642</c:v>
                </c:pt>
                <c:pt idx="277">
                  <c:v>58.4392879847425</c:v>
                </c:pt>
                <c:pt idx="278">
                  <c:v>60.4003703806075</c:v>
                </c:pt>
                <c:pt idx="279">
                  <c:v>58.3999004947622</c:v>
                </c:pt>
                <c:pt idx="280">
                  <c:v>57.0690179385832</c:v>
                </c:pt>
                <c:pt idx="281">
                  <c:v>57.0386135603527</c:v>
                </c:pt>
                <c:pt idx="282">
                  <c:v>57.9417617955167</c:v>
                </c:pt>
                <c:pt idx="283">
                  <c:v>57.5078083971365</c:v>
                </c:pt>
                <c:pt idx="284">
                  <c:v>58.4489621050886</c:v>
                </c:pt>
                <c:pt idx="285">
                  <c:v>60.0210066613229</c:v>
                </c:pt>
                <c:pt idx="286">
                  <c:v>60.1101467702258</c:v>
                </c:pt>
                <c:pt idx="287">
                  <c:v>57.15746703889</c:v>
                </c:pt>
                <c:pt idx="288">
                  <c:v>57.6121506951546</c:v>
                </c:pt>
                <c:pt idx="289">
                  <c:v>57.712346941596</c:v>
                </c:pt>
                <c:pt idx="290">
                  <c:v>57.1353547638133</c:v>
                </c:pt>
                <c:pt idx="291">
                  <c:v>57.1353547638133</c:v>
                </c:pt>
                <c:pt idx="292">
                  <c:v>54.5323253821278</c:v>
                </c:pt>
                <c:pt idx="293">
                  <c:v>54.4804997374167</c:v>
                </c:pt>
                <c:pt idx="294">
                  <c:v>53.8254235882694</c:v>
                </c:pt>
                <c:pt idx="295">
                  <c:v>53.2111169462948</c:v>
                </c:pt>
                <c:pt idx="296">
                  <c:v>51.3647419773902</c:v>
                </c:pt>
                <c:pt idx="297">
                  <c:v>53.4246386025042</c:v>
                </c:pt>
                <c:pt idx="298">
                  <c:v>52.8552475192791</c:v>
                </c:pt>
                <c:pt idx="299">
                  <c:v>52.0212001437298</c:v>
                </c:pt>
                <c:pt idx="300">
                  <c:v>50.7953508941651</c:v>
                </c:pt>
                <c:pt idx="301">
                  <c:v>48.4272644351696</c:v>
                </c:pt>
                <c:pt idx="302">
                  <c:v>48.1170015754996</c:v>
                </c:pt>
                <c:pt idx="303">
                  <c:v>49.2599297935266</c:v>
                </c:pt>
                <c:pt idx="304">
                  <c:v>47.1647917300091</c:v>
                </c:pt>
                <c:pt idx="305">
                  <c:v>47.2221454434893</c:v>
                </c:pt>
                <c:pt idx="306">
                  <c:v>46.7488045551287</c:v>
                </c:pt>
                <c:pt idx="307">
                  <c:v>49.7249785787335</c:v>
                </c:pt>
                <c:pt idx="308">
                  <c:v>49.8465960916554</c:v>
                </c:pt>
                <c:pt idx="309">
                  <c:v>51.8767793471351</c:v>
                </c:pt>
                <c:pt idx="310">
                  <c:v>52.2782553414965</c:v>
                </c:pt>
                <c:pt idx="311">
                  <c:v>52.0944470549214</c:v>
                </c:pt>
                <c:pt idx="312">
                  <c:v>53.7687608833854</c:v>
                </c:pt>
                <c:pt idx="313">
                  <c:v>54.8902678349319</c:v>
                </c:pt>
                <c:pt idx="314">
                  <c:v>54.1778379723044</c:v>
                </c:pt>
                <c:pt idx="315">
                  <c:v>53.1067746482766</c:v>
                </c:pt>
                <c:pt idx="316">
                  <c:v>56.8644793941237</c:v>
                </c:pt>
                <c:pt idx="317">
                  <c:v>55.7125680643467</c:v>
                </c:pt>
                <c:pt idx="318">
                  <c:v>56.2398076232068</c:v>
                </c:pt>
                <c:pt idx="319">
                  <c:v>57.5513419386937</c:v>
                </c:pt>
                <c:pt idx="320">
                  <c:v>56.3821553940131</c:v>
                </c:pt>
                <c:pt idx="321">
                  <c:v>54.4189999723597</c:v>
                </c:pt>
                <c:pt idx="322">
                  <c:v>55.1335028607756</c:v>
                </c:pt>
                <c:pt idx="323">
                  <c:v>56.0463252162857</c:v>
                </c:pt>
                <c:pt idx="324">
                  <c:v>57.656375245308</c:v>
                </c:pt>
                <c:pt idx="325">
                  <c:v>58.2174742253794</c:v>
                </c:pt>
                <c:pt idx="326">
                  <c:v>57.7323861908842</c:v>
                </c:pt>
                <c:pt idx="327">
                  <c:v>56.3552060587634</c:v>
                </c:pt>
                <c:pt idx="328">
                  <c:v>57.0192653196606</c:v>
                </c:pt>
                <c:pt idx="329">
                  <c:v>59.189032311562</c:v>
                </c:pt>
                <c:pt idx="330">
                  <c:v>59.189032311562</c:v>
                </c:pt>
                <c:pt idx="331">
                  <c:v>59.3389811769258</c:v>
                </c:pt>
                <c:pt idx="332">
                  <c:v>58.1483733657647</c:v>
                </c:pt>
                <c:pt idx="333">
                  <c:v>58.8780784432958</c:v>
                </c:pt>
                <c:pt idx="334">
                  <c:v>59.7929738245944</c:v>
                </c:pt>
                <c:pt idx="335">
                  <c:v>60.0901075209376</c:v>
                </c:pt>
                <c:pt idx="336">
                  <c:v>57.5188645346748</c:v>
                </c:pt>
                <c:pt idx="337">
                  <c:v>58.7412587412587</c:v>
                </c:pt>
                <c:pt idx="338">
                  <c:v>58.2900301279748</c:v>
                </c:pt>
                <c:pt idx="339">
                  <c:v>58.8684043229498</c:v>
                </c:pt>
                <c:pt idx="340">
                  <c:v>59.857237624036</c:v>
                </c:pt>
                <c:pt idx="341">
                  <c:v>59.2546781281959</c:v>
                </c:pt>
                <c:pt idx="342">
                  <c:v>59.0922911081014</c:v>
                </c:pt>
                <c:pt idx="343">
                  <c:v>60.3692749937809</c:v>
                </c:pt>
                <c:pt idx="344">
                  <c:v>60.3119212803007</c:v>
                </c:pt>
                <c:pt idx="345">
                  <c:v>60.6373863290859</c:v>
                </c:pt>
                <c:pt idx="346">
                  <c:v>62.6910638768346</c:v>
                </c:pt>
                <c:pt idx="347">
                  <c:v>62.4533569197601</c:v>
                </c:pt>
                <c:pt idx="348">
                  <c:v>63.5403134414992</c:v>
                </c:pt>
                <c:pt idx="349">
                  <c:v>62.7014290057768</c:v>
                </c:pt>
                <c:pt idx="350">
                  <c:v>64.2105917797617</c:v>
                </c:pt>
                <c:pt idx="351">
                  <c:v>62.829265596064</c:v>
                </c:pt>
                <c:pt idx="352">
                  <c:v>62.7677658310069</c:v>
                </c:pt>
                <c:pt idx="353">
                  <c:v>61.07963183062</c:v>
                </c:pt>
                <c:pt idx="354">
                  <c:v>61.7119046960944</c:v>
                </c:pt>
                <c:pt idx="355">
                  <c:v>61.0077669366207</c:v>
                </c:pt>
                <c:pt idx="356">
                  <c:v>62.8617430000829</c:v>
                </c:pt>
                <c:pt idx="357">
                  <c:v>62.7525636418917</c:v>
                </c:pt>
                <c:pt idx="358">
                  <c:v>62.4305536360872</c:v>
                </c:pt>
                <c:pt idx="359">
                  <c:v>61.3843666215208</c:v>
                </c:pt>
                <c:pt idx="360">
                  <c:v>61.2924624782332</c:v>
                </c:pt>
                <c:pt idx="361">
                  <c:v>61.2924624782332</c:v>
                </c:pt>
                <c:pt idx="362">
                  <c:v>62.904585533044</c:v>
                </c:pt>
                <c:pt idx="363">
                  <c:v>61.7112136874983</c:v>
                </c:pt>
                <c:pt idx="364">
                  <c:v>62.6627325243926</c:v>
                </c:pt>
                <c:pt idx="365">
                  <c:v>63.5133641062495</c:v>
                </c:pt>
                <c:pt idx="366">
                  <c:v>65.1531275049062</c:v>
                </c:pt>
                <c:pt idx="367">
                  <c:v>65.2823461123856</c:v>
                </c:pt>
                <c:pt idx="368">
                  <c:v>64.3854169545869</c:v>
                </c:pt>
                <c:pt idx="369">
                  <c:v>65.1247961524641</c:v>
                </c:pt>
                <c:pt idx="370">
                  <c:v>64.9610271151773</c:v>
                </c:pt>
                <c:pt idx="371">
                  <c:v>64.8953812985434</c:v>
                </c:pt>
                <c:pt idx="372">
                  <c:v>65.1227231266757</c:v>
                </c:pt>
                <c:pt idx="373">
                  <c:v>64.8960723071395</c:v>
                </c:pt>
                <c:pt idx="374">
                  <c:v>65.2927112413278</c:v>
                </c:pt>
                <c:pt idx="375">
                  <c:v>65.3839243760192</c:v>
                </c:pt>
                <c:pt idx="376">
                  <c:v>63.8298460432848</c:v>
                </c:pt>
                <c:pt idx="377">
                  <c:v>63.0179109428121</c:v>
                </c:pt>
                <c:pt idx="378">
                  <c:v>62.9308438596976</c:v>
                </c:pt>
                <c:pt idx="379">
                  <c:v>63.4601564443462</c:v>
                </c:pt>
                <c:pt idx="380">
                  <c:v>63.6577849028442</c:v>
                </c:pt>
                <c:pt idx="381">
                  <c:v>61.709831670306</c:v>
                </c:pt>
                <c:pt idx="382">
                  <c:v>61.8521794411122</c:v>
                </c:pt>
                <c:pt idx="383">
                  <c:v>62.2557284612621</c:v>
                </c:pt>
                <c:pt idx="384">
                  <c:v>63.5907570690179</c:v>
                </c:pt>
                <c:pt idx="385">
                  <c:v>63.496779899942</c:v>
                </c:pt>
                <c:pt idx="386">
                  <c:v>64.0723900605324</c:v>
                </c:pt>
                <c:pt idx="387">
                  <c:v>63.5258022609801</c:v>
                </c:pt>
                <c:pt idx="388">
                  <c:v>63.802896708035</c:v>
                </c:pt>
                <c:pt idx="389">
                  <c:v>61.9433925758036</c:v>
                </c:pt>
                <c:pt idx="390">
                  <c:v>61.9433925758036</c:v>
                </c:pt>
                <c:pt idx="391">
                  <c:v>62.1023245529174</c:v>
                </c:pt>
                <c:pt idx="392">
                  <c:v>60.8799303463335</c:v>
                </c:pt>
                <c:pt idx="393">
                  <c:v>60.7783520826999</c:v>
                </c:pt>
                <c:pt idx="394">
                  <c:v>60.9939467646977</c:v>
                </c:pt>
                <c:pt idx="395">
                  <c:v>60.7486387130656</c:v>
                </c:pt>
                <c:pt idx="396">
                  <c:v>62.2633295558197</c:v>
                </c:pt>
                <c:pt idx="397">
                  <c:v>62.5943226733741</c:v>
                </c:pt>
                <c:pt idx="398">
                  <c:v>64.4489897454324</c:v>
                </c:pt>
                <c:pt idx="399">
                  <c:v>65.0059426739269</c:v>
                </c:pt>
                <c:pt idx="400">
                  <c:v>64.9810663644656</c:v>
                </c:pt>
                <c:pt idx="401">
                  <c:v>65.7239006053235</c:v>
                </c:pt>
                <c:pt idx="402">
                  <c:v>65.9622985709942</c:v>
                </c:pt>
                <c:pt idx="403">
                  <c:v>65.9270571325907</c:v>
                </c:pt>
                <c:pt idx="404">
                  <c:v>67.4624782332292</c:v>
                </c:pt>
                <c:pt idx="405">
                  <c:v>67.6677077862849</c:v>
                </c:pt>
                <c:pt idx="406">
                  <c:v>67.8694822963598</c:v>
                </c:pt>
                <c:pt idx="407">
                  <c:v>67.6925840957461</c:v>
                </c:pt>
                <c:pt idx="408">
                  <c:v>67.3837032532685</c:v>
                </c:pt>
                <c:pt idx="409">
                  <c:v>68.1852732247989</c:v>
                </c:pt>
                <c:pt idx="410">
                  <c:v>68.2357168523176</c:v>
                </c:pt>
                <c:pt idx="411">
                  <c:v>69.2825948754802</c:v>
                </c:pt>
                <c:pt idx="412">
                  <c:v>69.4912794715166</c:v>
                </c:pt>
                <c:pt idx="413">
                  <c:v>69.2888139528456</c:v>
                </c:pt>
                <c:pt idx="414">
                  <c:v>68.8990851046187</c:v>
                </c:pt>
                <c:pt idx="415">
                  <c:v>69.8250366234556</c:v>
                </c:pt>
                <c:pt idx="416">
                  <c:v>69.5914757179579</c:v>
                </c:pt>
                <c:pt idx="417">
                  <c:v>69.5914757179579</c:v>
                </c:pt>
                <c:pt idx="418">
                  <c:v>69.502335609055</c:v>
                </c:pt>
                <c:pt idx="419">
                  <c:v>69.9805135575887</c:v>
                </c:pt>
                <c:pt idx="420">
                  <c:v>69.3834821305177</c:v>
                </c:pt>
                <c:pt idx="421">
                  <c:v>67.7001851903038</c:v>
                </c:pt>
                <c:pt idx="422">
                  <c:v>68.3870477348738</c:v>
                </c:pt>
                <c:pt idx="423">
                  <c:v>68.8562425716576</c:v>
                </c:pt>
                <c:pt idx="424">
                  <c:v>69.6101329500539</c:v>
                </c:pt>
                <c:pt idx="425">
                  <c:v>70.9064650764256</c:v>
                </c:pt>
                <c:pt idx="426">
                  <c:v>70.8670775864452</c:v>
                </c:pt>
                <c:pt idx="427">
                  <c:v>71.035683683905</c:v>
                </c:pt>
                <c:pt idx="428">
                  <c:v>71.0439757870588</c:v>
                </c:pt>
                <c:pt idx="429">
                  <c:v>71.2416042455568</c:v>
                </c:pt>
                <c:pt idx="430">
                  <c:v>71.0999474833467</c:v>
                </c:pt>
                <c:pt idx="431">
                  <c:v>70.5257193399486</c:v>
                </c:pt>
                <c:pt idx="432">
                  <c:v>68.9654219298488</c:v>
                </c:pt>
                <c:pt idx="433">
                  <c:v>68.7380801017165</c:v>
                </c:pt>
                <c:pt idx="434">
                  <c:v>69.3247463998452</c:v>
                </c:pt>
                <c:pt idx="435">
                  <c:v>70.2341137123746</c:v>
                </c:pt>
                <c:pt idx="436">
                  <c:v>70.2341137123746</c:v>
                </c:pt>
                <c:pt idx="437">
                  <c:v>70.8553304403107</c:v>
                </c:pt>
                <c:pt idx="438">
                  <c:v>71.4067553000359</c:v>
                </c:pt>
                <c:pt idx="439">
                  <c:v>72.1509715580862</c:v>
                </c:pt>
                <c:pt idx="440">
                  <c:v>72.0535393460295</c:v>
                </c:pt>
                <c:pt idx="441">
                  <c:v>72.5102960280826</c:v>
                </c:pt>
                <c:pt idx="442">
                  <c:v>72.7376378562149</c:v>
                </c:pt>
                <c:pt idx="443">
                  <c:v>73.8522347217999</c:v>
                </c:pt>
                <c:pt idx="444">
                  <c:v>73.6262749108599</c:v>
                </c:pt>
                <c:pt idx="445">
                  <c:v>73.8204483263772</c:v>
                </c:pt>
                <c:pt idx="446">
                  <c:v>73.5689211973797</c:v>
                </c:pt>
                <c:pt idx="447">
                  <c:v>74.0526272146826</c:v>
                </c:pt>
                <c:pt idx="448">
                  <c:v>73.30702893944</c:v>
                </c:pt>
                <c:pt idx="449">
                  <c:v>72.6098012659277</c:v>
                </c:pt>
                <c:pt idx="450">
                  <c:v>72.1675557643937</c:v>
                </c:pt>
                <c:pt idx="451">
                  <c:v>73.452831753227</c:v>
                </c:pt>
                <c:pt idx="452">
                  <c:v>73.2890627159402</c:v>
                </c:pt>
                <c:pt idx="453">
                  <c:v>73.0444456729042</c:v>
                </c:pt>
                <c:pt idx="454">
                  <c:v>71.1635202741922</c:v>
                </c:pt>
                <c:pt idx="455">
                  <c:v>70.84289228558</c:v>
                </c:pt>
                <c:pt idx="456">
                  <c:v>71.8966803947041</c:v>
                </c:pt>
                <c:pt idx="457">
                  <c:v>72.8820586528096</c:v>
                </c:pt>
                <c:pt idx="458">
                  <c:v>73.0789961027115</c:v>
                </c:pt>
                <c:pt idx="459">
                  <c:v>73.6255839022637</c:v>
                </c:pt>
                <c:pt idx="460">
                  <c:v>74.040880068548</c:v>
                </c:pt>
                <c:pt idx="461">
                  <c:v>74.364963100141</c:v>
                </c:pt>
                <c:pt idx="462">
                  <c:v>74.1576605212969</c:v>
                </c:pt>
                <c:pt idx="463">
                  <c:v>75.4595207164377</c:v>
                </c:pt>
                <c:pt idx="464">
                  <c:v>75.7732386190884</c:v>
                </c:pt>
                <c:pt idx="465">
                  <c:v>75.1596229857099</c:v>
                </c:pt>
                <c:pt idx="466">
                  <c:v>75.8665247795683</c:v>
                </c:pt>
                <c:pt idx="467">
                  <c:v>75.3931838912076</c:v>
                </c:pt>
                <c:pt idx="468">
                  <c:v>74.7256695873297</c:v>
                </c:pt>
                <c:pt idx="469">
                  <c:v>75.5210204814948</c:v>
                </c:pt>
                <c:pt idx="470">
                  <c:v>74.6012880400232</c:v>
                </c:pt>
                <c:pt idx="471">
                  <c:v>73.7264711573012</c:v>
                </c:pt>
                <c:pt idx="472">
                  <c:v>73.4825451228613</c:v>
                </c:pt>
                <c:pt idx="473">
                  <c:v>72.046629260068</c:v>
                </c:pt>
                <c:pt idx="474">
                  <c:v>73.669117443821</c:v>
                </c:pt>
                <c:pt idx="475">
                  <c:v>71.6009287155532</c:v>
                </c:pt>
                <c:pt idx="476">
                  <c:v>72.0639044749717</c:v>
                </c:pt>
                <c:pt idx="477">
                  <c:v>72.2387296497969</c:v>
                </c:pt>
                <c:pt idx="478">
                  <c:v>72.3140495867769</c:v>
                </c:pt>
                <c:pt idx="479">
                  <c:v>73.7050498908206</c:v>
                </c:pt>
                <c:pt idx="480">
                  <c:v>73.8895491859919</c:v>
                </c:pt>
                <c:pt idx="481">
                  <c:v>75.5320766190331</c:v>
                </c:pt>
                <c:pt idx="482">
                  <c:v>75.5279305674563</c:v>
                </c:pt>
                <c:pt idx="483">
                  <c:v>75.9079852953371</c:v>
                </c:pt>
                <c:pt idx="484">
                  <c:v>75.1292186074795</c:v>
                </c:pt>
                <c:pt idx="485">
                  <c:v>75.5604079714752</c:v>
                </c:pt>
                <c:pt idx="486">
                  <c:v>76.6535835705796</c:v>
                </c:pt>
                <c:pt idx="487">
                  <c:v>76.7233754387905</c:v>
                </c:pt>
                <c:pt idx="488">
                  <c:v>76.688134000387</c:v>
                </c:pt>
                <c:pt idx="489">
                  <c:v>75.658531192128</c:v>
                </c:pt>
                <c:pt idx="490">
                  <c:v>75.4152961662843</c:v>
                </c:pt>
                <c:pt idx="491">
                  <c:v>76.4421349401587</c:v>
                </c:pt>
                <c:pt idx="492">
                  <c:v>76.401365432986</c:v>
                </c:pt>
                <c:pt idx="493">
                  <c:v>76.7454877138672</c:v>
                </c:pt>
                <c:pt idx="494">
                  <c:v>76.7454877138672</c:v>
                </c:pt>
                <c:pt idx="495">
                  <c:v>75.4228972608419</c:v>
                </c:pt>
                <c:pt idx="496">
                  <c:v>75.7089748196468</c:v>
                </c:pt>
                <c:pt idx="497">
                  <c:v>76.6231791923491</c:v>
                </c:pt>
                <c:pt idx="498">
                  <c:v>76.6494375190027</c:v>
                </c:pt>
                <c:pt idx="499">
                  <c:v>76.0054175073938</c:v>
                </c:pt>
                <c:pt idx="500">
                  <c:v>76.4241687166588</c:v>
                </c:pt>
                <c:pt idx="501">
                  <c:v>76.2355233699107</c:v>
                </c:pt>
                <c:pt idx="502">
                  <c:v>75.4533016390724</c:v>
                </c:pt>
                <c:pt idx="503">
                  <c:v>75.7303960861273</c:v>
                </c:pt>
                <c:pt idx="504">
                  <c:v>76.1733325962575</c:v>
                </c:pt>
                <c:pt idx="505">
                  <c:v>76.4538820862932</c:v>
                </c:pt>
                <c:pt idx="506">
                  <c:v>76.9859587053263</c:v>
                </c:pt>
                <c:pt idx="507">
                  <c:v>76.5589153929075</c:v>
                </c:pt>
                <c:pt idx="508">
                  <c:v>76.6452914674259</c:v>
                </c:pt>
                <c:pt idx="509">
                  <c:v>75.7393791978772</c:v>
                </c:pt>
                <c:pt idx="510">
                  <c:v>76.1816246994113</c:v>
                </c:pt>
                <c:pt idx="511">
                  <c:v>76.9818126537494</c:v>
                </c:pt>
                <c:pt idx="512">
                  <c:v>77.2561430664197</c:v>
                </c:pt>
                <c:pt idx="513">
                  <c:v>77.4337322756295</c:v>
                </c:pt>
                <c:pt idx="514">
                  <c:v>77.8407363387601</c:v>
                </c:pt>
                <c:pt idx="515">
                  <c:v>77.9305674562592</c:v>
                </c:pt>
                <c:pt idx="516">
                  <c:v>77.8206970894718</c:v>
                </c:pt>
                <c:pt idx="517">
                  <c:v>77.8365902871832</c:v>
                </c:pt>
                <c:pt idx="518">
                  <c:v>77.0543685563448</c:v>
                </c:pt>
                <c:pt idx="519">
                  <c:v>78.2905829348517</c:v>
                </c:pt>
                <c:pt idx="520">
                  <c:v>78.5345089692916</c:v>
                </c:pt>
                <c:pt idx="521">
                  <c:v>78.5773515022527</c:v>
                </c:pt>
                <c:pt idx="522">
                  <c:v>78.8910694049034</c:v>
                </c:pt>
                <c:pt idx="523">
                  <c:v>79.1191022416319</c:v>
                </c:pt>
                <c:pt idx="524">
                  <c:v>79.2573039608613</c:v>
                </c:pt>
                <c:pt idx="525">
                  <c:v>78.5137787114072</c:v>
                </c:pt>
                <c:pt idx="526">
                  <c:v>79.1674728433622</c:v>
                </c:pt>
                <c:pt idx="527">
                  <c:v>79.359573233091</c:v>
                </c:pt>
                <c:pt idx="528">
                  <c:v>78.5006495480804</c:v>
                </c:pt>
                <c:pt idx="529">
                  <c:v>78.5006495480804</c:v>
                </c:pt>
                <c:pt idx="530">
                  <c:v>79.481881754609</c:v>
                </c:pt>
                <c:pt idx="531">
                  <c:v>78.6395422759059</c:v>
                </c:pt>
                <c:pt idx="532">
                  <c:v>77.1497277426131</c:v>
                </c:pt>
                <c:pt idx="533">
                  <c:v>75.4415544929379</c:v>
                </c:pt>
                <c:pt idx="534">
                  <c:v>75.7884408082037</c:v>
                </c:pt>
                <c:pt idx="535">
                  <c:v>75.4698858453799</c:v>
                </c:pt>
                <c:pt idx="536">
                  <c:v>75.8381934271262</c:v>
                </c:pt>
                <c:pt idx="537">
                  <c:v>74.9419552779237</c:v>
                </c:pt>
                <c:pt idx="538">
                  <c:v>74.205340114431</c:v>
                </c:pt>
                <c:pt idx="539">
                  <c:v>75.263274275132</c:v>
                </c:pt>
                <c:pt idx="540">
                  <c:v>76.2396694214876</c:v>
                </c:pt>
                <c:pt idx="541">
                  <c:v>75.822991238011</c:v>
                </c:pt>
                <c:pt idx="542">
                  <c:v>73.4618148649769</c:v>
                </c:pt>
                <c:pt idx="543">
                  <c:v>73.673954503994</c:v>
                </c:pt>
                <c:pt idx="544">
                  <c:v>73.0216423892313</c:v>
                </c:pt>
                <c:pt idx="545">
                  <c:v>73.9738522347218</c:v>
                </c:pt>
                <c:pt idx="546">
                  <c:v>73.8087011802427</c:v>
                </c:pt>
                <c:pt idx="547">
                  <c:v>74.5232040686586</c:v>
                </c:pt>
                <c:pt idx="548">
                  <c:v>74.3186655241991</c:v>
                </c:pt>
                <c:pt idx="549">
                  <c:v>75.6564581663396</c:v>
                </c:pt>
                <c:pt idx="550">
                  <c:v>75.9770861549518</c:v>
                </c:pt>
                <c:pt idx="551">
                  <c:v>76.4773763785621</c:v>
                </c:pt>
                <c:pt idx="552">
                  <c:v>76.6446004588297</c:v>
                </c:pt>
                <c:pt idx="553">
                  <c:v>76.5644434616767</c:v>
                </c:pt>
                <c:pt idx="554">
                  <c:v>75.6378009342436</c:v>
                </c:pt>
                <c:pt idx="555">
                  <c:v>76.373034080544</c:v>
                </c:pt>
                <c:pt idx="556">
                  <c:v>76.213411094834</c:v>
                </c:pt>
                <c:pt idx="557">
                  <c:v>76.3212084358329</c:v>
                </c:pt>
                <c:pt idx="558">
                  <c:v>77.0965200807098</c:v>
                </c:pt>
                <c:pt idx="559">
                  <c:v>77.276182315708</c:v>
                </c:pt>
                <c:pt idx="560">
                  <c:v>77.3093507283231</c:v>
                </c:pt>
                <c:pt idx="561">
                  <c:v>77.5981923215125</c:v>
                </c:pt>
                <c:pt idx="562">
                  <c:v>78.6844578346555</c:v>
                </c:pt>
                <c:pt idx="563">
                  <c:v>78.6713286713287</c:v>
                </c:pt>
                <c:pt idx="564">
                  <c:v>78.8053843389812</c:v>
                </c:pt>
                <c:pt idx="565">
                  <c:v>79.1626357831891</c:v>
                </c:pt>
                <c:pt idx="566">
                  <c:v>79.4825727632052</c:v>
                </c:pt>
                <c:pt idx="567">
                  <c:v>79.4652975483015</c:v>
                </c:pt>
                <c:pt idx="568">
                  <c:v>79.5012299953011</c:v>
                </c:pt>
                <c:pt idx="569">
                  <c:v>80.1196826888527</c:v>
                </c:pt>
                <c:pt idx="570">
                  <c:v>80.5861134912518</c:v>
                </c:pt>
                <c:pt idx="571">
                  <c:v>80.5591641560021</c:v>
                </c:pt>
                <c:pt idx="572">
                  <c:v>80.1500870670831</c:v>
                </c:pt>
                <c:pt idx="573">
                  <c:v>80.5584731474059</c:v>
                </c:pt>
                <c:pt idx="574">
                  <c:v>81.1361563337848</c:v>
                </c:pt>
                <c:pt idx="575">
                  <c:v>80.69045578927</c:v>
                </c:pt>
                <c:pt idx="576">
                  <c:v>80.5529450786368</c:v>
                </c:pt>
                <c:pt idx="577">
                  <c:v>80.6123718179054</c:v>
                </c:pt>
                <c:pt idx="578">
                  <c:v>81.0705105171508</c:v>
                </c:pt>
                <c:pt idx="579">
                  <c:v>81.0739655601316</c:v>
                </c:pt>
                <c:pt idx="580">
                  <c:v>80.8086182592112</c:v>
                </c:pt>
                <c:pt idx="581">
                  <c:v>81.4077227120705</c:v>
                </c:pt>
                <c:pt idx="582">
                  <c:v>81.4077227120705</c:v>
                </c:pt>
                <c:pt idx="583">
                  <c:v>82.0524337322756</c:v>
                </c:pt>
                <c:pt idx="584">
                  <c:v>82.190635451505</c:v>
                </c:pt>
                <c:pt idx="585">
                  <c:v>81.7076204427983</c:v>
                </c:pt>
                <c:pt idx="586">
                  <c:v>81.9833328726609</c:v>
                </c:pt>
                <c:pt idx="587">
                  <c:v>82.5319936980016</c:v>
                </c:pt>
                <c:pt idx="588">
                  <c:v>82.6777965117886</c:v>
                </c:pt>
                <c:pt idx="589">
                  <c:v>82.7344592166726</c:v>
                </c:pt>
                <c:pt idx="590">
                  <c:v>83.6569556925288</c:v>
                </c:pt>
                <c:pt idx="591">
                  <c:v>83.7274385693358</c:v>
                </c:pt>
                <c:pt idx="592">
                  <c:v>82.3772077724647</c:v>
                </c:pt>
                <c:pt idx="593">
                  <c:v>82.7496614057879</c:v>
                </c:pt>
                <c:pt idx="594">
                  <c:v>83.4164847010697</c:v>
                </c:pt>
                <c:pt idx="595">
                  <c:v>83.3307996351475</c:v>
                </c:pt>
                <c:pt idx="596">
                  <c:v>83.5201359904917</c:v>
                </c:pt>
                <c:pt idx="597">
                  <c:v>84.1150943917742</c:v>
                </c:pt>
                <c:pt idx="598">
                  <c:v>83.7536968959894</c:v>
                </c:pt>
                <c:pt idx="599">
                  <c:v>81.795378534509</c:v>
                </c:pt>
                <c:pt idx="600">
                  <c:v>82.3240001105614</c:v>
                </c:pt>
                <c:pt idx="601">
                  <c:v>83.38953536582</c:v>
                </c:pt>
                <c:pt idx="602">
                  <c:v>82.0006080875646</c:v>
                </c:pt>
                <c:pt idx="603">
                  <c:v>83.0771994803615</c:v>
                </c:pt>
                <c:pt idx="604">
                  <c:v>81.0967688438044</c:v>
                </c:pt>
                <c:pt idx="605">
                  <c:v>80.5626191989828</c:v>
                </c:pt>
                <c:pt idx="606">
                  <c:v>77.9561347743166</c:v>
                </c:pt>
                <c:pt idx="607">
                  <c:v>76.7627629287708</c:v>
                </c:pt>
                <c:pt idx="608">
                  <c:v>80.1383399209486</c:v>
                </c:pt>
                <c:pt idx="609">
                  <c:v>79.8660825340667</c:v>
                </c:pt>
                <c:pt idx="610">
                  <c:v>80.9634041847481</c:v>
                </c:pt>
                <c:pt idx="611">
                  <c:v>79.9794079438348</c:v>
                </c:pt>
                <c:pt idx="612">
                  <c:v>78.4764642472152</c:v>
                </c:pt>
                <c:pt idx="613">
                  <c:v>78.5635313303297</c:v>
                </c:pt>
                <c:pt idx="614">
                  <c:v>77.4482434561486</c:v>
                </c:pt>
                <c:pt idx="615">
                  <c:v>77.0509135133641</c:v>
                </c:pt>
                <c:pt idx="616">
                  <c:v>74.0477901545095</c:v>
                </c:pt>
                <c:pt idx="617">
                  <c:v>75.1603139943061</c:v>
                </c:pt>
                <c:pt idx="618">
                  <c:v>74.1901379253158</c:v>
                </c:pt>
                <c:pt idx="619">
                  <c:v>74.2163962519694</c:v>
                </c:pt>
                <c:pt idx="620">
                  <c:v>73.796263025512</c:v>
                </c:pt>
                <c:pt idx="621">
                  <c:v>76.2223942065839</c:v>
                </c:pt>
                <c:pt idx="622">
                  <c:v>75.2791674728434</c:v>
                </c:pt>
                <c:pt idx="623">
                  <c:v>75.2791674728434</c:v>
                </c:pt>
                <c:pt idx="624">
                  <c:v>73.9869813980486</c:v>
                </c:pt>
                <c:pt idx="625">
                  <c:v>75.8990021835872</c:v>
                </c:pt>
                <c:pt idx="626">
                  <c:v>76.2065010088726</c:v>
                </c:pt>
                <c:pt idx="627">
                  <c:v>73.5841233864949</c:v>
                </c:pt>
                <c:pt idx="628">
                  <c:v>72.5883799994472</c:v>
                </c:pt>
                <c:pt idx="629">
                  <c:v>73.3851129108046</c:v>
                </c:pt>
                <c:pt idx="630">
                  <c:v>72.9490864866359</c:v>
                </c:pt>
                <c:pt idx="631">
                  <c:v>75.1015782636336</c:v>
                </c:pt>
                <c:pt idx="632">
                  <c:v>75.4304983553995</c:v>
                </c:pt>
                <c:pt idx="633">
                  <c:v>75.2943696619586</c:v>
                </c:pt>
                <c:pt idx="634">
                  <c:v>77.0633516680948</c:v>
                </c:pt>
                <c:pt idx="635">
                  <c:v>77.0205091351336</c:v>
                </c:pt>
                <c:pt idx="636">
                  <c:v>77.1193233643827</c:v>
                </c:pt>
                <c:pt idx="637">
                  <c:v>77.2209016280163</c:v>
                </c:pt>
                <c:pt idx="638">
                  <c:v>76.9230769230769</c:v>
                </c:pt>
                <c:pt idx="639">
                  <c:v>75.68686254457</c:v>
                </c:pt>
                <c:pt idx="640">
                  <c:v>75.46090273363</c:v>
                </c:pt>
                <c:pt idx="641">
                  <c:v>74.1929019597004</c:v>
                </c:pt>
                <c:pt idx="642">
                  <c:v>74.4050415987175</c:v>
                </c:pt>
                <c:pt idx="643">
                  <c:v>74.2537107161613</c:v>
                </c:pt>
                <c:pt idx="644">
                  <c:v>71.9505790652036</c:v>
                </c:pt>
                <c:pt idx="645">
                  <c:v>71.2229470134608</c:v>
                </c:pt>
                <c:pt idx="646">
                  <c:v>70.9921501423478</c:v>
                </c:pt>
                <c:pt idx="647">
                  <c:v>70.6611570247934</c:v>
                </c:pt>
                <c:pt idx="648">
                  <c:v>70.6611570247934</c:v>
                </c:pt>
                <c:pt idx="649">
                  <c:v>71.0398297354819</c:v>
                </c:pt>
                <c:pt idx="650">
                  <c:v>73.2655684236712</c:v>
                </c:pt>
                <c:pt idx="651">
                  <c:v>73.9551950026258</c:v>
                </c:pt>
                <c:pt idx="652">
                  <c:v>74.4879626302551</c:v>
                </c:pt>
                <c:pt idx="653">
                  <c:v>74.5425523093507</c:v>
                </c:pt>
                <c:pt idx="654">
                  <c:v>75.6889355703585</c:v>
                </c:pt>
                <c:pt idx="655">
                  <c:v>75.677188424224</c:v>
                </c:pt>
                <c:pt idx="656">
                  <c:v>75.7677105503192</c:v>
                </c:pt>
                <c:pt idx="657">
                  <c:v>73.5841233864949</c:v>
                </c:pt>
                <c:pt idx="658">
                  <c:v>74.0242958622405</c:v>
                </c:pt>
                <c:pt idx="659">
                  <c:v>74.8693993753282</c:v>
                </c:pt>
                <c:pt idx="660">
                  <c:v>73.9095884352801</c:v>
                </c:pt>
                <c:pt idx="661">
                  <c:v>75.573537134802</c:v>
                </c:pt>
                <c:pt idx="662">
                  <c:v>76.1947538627381</c:v>
                </c:pt>
                <c:pt idx="663">
                  <c:v>77.0481494789795</c:v>
                </c:pt>
                <c:pt idx="664">
                  <c:v>76.9673014732303</c:v>
                </c:pt>
                <c:pt idx="665">
                  <c:v>76.434533845601</c:v>
                </c:pt>
                <c:pt idx="666">
                  <c:v>76.1166698913735</c:v>
                </c:pt>
                <c:pt idx="667">
                  <c:v>76.1215069515465</c:v>
                </c:pt>
                <c:pt idx="668">
                  <c:v>77.7978938057989</c:v>
                </c:pt>
                <c:pt idx="669">
                  <c:v>77.4247491638796</c:v>
                </c:pt>
                <c:pt idx="670">
                  <c:v>77.8932529920672</c:v>
                </c:pt>
                <c:pt idx="671">
                  <c:v>77.7944387628182</c:v>
                </c:pt>
                <c:pt idx="672">
                  <c:v>77.506288178225</c:v>
                </c:pt>
                <c:pt idx="673">
                  <c:v>77.9312584648553</c:v>
                </c:pt>
                <c:pt idx="674">
                  <c:v>77.4662096796484</c:v>
                </c:pt>
                <c:pt idx="675">
                  <c:v>75.2833135244202</c:v>
                </c:pt>
                <c:pt idx="676">
                  <c:v>74.8783824870781</c:v>
                </c:pt>
                <c:pt idx="677">
                  <c:v>74.5771027391581</c:v>
                </c:pt>
                <c:pt idx="678">
                  <c:v>74.586085850908</c:v>
                </c:pt>
                <c:pt idx="679">
                  <c:v>75.4954531634373</c:v>
                </c:pt>
                <c:pt idx="680">
                  <c:v>75.6073965560132</c:v>
                </c:pt>
                <c:pt idx="681">
                  <c:v>74.3269576273529</c:v>
                </c:pt>
                <c:pt idx="682">
                  <c:v>74.054700240471</c:v>
                </c:pt>
                <c:pt idx="683">
                  <c:v>73.7554935183394</c:v>
                </c:pt>
                <c:pt idx="684">
                  <c:v>72.6851212029078</c:v>
                </c:pt>
                <c:pt idx="685">
                  <c:v>72.9242101771746</c:v>
                </c:pt>
                <c:pt idx="686">
                  <c:v>72.3638022056994</c:v>
                </c:pt>
                <c:pt idx="687">
                  <c:v>73.5640841372067</c:v>
                </c:pt>
                <c:pt idx="688">
                  <c:v>72.4812736670444</c:v>
                </c:pt>
                <c:pt idx="689">
                  <c:v>72.5096050194864</c:v>
                </c:pt>
                <c:pt idx="690">
                  <c:v>74.6489676331574</c:v>
                </c:pt>
                <c:pt idx="691">
                  <c:v>75.3268470659775</c:v>
                </c:pt>
                <c:pt idx="692">
                  <c:v>76.3225904530252</c:v>
                </c:pt>
                <c:pt idx="693">
                  <c:v>76.3225904530252</c:v>
                </c:pt>
                <c:pt idx="694">
                  <c:v>75.4470825617071</c:v>
                </c:pt>
                <c:pt idx="695">
                  <c:v>75.9328616047984</c:v>
                </c:pt>
                <c:pt idx="696">
                  <c:v>76.2997871693524</c:v>
                </c:pt>
                <c:pt idx="697">
                  <c:v>76.6708587854833</c:v>
                </c:pt>
                <c:pt idx="698">
                  <c:v>77.5242544017248</c:v>
                </c:pt>
                <c:pt idx="699">
                  <c:v>77.468973714033</c:v>
                </c:pt>
                <c:pt idx="700">
                  <c:v>77.7433041267033</c:v>
                </c:pt>
                <c:pt idx="701">
                  <c:v>77.7149727742613</c:v>
                </c:pt>
                <c:pt idx="702">
                  <c:v>77.779236573703</c:v>
                </c:pt>
                <c:pt idx="703">
                  <c:v>78.9622432903065</c:v>
                </c:pt>
                <c:pt idx="704">
                  <c:v>78.7597777716355</c:v>
                </c:pt>
                <c:pt idx="705">
                  <c:v>78.3797230437547</c:v>
                </c:pt>
                <c:pt idx="706">
                  <c:v>77.7267199203958</c:v>
                </c:pt>
                <c:pt idx="707">
                  <c:v>79.3740844136101</c:v>
                </c:pt>
                <c:pt idx="708">
                  <c:v>78.9242378175185</c:v>
                </c:pt>
                <c:pt idx="709">
                  <c:v>79.3070565797838</c:v>
                </c:pt>
                <c:pt idx="710">
                  <c:v>79.1018270267282</c:v>
                </c:pt>
                <c:pt idx="711">
                  <c:v>78.8579009922883</c:v>
                </c:pt>
                <c:pt idx="712">
                  <c:v>79.2061693247464</c:v>
                </c:pt>
                <c:pt idx="713">
                  <c:v>78.5697504076951</c:v>
                </c:pt>
                <c:pt idx="714">
                  <c:v>80.2088227977556</c:v>
                </c:pt>
                <c:pt idx="715">
                  <c:v>80.1549241272561</c:v>
                </c:pt>
                <c:pt idx="716">
                  <c:v>80.0229414853921</c:v>
                </c:pt>
                <c:pt idx="717">
                  <c:v>80.5128665800603</c:v>
                </c:pt>
                <c:pt idx="718">
                  <c:v>80.5246137261947</c:v>
                </c:pt>
                <c:pt idx="719">
                  <c:v>80.8321125514801</c:v>
                </c:pt>
                <c:pt idx="720">
                  <c:v>81.4077227120705</c:v>
                </c:pt>
                <c:pt idx="721">
                  <c:v>81.1112800243235</c:v>
                </c:pt>
                <c:pt idx="722">
                  <c:v>81.2757400702065</c:v>
                </c:pt>
                <c:pt idx="723">
                  <c:v>81.8644793941237</c:v>
                </c:pt>
                <c:pt idx="724">
                  <c:v>80.5646922247713</c:v>
                </c:pt>
                <c:pt idx="725">
                  <c:v>81.4125597722436</c:v>
                </c:pt>
                <c:pt idx="726">
                  <c:v>81.5569805688383</c:v>
                </c:pt>
                <c:pt idx="727">
                  <c:v>81.7518449929517</c:v>
                </c:pt>
                <c:pt idx="728">
                  <c:v>81.927361176373</c:v>
                </c:pt>
                <c:pt idx="729">
                  <c:v>81.9287431935653</c:v>
                </c:pt>
                <c:pt idx="730">
                  <c:v>81.7083114513945</c:v>
                </c:pt>
                <c:pt idx="731">
                  <c:v>81.800215594682</c:v>
                </c:pt>
                <c:pt idx="732">
                  <c:v>81.7642831476823</c:v>
                </c:pt>
                <c:pt idx="733">
                  <c:v>81.8416761104508</c:v>
                </c:pt>
                <c:pt idx="734">
                  <c:v>82.4767130103098</c:v>
                </c:pt>
                <c:pt idx="735">
                  <c:v>82.7800657840183</c:v>
                </c:pt>
                <c:pt idx="736">
                  <c:v>84.3762956411178</c:v>
                </c:pt>
                <c:pt idx="737">
                  <c:v>84.7072887586721</c:v>
                </c:pt>
                <c:pt idx="738">
                  <c:v>84.5276265236739</c:v>
                </c:pt>
                <c:pt idx="739">
                  <c:v>83.8469830564692</c:v>
                </c:pt>
                <c:pt idx="740">
                  <c:v>84.2139086210232</c:v>
                </c:pt>
                <c:pt idx="741">
                  <c:v>83.8566571768153</c:v>
                </c:pt>
                <c:pt idx="742">
                  <c:v>82.8664418585367</c:v>
                </c:pt>
                <c:pt idx="743">
                  <c:v>82.7655546034993</c:v>
                </c:pt>
                <c:pt idx="744">
                  <c:v>81.4243069183781</c:v>
                </c:pt>
                <c:pt idx="745">
                  <c:v>81.4415821332817</c:v>
                </c:pt>
                <c:pt idx="746">
                  <c:v>82.6923076923077</c:v>
                </c:pt>
                <c:pt idx="747">
                  <c:v>82.9023743055364</c:v>
                </c:pt>
                <c:pt idx="748">
                  <c:v>82.7717736808646</c:v>
                </c:pt>
                <c:pt idx="749">
                  <c:v>81.5894579728572</c:v>
                </c:pt>
                <c:pt idx="750">
                  <c:v>82.8070151192681</c:v>
                </c:pt>
                <c:pt idx="751">
                  <c:v>82.8070151192681</c:v>
                </c:pt>
                <c:pt idx="752">
                  <c:v>82.1885624257166</c:v>
                </c:pt>
                <c:pt idx="753">
                  <c:v>82.0752370159485</c:v>
                </c:pt>
                <c:pt idx="754">
                  <c:v>81.5770198181265</c:v>
                </c:pt>
                <c:pt idx="755">
                  <c:v>83.3404737554935</c:v>
                </c:pt>
                <c:pt idx="756">
                  <c:v>84.4087730451367</c:v>
                </c:pt>
                <c:pt idx="757">
                  <c:v>84.6285137787114</c:v>
                </c:pt>
                <c:pt idx="758">
                  <c:v>84.518643411924</c:v>
                </c:pt>
                <c:pt idx="759">
                  <c:v>84.5621769534813</c:v>
                </c:pt>
                <c:pt idx="760">
                  <c:v>84.8752038475359</c:v>
                </c:pt>
                <c:pt idx="761">
                  <c:v>85.2013599049172</c:v>
                </c:pt>
                <c:pt idx="762">
                  <c:v>85.7127062660659</c:v>
                </c:pt>
                <c:pt idx="763">
                  <c:v>85.7168523176428</c:v>
                </c:pt>
                <c:pt idx="764">
                  <c:v>85.7949362890074</c:v>
                </c:pt>
                <c:pt idx="765">
                  <c:v>85.355454821858</c:v>
                </c:pt>
                <c:pt idx="766">
                  <c:v>85.8833853893142</c:v>
                </c:pt>
                <c:pt idx="767">
                  <c:v>85.9552502833135</c:v>
                </c:pt>
                <c:pt idx="768">
                  <c:v>86.1743000082921</c:v>
                </c:pt>
                <c:pt idx="769">
                  <c:v>86.6939384725946</c:v>
                </c:pt>
                <c:pt idx="770">
                  <c:v>86.9869261173609</c:v>
                </c:pt>
                <c:pt idx="771">
                  <c:v>86.8438873379585</c:v>
                </c:pt>
                <c:pt idx="772">
                  <c:v>86.8438873379585</c:v>
                </c:pt>
                <c:pt idx="773">
                  <c:v>86.8970949998618</c:v>
                </c:pt>
                <c:pt idx="774">
                  <c:v>86.964122833688</c:v>
                </c:pt>
                <c:pt idx="775">
                  <c:v>87.0518809253987</c:v>
                </c:pt>
                <c:pt idx="776">
                  <c:v>86.9205892921308</c:v>
                </c:pt>
                <c:pt idx="777">
                  <c:v>86.9040050858233</c:v>
                </c:pt>
                <c:pt idx="778">
                  <c:v>87.8886923353327</c:v>
                </c:pt>
                <c:pt idx="779">
                  <c:v>87.7719118825838</c:v>
                </c:pt>
                <c:pt idx="780">
                  <c:v>88.2113933497333</c:v>
                </c:pt>
                <c:pt idx="781">
                  <c:v>88.0241300201774</c:v>
                </c:pt>
                <c:pt idx="782">
                  <c:v>87.8617430000829</c:v>
                </c:pt>
                <c:pt idx="783">
                  <c:v>87.7408164957572</c:v>
                </c:pt>
                <c:pt idx="784">
                  <c:v>88.0676635617347</c:v>
                </c:pt>
                <c:pt idx="785">
                  <c:v>88.8609414301114</c:v>
                </c:pt>
                <c:pt idx="786">
                  <c:v>88.7089195389591</c:v>
                </c:pt>
                <c:pt idx="787">
                  <c:v>89.3639956881064</c:v>
                </c:pt>
                <c:pt idx="788">
                  <c:v>89.3639956881064</c:v>
                </c:pt>
                <c:pt idx="789">
                  <c:v>89.4869952182205</c:v>
                </c:pt>
                <c:pt idx="790">
                  <c:v>88.581773957268</c:v>
                </c:pt>
                <c:pt idx="791">
                  <c:v>88.4670665303076</c:v>
                </c:pt>
                <c:pt idx="792">
                  <c:v>88.680588186517</c:v>
                </c:pt>
                <c:pt idx="793">
                  <c:v>89.1981536250311</c:v>
                </c:pt>
                <c:pt idx="794">
                  <c:v>89.2216479173001</c:v>
                </c:pt>
                <c:pt idx="795">
                  <c:v>89.5982476022002</c:v>
                </c:pt>
                <c:pt idx="796">
                  <c:v>89.7993311036789</c:v>
                </c:pt>
                <c:pt idx="797">
                  <c:v>88.196191160618</c:v>
                </c:pt>
                <c:pt idx="798">
                  <c:v>88.8719975676497</c:v>
                </c:pt>
                <c:pt idx="799">
                  <c:v>90.3555930235772</c:v>
                </c:pt>
                <c:pt idx="800">
                  <c:v>90.1095939633489</c:v>
                </c:pt>
                <c:pt idx="801">
                  <c:v>90.321733602366</c:v>
                </c:pt>
                <c:pt idx="802">
                  <c:v>90.5822438431134</c:v>
                </c:pt>
                <c:pt idx="803">
                  <c:v>91.1474888747616</c:v>
                </c:pt>
                <c:pt idx="804">
                  <c:v>91.5289256198347</c:v>
                </c:pt>
                <c:pt idx="805">
                  <c:v>91.2739434478565</c:v>
                </c:pt>
                <c:pt idx="806">
                  <c:v>91.342353298875</c:v>
                </c:pt>
                <c:pt idx="807">
                  <c:v>91.84540755687</c:v>
                </c:pt>
                <c:pt idx="808">
                  <c:v>92.0644572818486</c:v>
                </c:pt>
                <c:pt idx="809">
                  <c:v>91.7666325769092</c:v>
                </c:pt>
                <c:pt idx="810">
                  <c:v>92.3408607203074</c:v>
                </c:pt>
                <c:pt idx="811">
                  <c:v>92.6248652533237</c:v>
                </c:pt>
                <c:pt idx="812">
                  <c:v>92.8031454711297</c:v>
                </c:pt>
                <c:pt idx="813">
                  <c:v>92.8031454711297</c:v>
                </c:pt>
                <c:pt idx="814">
                  <c:v>90.8980347715526</c:v>
                </c:pt>
                <c:pt idx="815">
                  <c:v>90.3424638602504</c:v>
                </c:pt>
                <c:pt idx="816">
                  <c:v>90.2526327427513</c:v>
                </c:pt>
                <c:pt idx="817">
                  <c:v>91.2048425882418</c:v>
                </c:pt>
                <c:pt idx="818">
                  <c:v>91.7120428978136</c:v>
                </c:pt>
                <c:pt idx="819">
                  <c:v>90.2685259404627</c:v>
                </c:pt>
                <c:pt idx="820">
                  <c:v>90.4143287542497</c:v>
                </c:pt>
                <c:pt idx="821">
                  <c:v>91.9711711213687</c:v>
                </c:pt>
                <c:pt idx="822">
                  <c:v>91.2926006799525</c:v>
                </c:pt>
                <c:pt idx="823">
                  <c:v>90.5311092069985</c:v>
                </c:pt>
                <c:pt idx="824">
                  <c:v>91.3388982558943</c:v>
                </c:pt>
                <c:pt idx="825">
                  <c:v>91.2145167085879</c:v>
                </c:pt>
                <c:pt idx="826">
                  <c:v>89.4932142955858</c:v>
                </c:pt>
                <c:pt idx="827">
                  <c:v>90.1268691782526</c:v>
                </c:pt>
                <c:pt idx="828">
                  <c:v>89.5816633958927</c:v>
                </c:pt>
                <c:pt idx="829">
                  <c:v>88.5783189142873</c:v>
                </c:pt>
                <c:pt idx="830">
                  <c:v>86.8514884325161</c:v>
                </c:pt>
                <c:pt idx="831">
                  <c:v>88.0151469084275</c:v>
                </c:pt>
                <c:pt idx="832">
                  <c:v>88.3938196191161</c:v>
                </c:pt>
                <c:pt idx="833">
                  <c:v>89.7191741065259</c:v>
                </c:pt>
                <c:pt idx="834">
                  <c:v>89.4006191437022</c:v>
                </c:pt>
                <c:pt idx="835">
                  <c:v>89.6611293844495</c:v>
                </c:pt>
                <c:pt idx="836">
                  <c:v>90.4986318029796</c:v>
                </c:pt>
                <c:pt idx="837">
                  <c:v>90.7847093617844</c:v>
                </c:pt>
                <c:pt idx="838">
                  <c:v>90.5352552585754</c:v>
                </c:pt>
                <c:pt idx="839">
                  <c:v>91.1744382100113</c:v>
                </c:pt>
                <c:pt idx="840">
                  <c:v>91.7839077918129</c:v>
                </c:pt>
                <c:pt idx="841">
                  <c:v>91.6159927029492</c:v>
                </c:pt>
                <c:pt idx="842">
                  <c:v>92.0706763592139</c:v>
                </c:pt>
                <c:pt idx="843">
                  <c:v>92.1024627546367</c:v>
                </c:pt>
                <c:pt idx="844">
                  <c:v>92.0858785483291</c:v>
                </c:pt>
                <c:pt idx="845">
                  <c:v>92.2869620498079</c:v>
                </c:pt>
                <c:pt idx="846">
                  <c:v>92.1466873047901</c:v>
                </c:pt>
                <c:pt idx="847">
                  <c:v>91.7776887144476</c:v>
                </c:pt>
                <c:pt idx="848">
                  <c:v>91.5213245252771</c:v>
                </c:pt>
                <c:pt idx="849">
                  <c:v>90.8095856712457</c:v>
                </c:pt>
                <c:pt idx="850">
                  <c:v>90.8268608861494</c:v>
                </c:pt>
                <c:pt idx="851">
                  <c:v>90.834461980707</c:v>
                </c:pt>
                <c:pt idx="852">
                  <c:v>91.1910224163189</c:v>
                </c:pt>
                <c:pt idx="853">
                  <c:v>90.1862959175212</c:v>
                </c:pt>
                <c:pt idx="854">
                  <c:v>90.7031703474391</c:v>
                </c:pt>
                <c:pt idx="855">
                  <c:v>91.9290195970038</c:v>
                </c:pt>
                <c:pt idx="856">
                  <c:v>92.4141076314989</c:v>
                </c:pt>
                <c:pt idx="857">
                  <c:v>92.4141076314989</c:v>
                </c:pt>
                <c:pt idx="858">
                  <c:v>92.2669228005196</c:v>
                </c:pt>
                <c:pt idx="859">
                  <c:v>93.0954421072998</c:v>
                </c:pt>
                <c:pt idx="860">
                  <c:v>93.6772713452555</c:v>
                </c:pt>
                <c:pt idx="861">
                  <c:v>94.0103374885983</c:v>
                </c:pt>
                <c:pt idx="862">
                  <c:v>94.2266231791924</c:v>
                </c:pt>
                <c:pt idx="863">
                  <c:v>94.0614721247132</c:v>
                </c:pt>
                <c:pt idx="864">
                  <c:v>93.7436081704856</c:v>
                </c:pt>
                <c:pt idx="865">
                  <c:v>93.100970176069</c:v>
                </c:pt>
                <c:pt idx="866">
                  <c:v>92.2565576715774</c:v>
                </c:pt>
                <c:pt idx="867">
                  <c:v>92.6089720556124</c:v>
                </c:pt>
                <c:pt idx="868">
                  <c:v>93.0297962906659</c:v>
                </c:pt>
                <c:pt idx="869">
                  <c:v>93.7809226346776</c:v>
                </c:pt>
                <c:pt idx="870">
                  <c:v>92.738881671688</c:v>
                </c:pt>
                <c:pt idx="871">
                  <c:v>93.1928743193565</c:v>
                </c:pt>
                <c:pt idx="872">
                  <c:v>92.4410569667487</c:v>
                </c:pt>
                <c:pt idx="873">
                  <c:v>91.8675198319467</c:v>
                </c:pt>
                <c:pt idx="874">
                  <c:v>91.8336604107355</c:v>
                </c:pt>
                <c:pt idx="875">
                  <c:v>92.6421404682274</c:v>
                </c:pt>
                <c:pt idx="876">
                  <c:v>92.8439149783023</c:v>
                </c:pt>
                <c:pt idx="877">
                  <c:v>92.1301030984825</c:v>
                </c:pt>
                <c:pt idx="878">
                  <c:v>91.0313994306089</c:v>
                </c:pt>
                <c:pt idx="879">
                  <c:v>90.9560794936289</c:v>
                </c:pt>
                <c:pt idx="880">
                  <c:v>91.2456120954145</c:v>
                </c:pt>
                <c:pt idx="881">
                  <c:v>91.6063185826032</c:v>
                </c:pt>
                <c:pt idx="882">
                  <c:v>91.9801542331187</c:v>
                </c:pt>
                <c:pt idx="883">
                  <c:v>91.9801542331187</c:v>
                </c:pt>
                <c:pt idx="884">
                  <c:v>92.9544763536858</c:v>
                </c:pt>
                <c:pt idx="885">
                  <c:v>90.8365350064955</c:v>
                </c:pt>
                <c:pt idx="886">
                  <c:v>90.7252826225158</c:v>
                </c:pt>
                <c:pt idx="887">
                  <c:v>89.8421736366401</c:v>
                </c:pt>
                <c:pt idx="888">
                  <c:v>88.8754526106305</c:v>
                </c:pt>
                <c:pt idx="889">
                  <c:v>88.7904585533044</c:v>
                </c:pt>
                <c:pt idx="890">
                  <c:v>88.4186959285774</c:v>
                </c:pt>
                <c:pt idx="891">
                  <c:v>89.0710080433401</c:v>
                </c:pt>
                <c:pt idx="892">
                  <c:v>87.8258105530833</c:v>
                </c:pt>
                <c:pt idx="893">
                  <c:v>87.8845462837558</c:v>
                </c:pt>
                <c:pt idx="894">
                  <c:v>88.9929240719754</c:v>
                </c:pt>
                <c:pt idx="895">
                  <c:v>87.4416097736256</c:v>
                </c:pt>
                <c:pt idx="896">
                  <c:v>87.5950136819702</c:v>
                </c:pt>
                <c:pt idx="897">
                  <c:v>87.8617430000829</c:v>
                </c:pt>
                <c:pt idx="898">
                  <c:v>88.3357748970397</c:v>
                </c:pt>
                <c:pt idx="899">
                  <c:v>89.5215456480279</c:v>
                </c:pt>
                <c:pt idx="900">
                  <c:v>88.9424804444567</c:v>
                </c:pt>
                <c:pt idx="901">
                  <c:v>88.6909533154592</c:v>
                </c:pt>
                <c:pt idx="902">
                  <c:v>87.6509853782581</c:v>
                </c:pt>
                <c:pt idx="903">
                  <c:v>88.4560103927693</c:v>
                </c:pt>
                <c:pt idx="904">
                  <c:v>89.6010116365848</c:v>
                </c:pt>
                <c:pt idx="905">
                  <c:v>90.3431548688466</c:v>
                </c:pt>
                <c:pt idx="906">
                  <c:v>91.257359241549</c:v>
                </c:pt>
                <c:pt idx="907">
                  <c:v>92.5723486000166</c:v>
                </c:pt>
                <c:pt idx="908">
                  <c:v>92.5723486000166</c:v>
                </c:pt>
                <c:pt idx="909">
                  <c:v>92.4486580613063</c:v>
                </c:pt>
                <c:pt idx="910">
                  <c:v>92.54125321319</c:v>
                </c:pt>
                <c:pt idx="911">
                  <c:v>93.5086652477957</c:v>
                </c:pt>
                <c:pt idx="912">
                  <c:v>92.8577351502253</c:v>
                </c:pt>
                <c:pt idx="913">
                  <c:v>91.1778932529921</c:v>
                </c:pt>
                <c:pt idx="914">
                  <c:v>90.7736532242461</c:v>
                </c:pt>
                <c:pt idx="915">
                  <c:v>91.0555847314741</c:v>
                </c:pt>
                <c:pt idx="916">
                  <c:v>90.444042123884</c:v>
                </c:pt>
                <c:pt idx="917">
                  <c:v>90.9464053732829</c:v>
                </c:pt>
                <c:pt idx="918">
                  <c:v>90.2070261754056</c:v>
                </c:pt>
                <c:pt idx="919">
                  <c:v>91.6781834766024</c:v>
                </c:pt>
                <c:pt idx="920">
                  <c:v>91.6166837115454</c:v>
                </c:pt>
                <c:pt idx="921">
                  <c:v>92.8577351502253</c:v>
                </c:pt>
                <c:pt idx="922">
                  <c:v>92.9420381989552</c:v>
                </c:pt>
                <c:pt idx="923">
                  <c:v>92.4175626744797</c:v>
                </c:pt>
                <c:pt idx="924">
                  <c:v>92.038198955195</c:v>
                </c:pt>
                <c:pt idx="925">
                  <c:v>90.1690207026175</c:v>
                </c:pt>
                <c:pt idx="926">
                  <c:v>89.8774150750435</c:v>
                </c:pt>
                <c:pt idx="927">
                  <c:v>89.2976588628762</c:v>
                </c:pt>
                <c:pt idx="928">
                  <c:v>88.9286602725338</c:v>
                </c:pt>
                <c:pt idx="929">
                  <c:v>86.6559329998065</c:v>
                </c:pt>
                <c:pt idx="930">
                  <c:v>87.0905774067829</c:v>
                </c:pt>
                <c:pt idx="931">
                  <c:v>82.9258685978054</c:v>
                </c:pt>
                <c:pt idx="932">
                  <c:v>82.8781890046712</c:v>
                </c:pt>
                <c:pt idx="933">
                  <c:v>77.3556483042649</c:v>
                </c:pt>
                <c:pt idx="934">
                  <c:v>81.0228309240167</c:v>
                </c:pt>
                <c:pt idx="935">
                  <c:v>77.445479421764</c:v>
                </c:pt>
                <c:pt idx="936">
                  <c:v>81.0304320185743</c:v>
                </c:pt>
                <c:pt idx="937">
                  <c:v>81.456784322397</c:v>
                </c:pt>
                <c:pt idx="938">
                  <c:v>83.2312943973023</c:v>
                </c:pt>
                <c:pt idx="939">
                  <c:v>82.4207413140219</c:v>
                </c:pt>
                <c:pt idx="940">
                  <c:v>82.4981342767904</c:v>
                </c:pt>
                <c:pt idx="941">
                  <c:v>78.8198955195003</c:v>
                </c:pt>
                <c:pt idx="942">
                  <c:v>77.6368888028967</c:v>
                </c:pt>
                <c:pt idx="943">
                  <c:v>77.656928052185</c:v>
                </c:pt>
                <c:pt idx="944">
                  <c:v>80.3193841731391</c:v>
                </c:pt>
                <c:pt idx="945">
                  <c:v>81.3731722822632</c:v>
                </c:pt>
                <c:pt idx="946">
                  <c:v>80.1065535255259</c:v>
                </c:pt>
                <c:pt idx="947">
                  <c:v>81.3178915945714</c:v>
                </c:pt>
                <c:pt idx="948">
                  <c:v>83.6175682025484</c:v>
                </c:pt>
                <c:pt idx="949">
                  <c:v>83.8138146438542</c:v>
                </c:pt>
                <c:pt idx="950">
                  <c:v>84.2263467757539</c:v>
                </c:pt>
                <c:pt idx="951">
                  <c:v>83.2264573371293</c:v>
                </c:pt>
                <c:pt idx="952">
                  <c:v>81.1223361618618</c:v>
                </c:pt>
                <c:pt idx="953">
                  <c:v>81.1223361618618</c:v>
                </c:pt>
                <c:pt idx="954">
                  <c:v>80.5190856574256</c:v>
                </c:pt>
                <c:pt idx="955">
                  <c:v>82.825672351364</c:v>
                </c:pt>
                <c:pt idx="956">
                  <c:v>81.9467094170652</c:v>
                </c:pt>
                <c:pt idx="957">
                  <c:v>79.7582851930678</c:v>
                </c:pt>
                <c:pt idx="958">
                  <c:v>80.3138561043699</c:v>
                </c:pt>
                <c:pt idx="959">
                  <c:v>81.0463252162857</c:v>
                </c:pt>
                <c:pt idx="960">
                  <c:v>82.138809806794</c:v>
                </c:pt>
                <c:pt idx="961">
                  <c:v>83.5505403687222</c:v>
                </c:pt>
                <c:pt idx="962">
                  <c:v>84.0273363000636</c:v>
                </c:pt>
                <c:pt idx="963">
                  <c:v>83.2036540534564</c:v>
                </c:pt>
                <c:pt idx="964">
                  <c:v>83.065452334227</c:v>
                </c:pt>
                <c:pt idx="965">
                  <c:v>80.6241189640399</c:v>
                </c:pt>
                <c:pt idx="966">
                  <c:v>78.0535669863733</c:v>
                </c:pt>
                <c:pt idx="967">
                  <c:v>78.5282898919263</c:v>
                </c:pt>
                <c:pt idx="968">
                  <c:v>80.3608446889079</c:v>
                </c:pt>
                <c:pt idx="969">
                  <c:v>81.2197683739186</c:v>
                </c:pt>
                <c:pt idx="970">
                  <c:v>79.5392354680892</c:v>
                </c:pt>
                <c:pt idx="971">
                  <c:v>80.1846374968905</c:v>
                </c:pt>
                <c:pt idx="972">
                  <c:v>78.1820945852566</c:v>
                </c:pt>
                <c:pt idx="973">
                  <c:v>75.9577379142597</c:v>
                </c:pt>
                <c:pt idx="974">
                  <c:v>77.6659111639349</c:v>
                </c:pt>
                <c:pt idx="975">
                  <c:v>79.0541474335941</c:v>
                </c:pt>
                <c:pt idx="976">
                  <c:v>80.5004284253296</c:v>
                </c:pt>
                <c:pt idx="977">
                  <c:v>79.8432792503939</c:v>
                </c:pt>
                <c:pt idx="978">
                  <c:v>82.5679261450012</c:v>
                </c:pt>
                <c:pt idx="979">
                  <c:v>82.6128417037508</c:v>
                </c:pt>
                <c:pt idx="980">
                  <c:v>83.4220127698389</c:v>
                </c:pt>
                <c:pt idx="981">
                  <c:v>83.1739406838221</c:v>
                </c:pt>
                <c:pt idx="982">
                  <c:v>84.6195306669615</c:v>
                </c:pt>
                <c:pt idx="983">
                  <c:v>82.9804582769009</c:v>
                </c:pt>
                <c:pt idx="984">
                  <c:v>84.6748113546533</c:v>
                </c:pt>
                <c:pt idx="985">
                  <c:v>83.6037480306255</c:v>
                </c:pt>
                <c:pt idx="986">
                  <c:v>83.9844937671025</c:v>
                </c:pt>
                <c:pt idx="987">
                  <c:v>85.5641394178944</c:v>
                </c:pt>
                <c:pt idx="988">
                  <c:v>86.6656071201526</c:v>
                </c:pt>
                <c:pt idx="989">
                  <c:v>84.9284115094392</c:v>
                </c:pt>
                <c:pt idx="990">
                  <c:v>85.8232676414495</c:v>
                </c:pt>
                <c:pt idx="991">
                  <c:v>88.7662732524393</c:v>
                </c:pt>
                <c:pt idx="992">
                  <c:v>88.8001326736505</c:v>
                </c:pt>
                <c:pt idx="993">
                  <c:v>86.6041073550955</c:v>
                </c:pt>
                <c:pt idx="994">
                  <c:v>84.1841952513889</c:v>
                </c:pt>
                <c:pt idx="995">
                  <c:v>85.5399541170292</c:v>
                </c:pt>
                <c:pt idx="996">
                  <c:v>87.1465491030709</c:v>
                </c:pt>
                <c:pt idx="997">
                  <c:v>86.5992702949225</c:v>
                </c:pt>
                <c:pt idx="998">
                  <c:v>87.1444760772824</c:v>
                </c:pt>
                <c:pt idx="999">
                  <c:v>88.1671687995799</c:v>
                </c:pt>
                <c:pt idx="1000">
                  <c:v>84.9318665524199</c:v>
                </c:pt>
                <c:pt idx="1001">
                  <c:v>85.6643356643357</c:v>
                </c:pt>
                <c:pt idx="1002">
                  <c:v>87.3331214240305</c:v>
                </c:pt>
                <c:pt idx="1003">
                  <c:v>86.4990740484812</c:v>
                </c:pt>
                <c:pt idx="1004">
                  <c:v>86.9157522319578</c:v>
                </c:pt>
                <c:pt idx="1005">
                  <c:v>85.4715442660107</c:v>
                </c:pt>
                <c:pt idx="1006">
                  <c:v>84.0356284032174</c:v>
                </c:pt>
                <c:pt idx="1007">
                  <c:v>84.0024599906023</c:v>
                </c:pt>
                <c:pt idx="1008">
                  <c:v>82.4359435031372</c:v>
                </c:pt>
                <c:pt idx="1009">
                  <c:v>82.0945852566406</c:v>
                </c:pt>
                <c:pt idx="1010">
                  <c:v>80.2806876917549</c:v>
                </c:pt>
                <c:pt idx="1011">
                  <c:v>80.2806876917549</c:v>
                </c:pt>
                <c:pt idx="1012">
                  <c:v>80.065093009757</c:v>
                </c:pt>
                <c:pt idx="1013">
                  <c:v>82.4062301335029</c:v>
                </c:pt>
                <c:pt idx="1014">
                  <c:v>82.5886564028857</c:v>
                </c:pt>
                <c:pt idx="1015">
                  <c:v>86.1660079051383</c:v>
                </c:pt>
                <c:pt idx="1016">
                  <c:v>86.0015478592554</c:v>
                </c:pt>
                <c:pt idx="1017">
                  <c:v>85.980817601371</c:v>
                </c:pt>
                <c:pt idx="1018">
                  <c:v>86.865308604439</c:v>
                </c:pt>
                <c:pt idx="1019">
                  <c:v>86.9613587993035</c:v>
                </c:pt>
                <c:pt idx="1020">
                  <c:v>87.1368749827248</c:v>
                </c:pt>
                <c:pt idx="1021">
                  <c:v>85.294646065397</c:v>
                </c:pt>
                <c:pt idx="1022">
                  <c:v>86.7347079797673</c:v>
                </c:pt>
                <c:pt idx="1023">
                  <c:v>85.4411398877802</c:v>
                </c:pt>
                <c:pt idx="1024">
                  <c:v>84.6989966555184</c:v>
                </c:pt>
                <c:pt idx="1025">
                  <c:v>83.737803698278</c:v>
                </c:pt>
                <c:pt idx="1026">
                  <c:v>84.0093700765637</c:v>
                </c:pt>
                <c:pt idx="1027">
                  <c:v>84.2795544376572</c:v>
                </c:pt>
                <c:pt idx="1028">
                  <c:v>83.2907211365709</c:v>
                </c:pt>
                <c:pt idx="1029">
                  <c:v>85.7748970397192</c:v>
                </c:pt>
                <c:pt idx="1030">
                  <c:v>85.9421211199867</c:v>
                </c:pt>
                <c:pt idx="1031">
                  <c:v>86.6524779568258</c:v>
                </c:pt>
                <c:pt idx="1032">
                  <c:v>87.4353906962603</c:v>
                </c:pt>
                <c:pt idx="1033">
                  <c:v>87.4353906962603</c:v>
                </c:pt>
                <c:pt idx="1034">
                  <c:v>87.4423007822217</c:v>
                </c:pt>
                <c:pt idx="1035">
                  <c:v>86.3511982089057</c:v>
                </c:pt>
                <c:pt idx="1036">
                  <c:v>87.2757677105503</c:v>
                </c:pt>
                <c:pt idx="1037">
                  <c:v>86.9012410514387</c:v>
                </c:pt>
                <c:pt idx="1038">
                  <c:v>86.9012410514387</c:v>
                </c:pt>
                <c:pt idx="1039">
                  <c:v>88.2459437795406</c:v>
                </c:pt>
                <c:pt idx="1040">
                  <c:v>88.2625279858481</c:v>
                </c:pt>
                <c:pt idx="1041">
                  <c:v>88.5223472179994</c:v>
                </c:pt>
                <c:pt idx="1042">
                  <c:v>88.2977694242516</c:v>
                </c:pt>
                <c:pt idx="1043">
                  <c:v>88.4974709085381</c:v>
                </c:pt>
                <c:pt idx="1044">
                  <c:v>89.2838386909533</c:v>
                </c:pt>
                <c:pt idx="1045">
                  <c:v>89.3114790347992</c:v>
                </c:pt>
                <c:pt idx="1046">
                  <c:v>89.5201636308356</c:v>
                </c:pt>
                <c:pt idx="1047">
                  <c:v>89.0772271207054</c:v>
                </c:pt>
                <c:pt idx="1048">
                  <c:v>89.0772271207054</c:v>
                </c:pt>
                <c:pt idx="1049">
                  <c:v>89.3937090577407</c:v>
                </c:pt>
                <c:pt idx="1050">
                  <c:v>90.3866884104038</c:v>
                </c:pt>
                <c:pt idx="1051">
                  <c:v>90.8330799635147</c:v>
                </c:pt>
                <c:pt idx="1052">
                  <c:v>90.8938887199757</c:v>
                </c:pt>
                <c:pt idx="1053">
                  <c:v>90.9367312529368</c:v>
                </c:pt>
                <c:pt idx="1054">
                  <c:v>90.8434450924569</c:v>
                </c:pt>
                <c:pt idx="1055">
                  <c:v>91.6318859006606</c:v>
                </c:pt>
                <c:pt idx="1056">
                  <c:v>91.1046463418005</c:v>
                </c:pt>
                <c:pt idx="1057">
                  <c:v>90.9595345366096</c:v>
                </c:pt>
                <c:pt idx="1058">
                  <c:v>90.7301196826889</c:v>
                </c:pt>
                <c:pt idx="1059">
                  <c:v>90.68865916692</c:v>
                </c:pt>
                <c:pt idx="1060">
                  <c:v>91.4957572072197</c:v>
                </c:pt>
                <c:pt idx="1061">
                  <c:v>91.595953453661</c:v>
                </c:pt>
                <c:pt idx="1062">
                  <c:v>92.9337460958014</c:v>
                </c:pt>
                <c:pt idx="1063">
                  <c:v>92.8943586058211</c:v>
                </c:pt>
                <c:pt idx="1064">
                  <c:v>93.082312943973</c:v>
                </c:pt>
                <c:pt idx="1065">
                  <c:v>93.2833964454518</c:v>
                </c:pt>
                <c:pt idx="1066">
                  <c:v>93.420907156085</c:v>
                </c:pt>
                <c:pt idx="1067">
                  <c:v>92.7775781530722</c:v>
                </c:pt>
                <c:pt idx="1068">
                  <c:v>93.4084690013544</c:v>
                </c:pt>
                <c:pt idx="1069">
                  <c:v>93.3207109096437</c:v>
                </c:pt>
                <c:pt idx="1070">
                  <c:v>92.8183476602449</c:v>
                </c:pt>
                <c:pt idx="1071">
                  <c:v>93.8417313911385</c:v>
                </c:pt>
                <c:pt idx="1072">
                  <c:v>94.0621631333094</c:v>
                </c:pt>
                <c:pt idx="1073">
                  <c:v>94.0621631333094</c:v>
                </c:pt>
                <c:pt idx="1074">
                  <c:v>94.1298819757318</c:v>
                </c:pt>
                <c:pt idx="1075">
                  <c:v>93.8154730644849</c:v>
                </c:pt>
                <c:pt idx="1076">
                  <c:v>94.2162580502501</c:v>
                </c:pt>
                <c:pt idx="1077">
                  <c:v>94.3738080101717</c:v>
                </c:pt>
                <c:pt idx="1078">
                  <c:v>94.5016446004588</c:v>
                </c:pt>
                <c:pt idx="1079">
                  <c:v>94.8188175460903</c:v>
                </c:pt>
                <c:pt idx="1080">
                  <c:v>94.3696619585948</c:v>
                </c:pt>
                <c:pt idx="1081">
                  <c:v>94.9508001879543</c:v>
                </c:pt>
                <c:pt idx="1082">
                  <c:v>94.6426103540728</c:v>
                </c:pt>
                <c:pt idx="1083">
                  <c:v>94.2763757981149</c:v>
                </c:pt>
                <c:pt idx="1084">
                  <c:v>92.8273307719948</c:v>
                </c:pt>
                <c:pt idx="1085">
                  <c:v>93.467895740623</c:v>
                </c:pt>
                <c:pt idx="1086">
                  <c:v>94.3855551563062</c:v>
                </c:pt>
                <c:pt idx="1087">
                  <c:v>94.728295419995</c:v>
                </c:pt>
                <c:pt idx="1088">
                  <c:v>94.7434976091103</c:v>
                </c:pt>
                <c:pt idx="1089">
                  <c:v>96.4613449791315</c:v>
                </c:pt>
                <c:pt idx="1090">
                  <c:v>96.345946543575</c:v>
                </c:pt>
                <c:pt idx="1091">
                  <c:v>96.9208656955692</c:v>
                </c:pt>
                <c:pt idx="1092">
                  <c:v>97.0293540451643</c:v>
                </c:pt>
                <c:pt idx="1093">
                  <c:v>97.4149368418143</c:v>
                </c:pt>
                <c:pt idx="1094">
                  <c:v>97.1226402056442</c:v>
                </c:pt>
                <c:pt idx="1095">
                  <c:v>96.9409049448575</c:v>
                </c:pt>
                <c:pt idx="1096">
                  <c:v>96.242295254153</c:v>
                </c:pt>
                <c:pt idx="1097">
                  <c:v>96.5415019762846</c:v>
                </c:pt>
                <c:pt idx="1098">
                  <c:v>97.8820586528096</c:v>
                </c:pt>
                <c:pt idx="1099">
                  <c:v>97.606346222947</c:v>
                </c:pt>
                <c:pt idx="1100">
                  <c:v>97.1240222228365</c:v>
                </c:pt>
                <c:pt idx="1101">
                  <c:v>96.9678542801072</c:v>
                </c:pt>
                <c:pt idx="1102">
                  <c:v>97.3264877415075</c:v>
                </c:pt>
                <c:pt idx="1103">
                  <c:v>98.0568838276348</c:v>
                </c:pt>
                <c:pt idx="1104">
                  <c:v>97.6657729622156</c:v>
                </c:pt>
                <c:pt idx="1105">
                  <c:v>96.6693385665718</c:v>
                </c:pt>
                <c:pt idx="1106">
                  <c:v>96.6085298101108</c:v>
                </c:pt>
                <c:pt idx="1107">
                  <c:v>96.6085298101108</c:v>
                </c:pt>
                <c:pt idx="1108">
                  <c:v>95.5112081594295</c:v>
                </c:pt>
                <c:pt idx="1109">
                  <c:v>93.8797368639266</c:v>
                </c:pt>
                <c:pt idx="1110">
                  <c:v>94.5790375632273</c:v>
                </c:pt>
                <c:pt idx="1111">
                  <c:v>95.8822797755604</c:v>
                </c:pt>
                <c:pt idx="1112">
                  <c:v>94.68614389563</c:v>
                </c:pt>
                <c:pt idx="1113">
                  <c:v>94.6384643024959</c:v>
                </c:pt>
                <c:pt idx="1114">
                  <c:v>96.1040935349236</c:v>
                </c:pt>
                <c:pt idx="1115">
                  <c:v>95.7143646866967</c:v>
                </c:pt>
                <c:pt idx="1116">
                  <c:v>95.1463556206639</c:v>
                </c:pt>
                <c:pt idx="1117">
                  <c:v>95.2576080046436</c:v>
                </c:pt>
                <c:pt idx="1118">
                  <c:v>94.4567290417093</c:v>
                </c:pt>
                <c:pt idx="1119">
                  <c:v>94.8043063655712</c:v>
                </c:pt>
                <c:pt idx="1120">
                  <c:v>96.0978744575582</c:v>
                </c:pt>
                <c:pt idx="1121">
                  <c:v>96.7398214433787</c:v>
                </c:pt>
                <c:pt idx="1122">
                  <c:v>96.9733823488764</c:v>
                </c:pt>
                <c:pt idx="1123">
                  <c:v>96.5967826639763</c:v>
                </c:pt>
                <c:pt idx="1124">
                  <c:v>97.1433704635286</c:v>
                </c:pt>
                <c:pt idx="1125">
                  <c:v>96.900826446281</c:v>
                </c:pt>
                <c:pt idx="1126">
                  <c:v>96.1586832140192</c:v>
                </c:pt>
                <c:pt idx="1127">
                  <c:v>94.605986898477</c:v>
                </c:pt>
                <c:pt idx="1128">
                  <c:v>94.6391553110921</c:v>
                </c:pt>
                <c:pt idx="1129">
                  <c:v>94.23422427375</c:v>
                </c:pt>
                <c:pt idx="1130">
                  <c:v>93.6026424168717</c:v>
                </c:pt>
                <c:pt idx="1131">
                  <c:v>93.8382763481578</c:v>
                </c:pt>
                <c:pt idx="1132">
                  <c:v>93.5204123939302</c:v>
                </c:pt>
                <c:pt idx="1133">
                  <c:v>92.4811354653252</c:v>
                </c:pt>
                <c:pt idx="1134">
                  <c:v>91.9497498548882</c:v>
                </c:pt>
                <c:pt idx="1135">
                  <c:v>91.5448188175461</c:v>
                </c:pt>
                <c:pt idx="1136">
                  <c:v>90.1669476768291</c:v>
                </c:pt>
                <c:pt idx="1137">
                  <c:v>89.5008153901435</c:v>
                </c:pt>
                <c:pt idx="1138">
                  <c:v>90.9360402443406</c:v>
                </c:pt>
                <c:pt idx="1139">
                  <c:v>90.980264794494</c:v>
                </c:pt>
                <c:pt idx="1140">
                  <c:v>91.1343597114348</c:v>
                </c:pt>
                <c:pt idx="1141">
                  <c:v>91.2601232759335</c:v>
                </c:pt>
                <c:pt idx="1142">
                  <c:v>91.0624948174355</c:v>
                </c:pt>
                <c:pt idx="1143">
                  <c:v>92.0713673678101</c:v>
                </c:pt>
                <c:pt idx="1144">
                  <c:v>90.7515409491694</c:v>
                </c:pt>
                <c:pt idx="1145">
                  <c:v>90.5449293789215</c:v>
                </c:pt>
                <c:pt idx="1146">
                  <c:v>88.313662621963</c:v>
                </c:pt>
                <c:pt idx="1147">
                  <c:v>88.3233367423091</c:v>
                </c:pt>
                <c:pt idx="1148">
                  <c:v>88.8291550346886</c:v>
                </c:pt>
                <c:pt idx="1149">
                  <c:v>90.876613505072</c:v>
                </c:pt>
                <c:pt idx="1150">
                  <c:v>90.8669393847259</c:v>
                </c:pt>
                <c:pt idx="1151">
                  <c:v>91.6042455568147</c:v>
                </c:pt>
                <c:pt idx="1152">
                  <c:v>90.4481881754609</c:v>
                </c:pt>
                <c:pt idx="1153">
                  <c:v>91.501976284585</c:v>
                </c:pt>
                <c:pt idx="1154">
                  <c:v>90.8593382901683</c:v>
                </c:pt>
                <c:pt idx="1155">
                  <c:v>91.8419525138893</c:v>
                </c:pt>
                <c:pt idx="1156">
                  <c:v>92.7913983249952</c:v>
                </c:pt>
                <c:pt idx="1157">
                  <c:v>92.9254539926477</c:v>
                </c:pt>
                <c:pt idx="1158">
                  <c:v>93.8375853395616</c:v>
                </c:pt>
                <c:pt idx="1159">
                  <c:v>93.679344371044</c:v>
                </c:pt>
                <c:pt idx="1160">
                  <c:v>91.5938804278725</c:v>
                </c:pt>
                <c:pt idx="1161">
                  <c:v>92.2510296028083</c:v>
                </c:pt>
                <c:pt idx="1162">
                  <c:v>90.7791812930153</c:v>
                </c:pt>
                <c:pt idx="1163">
                  <c:v>91.2124436827994</c:v>
                </c:pt>
                <c:pt idx="1164">
                  <c:v>92.0319798778297</c:v>
                </c:pt>
                <c:pt idx="1165">
                  <c:v>91.8378064623124</c:v>
                </c:pt>
                <c:pt idx="1166">
                  <c:v>94.1264269327511</c:v>
                </c:pt>
                <c:pt idx="1167">
                  <c:v>94.3579148124603</c:v>
                </c:pt>
                <c:pt idx="1168">
                  <c:v>94.9459631277813</c:v>
                </c:pt>
                <c:pt idx="1169">
                  <c:v>94.9459631277813</c:v>
                </c:pt>
                <c:pt idx="1170">
                  <c:v>94.5009535918627</c:v>
                </c:pt>
                <c:pt idx="1171">
                  <c:v>93.6095525028331</c:v>
                </c:pt>
                <c:pt idx="1172">
                  <c:v>93.4561485944885</c:v>
                </c:pt>
                <c:pt idx="1173">
                  <c:v>92.696730147323</c:v>
                </c:pt>
                <c:pt idx="1174">
                  <c:v>92.6953481301307</c:v>
                </c:pt>
                <c:pt idx="1175">
                  <c:v>92.2330633793084</c:v>
                </c:pt>
                <c:pt idx="1176">
                  <c:v>93.754664308024</c:v>
                </c:pt>
                <c:pt idx="1177">
                  <c:v>93.5376876088339</c:v>
                </c:pt>
                <c:pt idx="1178">
                  <c:v>94.2307692307692</c:v>
                </c:pt>
                <c:pt idx="1179">
                  <c:v>94.8602780618591</c:v>
                </c:pt>
                <c:pt idx="1180">
                  <c:v>95.1180242682219</c:v>
                </c:pt>
                <c:pt idx="1181">
                  <c:v>94.1609773625584</c:v>
                </c:pt>
                <c:pt idx="1182">
                  <c:v>93.322092926836</c:v>
                </c:pt>
                <c:pt idx="1183">
                  <c:v>92.4783714309406</c:v>
                </c:pt>
                <c:pt idx="1184">
                  <c:v>92.4493490699024</c:v>
                </c:pt>
                <c:pt idx="1185">
                  <c:v>93.9785510931756</c:v>
                </c:pt>
                <c:pt idx="1186">
                  <c:v>95.7717184001769</c:v>
                </c:pt>
                <c:pt idx="1187">
                  <c:v>95.7254208242351</c:v>
                </c:pt>
                <c:pt idx="1188">
                  <c:v>95.3121976837392</c:v>
                </c:pt>
                <c:pt idx="1189">
                  <c:v>95.0233560905498</c:v>
                </c:pt>
                <c:pt idx="1190">
                  <c:v>94.3226733740568</c:v>
                </c:pt>
                <c:pt idx="1191">
                  <c:v>96.1186047154427</c:v>
                </c:pt>
                <c:pt idx="1192">
                  <c:v>96.3424915005943</c:v>
                </c:pt>
                <c:pt idx="1193">
                  <c:v>96.8344896210509</c:v>
                </c:pt>
                <c:pt idx="1194">
                  <c:v>96.8946073689157</c:v>
                </c:pt>
                <c:pt idx="1195">
                  <c:v>96.9346858674922</c:v>
                </c:pt>
                <c:pt idx="1196">
                  <c:v>97.1468255065093</c:v>
                </c:pt>
                <c:pt idx="1197">
                  <c:v>97.0252079935874</c:v>
                </c:pt>
                <c:pt idx="1198">
                  <c:v>97.0127698388568</c:v>
                </c:pt>
                <c:pt idx="1199">
                  <c:v>97.1233312142403</c:v>
                </c:pt>
                <c:pt idx="1200">
                  <c:v>97.8129577931949</c:v>
                </c:pt>
                <c:pt idx="1201">
                  <c:v>97.9960750711739</c:v>
                </c:pt>
                <c:pt idx="1202">
                  <c:v>97.9940020453854</c:v>
                </c:pt>
                <c:pt idx="1203">
                  <c:v>97.6512617816966</c:v>
                </c:pt>
                <c:pt idx="1204">
                  <c:v>97.6733740567733</c:v>
                </c:pt>
                <c:pt idx="1205">
                  <c:v>96.8849332485696</c:v>
                </c:pt>
                <c:pt idx="1206">
                  <c:v>97.5102960280826</c:v>
                </c:pt>
                <c:pt idx="1207">
                  <c:v>97.4626164349484</c:v>
                </c:pt>
                <c:pt idx="1208">
                  <c:v>97.3838414549877</c:v>
                </c:pt>
                <c:pt idx="1209">
                  <c:v>97.4660714779292</c:v>
                </c:pt>
                <c:pt idx="1210">
                  <c:v>96.7052710135714</c:v>
                </c:pt>
                <c:pt idx="1211">
                  <c:v>97.1958871168357</c:v>
                </c:pt>
                <c:pt idx="1212">
                  <c:v>97.1958871168357</c:v>
                </c:pt>
                <c:pt idx="1213">
                  <c:v>97.0825617070676</c:v>
                </c:pt>
                <c:pt idx="1214">
                  <c:v>96.9789104176456</c:v>
                </c:pt>
                <c:pt idx="1215">
                  <c:v>98.960723071395</c:v>
                </c:pt>
                <c:pt idx="1216">
                  <c:v>99.3615080571602</c:v>
                </c:pt>
                <c:pt idx="1217">
                  <c:v>98.7506564581663</c:v>
                </c:pt>
                <c:pt idx="1218">
                  <c:v>99.0602283092402</c:v>
                </c:pt>
                <c:pt idx="1219">
                  <c:v>99.2675308880842</c:v>
                </c:pt>
                <c:pt idx="1220">
                  <c:v>100.886564028857</c:v>
                </c:pt>
                <c:pt idx="1221">
                  <c:v>101.285966997429</c:v>
                </c:pt>
                <c:pt idx="1222">
                  <c:v>100.969485060394</c:v>
                </c:pt>
                <c:pt idx="1223">
                  <c:v>100.840266452915</c:v>
                </c:pt>
                <c:pt idx="1224">
                  <c:v>100.959810940048</c:v>
                </c:pt>
                <c:pt idx="1225">
                  <c:v>100.905221260953</c:v>
                </c:pt>
                <c:pt idx="1226">
                  <c:v>100.897620166395</c:v>
                </c:pt>
                <c:pt idx="1227">
                  <c:v>100.672351364051</c:v>
                </c:pt>
                <c:pt idx="1228">
                  <c:v>99.6151082119462</c:v>
                </c:pt>
                <c:pt idx="1229">
                  <c:v>99.0436441029326</c:v>
                </c:pt>
                <c:pt idx="1230">
                  <c:v>99.9993089914038</c:v>
                </c:pt>
                <c:pt idx="1231">
                  <c:v>99.5515354211006</c:v>
                </c:pt>
                <c:pt idx="1232">
                  <c:v>99.8155007048288</c:v>
                </c:pt>
                <c:pt idx="1233">
                  <c:v>99.9025677879433</c:v>
                </c:pt>
                <c:pt idx="1234">
                  <c:v>100.264656292324</c:v>
                </c:pt>
                <c:pt idx="1235">
                  <c:v>100.983996240913</c:v>
                </c:pt>
                <c:pt idx="1236">
                  <c:v>100.951518836894</c:v>
                </c:pt>
                <c:pt idx="1237">
                  <c:v>100.60255949584</c:v>
                </c:pt>
                <c:pt idx="1238">
                  <c:v>99.6075071173885</c:v>
                </c:pt>
                <c:pt idx="1239">
                  <c:v>98.9911274496255</c:v>
                </c:pt>
                <c:pt idx="1240">
                  <c:v>99.0104756903176</c:v>
                </c:pt>
                <c:pt idx="1241">
                  <c:v>98.7167970369551</c:v>
                </c:pt>
                <c:pt idx="1242">
                  <c:v>99.5142209569087</c:v>
                </c:pt>
                <c:pt idx="1243">
                  <c:v>100.53622267061</c:v>
                </c:pt>
                <c:pt idx="1244">
                  <c:v>100.950136819702</c:v>
                </c:pt>
                <c:pt idx="1245">
                  <c:v>100.703446750878</c:v>
                </c:pt>
                <c:pt idx="1246">
                  <c:v>99.0346609911827</c:v>
                </c:pt>
                <c:pt idx="1247">
                  <c:v>99.07819453274</c:v>
                </c:pt>
                <c:pt idx="1248">
                  <c:v>97.6471157301197</c:v>
                </c:pt>
                <c:pt idx="1249">
                  <c:v>97.3458359821996</c:v>
                </c:pt>
                <c:pt idx="1250">
                  <c:v>97.6374416097736</c:v>
                </c:pt>
                <c:pt idx="1251">
                  <c:v>97.5662677243705</c:v>
                </c:pt>
                <c:pt idx="1252">
                  <c:v>97.5662677243705</c:v>
                </c:pt>
                <c:pt idx="1253">
                  <c:v>97.5662677243705</c:v>
                </c:pt>
                <c:pt idx="1254">
                  <c:v>97.5814699134857</c:v>
                </c:pt>
                <c:pt idx="1255">
                  <c:v>98.6476961773404</c:v>
                </c:pt>
                <c:pt idx="1256">
                  <c:v>97.7224356670997</c:v>
                </c:pt>
                <c:pt idx="1257">
                  <c:v>97.9338842975207</c:v>
                </c:pt>
                <c:pt idx="1258">
                  <c:v>98.7029768650322</c:v>
                </c:pt>
                <c:pt idx="1259">
                  <c:v>96.3632217584787</c:v>
                </c:pt>
                <c:pt idx="1260">
                  <c:v>95.1871251278366</c:v>
                </c:pt>
                <c:pt idx="1261">
                  <c:v>95.348821139335</c:v>
                </c:pt>
                <c:pt idx="1262">
                  <c:v>95.3612592940656</c:v>
                </c:pt>
                <c:pt idx="1263">
                  <c:v>94.9812045661848</c:v>
                </c:pt>
                <c:pt idx="1264">
                  <c:v>93.665524199121</c:v>
                </c:pt>
                <c:pt idx="1265">
                  <c:v>93.5162663423533</c:v>
                </c:pt>
                <c:pt idx="1266">
                  <c:v>93.9688769728295</c:v>
                </c:pt>
                <c:pt idx="1267">
                  <c:v>95.8352911910224</c:v>
                </c:pt>
                <c:pt idx="1268">
                  <c:v>95.8988639818679</c:v>
                </c:pt>
                <c:pt idx="1269">
                  <c:v>96.1213687498272</c:v>
                </c:pt>
                <c:pt idx="1270">
                  <c:v>96.1213687498272</c:v>
                </c:pt>
                <c:pt idx="1271">
                  <c:v>97.3734763260455</c:v>
                </c:pt>
                <c:pt idx="1272">
                  <c:v>97.1758478675475</c:v>
                </c:pt>
                <c:pt idx="1273">
                  <c:v>96.6679565493795</c:v>
                </c:pt>
                <c:pt idx="1274">
                  <c:v>97.427374996545</c:v>
                </c:pt>
                <c:pt idx="1275">
                  <c:v>97.8433621714254</c:v>
                </c:pt>
                <c:pt idx="1276">
                  <c:v>97.8592553691368</c:v>
                </c:pt>
                <c:pt idx="1277">
                  <c:v>97.394897592526</c:v>
                </c:pt>
                <c:pt idx="1278">
                  <c:v>97.2283645208546</c:v>
                </c:pt>
                <c:pt idx="1279">
                  <c:v>97.3824594377954</c:v>
                </c:pt>
                <c:pt idx="1280">
                  <c:v>97.7044694435999</c:v>
                </c:pt>
                <c:pt idx="1281">
                  <c:v>97.9898559938086</c:v>
                </c:pt>
                <c:pt idx="1282">
                  <c:v>98.0230244064236</c:v>
                </c:pt>
                <c:pt idx="1283">
                  <c:v>98.6649713922441</c:v>
                </c:pt>
                <c:pt idx="1284">
                  <c:v>98.7091959423975</c:v>
                </c:pt>
                <c:pt idx="1285">
                  <c:v>98.0852151800768</c:v>
                </c:pt>
                <c:pt idx="1286">
                  <c:v>97.6795931341386</c:v>
                </c:pt>
                <c:pt idx="1287">
                  <c:v>98.8391055584731</c:v>
                </c:pt>
                <c:pt idx="1288">
                  <c:v>99.9744326819426</c:v>
                </c:pt>
                <c:pt idx="1289">
                  <c:v>99.2157052433732</c:v>
                </c:pt>
                <c:pt idx="1290">
                  <c:v>99.760220017137</c:v>
                </c:pt>
                <c:pt idx="1291">
                  <c:v>98.8245943779541</c:v>
                </c:pt>
                <c:pt idx="1292">
                  <c:v>98.5834323778988</c:v>
                </c:pt>
                <c:pt idx="1293">
                  <c:v>98.1114735067304</c:v>
                </c:pt>
                <c:pt idx="1294">
                  <c:v>97.991929019597</c:v>
                </c:pt>
                <c:pt idx="1295">
                  <c:v>96.9091185494348</c:v>
                </c:pt>
                <c:pt idx="1296">
                  <c:v>98.5509549738799</c:v>
                </c:pt>
                <c:pt idx="1297">
                  <c:v>101.05447911772</c:v>
                </c:pt>
                <c:pt idx="1298">
                  <c:v>100.843721495895</c:v>
                </c:pt>
                <c:pt idx="1299">
                  <c:v>101.33433759916</c:v>
                </c:pt>
                <c:pt idx="1300">
                  <c:v>101.017855662124</c:v>
                </c:pt>
                <c:pt idx="1301">
                  <c:v>100.690317587551</c:v>
                </c:pt>
                <c:pt idx="1302">
                  <c:v>100.95773791426</c:v>
                </c:pt>
                <c:pt idx="1303">
                  <c:v>101.724757455983</c:v>
                </c:pt>
                <c:pt idx="1304">
                  <c:v>101.71992039581</c:v>
                </c:pt>
                <c:pt idx="1305">
                  <c:v>101.625252218138</c:v>
                </c:pt>
                <c:pt idx="1306">
                  <c:v>101.739959645098</c:v>
                </c:pt>
                <c:pt idx="1307">
                  <c:v>101.759998894386</c:v>
                </c:pt>
                <c:pt idx="1308">
                  <c:v>102.334227037784</c:v>
                </c:pt>
                <c:pt idx="1309">
                  <c:v>102.682495370242</c:v>
                </c:pt>
                <c:pt idx="1310">
                  <c:v>102.682495370242</c:v>
                </c:pt>
                <c:pt idx="1311">
                  <c:v>103.137179026507</c:v>
                </c:pt>
                <c:pt idx="1312">
                  <c:v>103.29265596064</c:v>
                </c:pt>
                <c:pt idx="1313">
                  <c:v>103.293346969236</c:v>
                </c:pt>
                <c:pt idx="1314">
                  <c:v>103.8558279665</c:v>
                </c:pt>
                <c:pt idx="1315">
                  <c:v>103.663727576771</c:v>
                </c:pt>
                <c:pt idx="1316">
                  <c:v>104.19304016142</c:v>
                </c:pt>
                <c:pt idx="1317">
                  <c:v>103.786727106885</c:v>
                </c:pt>
                <c:pt idx="1318">
                  <c:v>103.520688797369</c:v>
                </c:pt>
                <c:pt idx="1319">
                  <c:v>104.561347743166</c:v>
                </c:pt>
                <c:pt idx="1320">
                  <c:v>103.354846734293</c:v>
                </c:pt>
                <c:pt idx="1321">
                  <c:v>104.43143812709</c:v>
                </c:pt>
                <c:pt idx="1322">
                  <c:v>104.488791840571</c:v>
                </c:pt>
                <c:pt idx="1323">
                  <c:v>104.300146493822</c:v>
                </c:pt>
                <c:pt idx="1324">
                  <c:v>104.890267834932</c:v>
                </c:pt>
                <c:pt idx="1325">
                  <c:v>104.826695044086</c:v>
                </c:pt>
                <c:pt idx="1326">
                  <c:v>104.993919124354</c:v>
                </c:pt>
                <c:pt idx="1327">
                  <c:v>105.056109898007</c:v>
                </c:pt>
                <c:pt idx="1328">
                  <c:v>105.128665800603</c:v>
                </c:pt>
                <c:pt idx="1329">
                  <c:v>105.018795433815</c:v>
                </c:pt>
                <c:pt idx="1330">
                  <c:v>105.018795433815</c:v>
                </c:pt>
                <c:pt idx="1331">
                  <c:v>105.789270018519</c:v>
                </c:pt>
                <c:pt idx="1332">
                  <c:v>104.477044694436</c:v>
                </c:pt>
                <c:pt idx="1333">
                  <c:v>103.818513502308</c:v>
                </c:pt>
                <c:pt idx="1334">
                  <c:v>104.72926283203</c:v>
                </c:pt>
                <c:pt idx="1335">
                  <c:v>102.811713977722</c:v>
                </c:pt>
                <c:pt idx="1336">
                  <c:v>103.439840791619</c:v>
                </c:pt>
                <c:pt idx="1337">
                  <c:v>104.756212167279</c:v>
                </c:pt>
                <c:pt idx="1338">
                  <c:v>104.665690041184</c:v>
                </c:pt>
                <c:pt idx="1339">
                  <c:v>104.908925067028</c:v>
                </c:pt>
                <c:pt idx="1340">
                  <c:v>105.392631084331</c:v>
                </c:pt>
                <c:pt idx="1341">
                  <c:v>106.400812626109</c:v>
                </c:pt>
                <c:pt idx="1342">
                  <c:v>106.516211061666</c:v>
                </c:pt>
                <c:pt idx="1343">
                  <c:v>106.709693468587</c:v>
                </c:pt>
                <c:pt idx="1344">
                  <c:v>107.18787141712</c:v>
                </c:pt>
                <c:pt idx="1345">
                  <c:v>107.536139749578</c:v>
                </c:pt>
                <c:pt idx="1346">
                  <c:v>107.27770253462</c:v>
                </c:pt>
                <c:pt idx="1347">
                  <c:v>107.418668288234</c:v>
                </c:pt>
                <c:pt idx="1348">
                  <c:v>108.020536775477</c:v>
                </c:pt>
                <c:pt idx="1349">
                  <c:v>107.845711600652</c:v>
                </c:pt>
                <c:pt idx="1350">
                  <c:v>107.251444207966</c:v>
                </c:pt>
                <c:pt idx="1351">
                  <c:v>106.991624975815</c:v>
                </c:pt>
                <c:pt idx="1352">
                  <c:v>107.708200890019</c:v>
                </c:pt>
                <c:pt idx="1353">
                  <c:v>106.816108792393</c:v>
                </c:pt>
                <c:pt idx="1354">
                  <c:v>107.58243732552</c:v>
                </c:pt>
                <c:pt idx="1355">
                  <c:v>107.223112855524</c:v>
                </c:pt>
                <c:pt idx="1356">
                  <c:v>108.057851239669</c:v>
                </c:pt>
                <c:pt idx="1357">
                  <c:v>107.994278448824</c:v>
                </c:pt>
                <c:pt idx="1358">
                  <c:v>108.432377898781</c:v>
                </c:pt>
                <c:pt idx="1359">
                  <c:v>108.432377898781</c:v>
                </c:pt>
                <c:pt idx="1360">
                  <c:v>107.947289864286</c:v>
                </c:pt>
                <c:pt idx="1361">
                  <c:v>108.505624809973</c:v>
                </c:pt>
                <c:pt idx="1362">
                  <c:v>107.361314574753</c:v>
                </c:pt>
                <c:pt idx="1363">
                  <c:v>107.79595898173</c:v>
                </c:pt>
                <c:pt idx="1364">
                  <c:v>107.332983222311</c:v>
                </c:pt>
                <c:pt idx="1365">
                  <c:v>108.009480637939</c:v>
                </c:pt>
                <c:pt idx="1366">
                  <c:v>108.392299400205</c:v>
                </c:pt>
                <c:pt idx="1367">
                  <c:v>109.713507836037</c:v>
                </c:pt>
                <c:pt idx="1368">
                  <c:v>110.103236684264</c:v>
                </c:pt>
                <c:pt idx="1369">
                  <c:v>109.790900798806</c:v>
                </c:pt>
                <c:pt idx="1370">
                  <c:v>107.269410431466</c:v>
                </c:pt>
                <c:pt idx="1371">
                  <c:v>108.804140523508</c:v>
                </c:pt>
                <c:pt idx="1372">
                  <c:v>107.245225130601</c:v>
                </c:pt>
                <c:pt idx="1373">
                  <c:v>106.526576190608</c:v>
                </c:pt>
                <c:pt idx="1374">
                  <c:v>107.469111915752</c:v>
                </c:pt>
                <c:pt idx="1375">
                  <c:v>107.970093147959</c:v>
                </c:pt>
                <c:pt idx="1376">
                  <c:v>109.095055142486</c:v>
                </c:pt>
                <c:pt idx="1377">
                  <c:v>109.095746151082</c:v>
                </c:pt>
                <c:pt idx="1378">
                  <c:v>109.535918626828</c:v>
                </c:pt>
                <c:pt idx="1379">
                  <c:v>109.334144116753</c:v>
                </c:pt>
                <c:pt idx="1380">
                  <c:v>110.119820890572</c:v>
                </c:pt>
                <c:pt idx="1381">
                  <c:v>110.393460294646</c:v>
                </c:pt>
                <c:pt idx="1382">
                  <c:v>109.365930512176</c:v>
                </c:pt>
                <c:pt idx="1383">
                  <c:v>110.394842311838</c:v>
                </c:pt>
                <c:pt idx="1384">
                  <c:v>111.557809779154</c:v>
                </c:pt>
                <c:pt idx="1385">
                  <c:v>111.770640426767</c:v>
                </c:pt>
                <c:pt idx="1386">
                  <c:v>112.355233699107</c:v>
                </c:pt>
                <c:pt idx="1387">
                  <c:v>112.820282484314</c:v>
                </c:pt>
                <c:pt idx="1388">
                  <c:v>112.404295309434</c:v>
                </c:pt>
                <c:pt idx="1389">
                  <c:v>112.890074352525</c:v>
                </c:pt>
                <c:pt idx="1390">
                  <c:v>112.894911412698</c:v>
                </c:pt>
                <c:pt idx="1391">
                  <c:v>114.039912656513</c:v>
                </c:pt>
                <c:pt idx="1392">
                  <c:v>114.623123911661</c:v>
                </c:pt>
                <c:pt idx="1393">
                  <c:v>114.048895768263</c:v>
                </c:pt>
                <c:pt idx="1394">
                  <c:v>115.223610381713</c:v>
                </c:pt>
                <c:pt idx="1395">
                  <c:v>115.142071367368</c:v>
                </c:pt>
                <c:pt idx="1396">
                  <c:v>115.340390834462</c:v>
                </c:pt>
                <c:pt idx="1397">
                  <c:v>114.386107963183</c:v>
                </c:pt>
                <c:pt idx="1398">
                  <c:v>114.051659802648</c:v>
                </c:pt>
                <c:pt idx="1399">
                  <c:v>113.988778020399</c:v>
                </c:pt>
                <c:pt idx="1400">
                  <c:v>113.988778020399</c:v>
                </c:pt>
                <c:pt idx="1401">
                  <c:v>114.711573011968</c:v>
                </c:pt>
                <c:pt idx="1402">
                  <c:v>113.903092954476</c:v>
                </c:pt>
                <c:pt idx="1403">
                  <c:v>114.321153155145</c:v>
                </c:pt>
                <c:pt idx="1404">
                  <c:v>112.685535808065</c:v>
                </c:pt>
                <c:pt idx="1405">
                  <c:v>113.354432129136</c:v>
                </c:pt>
                <c:pt idx="1406">
                  <c:v>112.729760358219</c:v>
                </c:pt>
                <c:pt idx="1407">
                  <c:v>111.176373034081</c:v>
                </c:pt>
                <c:pt idx="1408">
                  <c:v>112.120290776417</c:v>
                </c:pt>
                <c:pt idx="1409">
                  <c:v>113.558970673595</c:v>
                </c:pt>
                <c:pt idx="1410">
                  <c:v>113.519583183615</c:v>
                </c:pt>
                <c:pt idx="1411">
                  <c:v>112.366980845242</c:v>
                </c:pt>
                <c:pt idx="1412">
                  <c:v>111.426518145886</c:v>
                </c:pt>
                <c:pt idx="1413">
                  <c:v>113.0738826391</c:v>
                </c:pt>
                <c:pt idx="1414">
                  <c:v>112.408441361011</c:v>
                </c:pt>
                <c:pt idx="1415">
                  <c:v>113.259072942867</c:v>
                </c:pt>
                <c:pt idx="1416">
                  <c:v>114.141490920147</c:v>
                </c:pt>
                <c:pt idx="1417">
                  <c:v>112.560463252163</c:v>
                </c:pt>
                <c:pt idx="1418">
                  <c:v>109.74529423146</c:v>
                </c:pt>
                <c:pt idx="1419">
                  <c:v>110.038281876227</c:v>
                </c:pt>
                <c:pt idx="1420">
                  <c:v>108.701871251278</c:v>
                </c:pt>
                <c:pt idx="1421">
                  <c:v>109.734238093922</c:v>
                </c:pt>
                <c:pt idx="1422">
                  <c:v>110.786644185854</c:v>
                </c:pt>
                <c:pt idx="1423">
                  <c:v>111.473506730424</c:v>
                </c:pt>
                <c:pt idx="1424">
                  <c:v>110.99532878189</c:v>
                </c:pt>
                <c:pt idx="1425">
                  <c:v>111.595124243346</c:v>
                </c:pt>
                <c:pt idx="1426">
                  <c:v>111.534315486885</c:v>
                </c:pt>
                <c:pt idx="1427">
                  <c:v>111.626219630172</c:v>
                </c:pt>
                <c:pt idx="1428">
                  <c:v>111.626219630172</c:v>
                </c:pt>
                <c:pt idx="1429">
                  <c:v>112.765001796622</c:v>
                </c:pt>
                <c:pt idx="1430">
                  <c:v>113.35719616352</c:v>
                </c:pt>
                <c:pt idx="1431">
                  <c:v>114.176732358551</c:v>
                </c:pt>
                <c:pt idx="1432">
                  <c:v>114.197462616435</c:v>
                </c:pt>
                <c:pt idx="1433">
                  <c:v>115.745321871804</c:v>
                </c:pt>
                <c:pt idx="1434">
                  <c:v>116.102573316012</c:v>
                </c:pt>
                <c:pt idx="1435">
                  <c:v>116.262196301722</c:v>
                </c:pt>
                <c:pt idx="1436">
                  <c:v>115.831006937726</c:v>
                </c:pt>
                <c:pt idx="1437">
                  <c:v>116.152325934935</c:v>
                </c:pt>
                <c:pt idx="1438">
                  <c:v>116.736919207275</c:v>
                </c:pt>
                <c:pt idx="1439">
                  <c:v>116.924873545427</c:v>
                </c:pt>
                <c:pt idx="1440">
                  <c:v>117.162580502501</c:v>
                </c:pt>
                <c:pt idx="1441">
                  <c:v>116.945603803311</c:v>
                </c:pt>
                <c:pt idx="1442">
                  <c:v>116.499903258797</c:v>
                </c:pt>
                <c:pt idx="1443">
                  <c:v>116.797727963736</c:v>
                </c:pt>
                <c:pt idx="1444">
                  <c:v>116.894469167196</c:v>
                </c:pt>
                <c:pt idx="1445">
                  <c:v>116.457751734432</c:v>
                </c:pt>
                <c:pt idx="1446">
                  <c:v>116.501285275989</c:v>
                </c:pt>
                <c:pt idx="1447">
                  <c:v>116.485392078277</c:v>
                </c:pt>
                <c:pt idx="1448">
                  <c:v>117.946184250532</c:v>
                </c:pt>
                <c:pt idx="1449">
                  <c:v>118.139666657453</c:v>
                </c:pt>
                <c:pt idx="1450">
                  <c:v>117.964841482628</c:v>
                </c:pt>
                <c:pt idx="1451">
                  <c:v>117.289726084192</c:v>
                </c:pt>
                <c:pt idx="1452">
                  <c:v>116.843334531082</c:v>
                </c:pt>
                <c:pt idx="1453">
                  <c:v>117.29732717875</c:v>
                </c:pt>
                <c:pt idx="1454">
                  <c:v>116.878575969485</c:v>
                </c:pt>
                <c:pt idx="1455">
                  <c:v>116.743829293236</c:v>
                </c:pt>
                <c:pt idx="1456">
                  <c:v>117.067912324829</c:v>
                </c:pt>
                <c:pt idx="1457">
                  <c:v>116.461897786008</c:v>
                </c:pt>
                <c:pt idx="1458">
                  <c:v>114.798640095083</c:v>
                </c:pt>
                <c:pt idx="1459">
                  <c:v>114.419276375798</c:v>
                </c:pt>
                <c:pt idx="1460">
                  <c:v>113.744160977363</c:v>
                </c:pt>
                <c:pt idx="1461">
                  <c:v>114.178805384339</c:v>
                </c:pt>
                <c:pt idx="1462">
                  <c:v>113.518892175019</c:v>
                </c:pt>
                <c:pt idx="1463">
                  <c:v>114.497360347163</c:v>
                </c:pt>
                <c:pt idx="1464">
                  <c:v>114.949279969043</c:v>
                </c:pt>
                <c:pt idx="1465">
                  <c:v>114.484922192432</c:v>
                </c:pt>
                <c:pt idx="1466">
                  <c:v>112.667569584566</c:v>
                </c:pt>
                <c:pt idx="1467">
                  <c:v>112.977141435639</c:v>
                </c:pt>
                <c:pt idx="1468">
                  <c:v>113.198955195003</c:v>
                </c:pt>
                <c:pt idx="1469">
                  <c:v>112.839630725006</c:v>
                </c:pt>
                <c:pt idx="1470">
                  <c:v>112.839630725006</c:v>
                </c:pt>
                <c:pt idx="1471">
                  <c:v>113.309516570386</c:v>
                </c:pt>
                <c:pt idx="1472">
                  <c:v>114.229249011858</c:v>
                </c:pt>
                <c:pt idx="1473">
                  <c:v>114.367450731087</c:v>
                </c:pt>
                <c:pt idx="1474">
                  <c:v>114.373669808452</c:v>
                </c:pt>
                <c:pt idx="1475">
                  <c:v>115.516598026479</c:v>
                </c:pt>
                <c:pt idx="1476">
                  <c:v>116.365156582548</c:v>
                </c:pt>
                <c:pt idx="1477">
                  <c:v>116.720335000967</c:v>
                </c:pt>
                <c:pt idx="1478">
                  <c:v>116.325769092567</c:v>
                </c:pt>
                <c:pt idx="1479">
                  <c:v>116.641560021007</c:v>
                </c:pt>
                <c:pt idx="1480">
                  <c:v>117.305619281904</c:v>
                </c:pt>
                <c:pt idx="1481">
                  <c:v>117.800381436745</c:v>
                </c:pt>
                <c:pt idx="1482">
                  <c:v>119.234915282346</c:v>
                </c:pt>
                <c:pt idx="1483">
                  <c:v>119.015174548771</c:v>
                </c:pt>
                <c:pt idx="1484">
                  <c:v>118.156250863761</c:v>
                </c:pt>
                <c:pt idx="1485">
                  <c:v>117.59860692667</c:v>
                </c:pt>
                <c:pt idx="1486">
                  <c:v>117.293181127173</c:v>
                </c:pt>
                <c:pt idx="1487">
                  <c:v>116.971862129965</c:v>
                </c:pt>
                <c:pt idx="1488">
                  <c:v>117.379557201692</c:v>
                </c:pt>
                <c:pt idx="1489">
                  <c:v>116.901379253158</c:v>
                </c:pt>
                <c:pt idx="1490">
                  <c:v>116.196550485088</c:v>
                </c:pt>
                <c:pt idx="1491">
                  <c:v>117.125957046906</c:v>
                </c:pt>
                <c:pt idx="1492">
                  <c:v>117.047873075541</c:v>
                </c:pt>
                <c:pt idx="1493">
                  <c:v>115.996849000802</c:v>
                </c:pt>
                <c:pt idx="1494">
                  <c:v>116.81500317864</c:v>
                </c:pt>
                <c:pt idx="1495">
                  <c:v>115.82133281738</c:v>
                </c:pt>
                <c:pt idx="1496">
                  <c:v>114.393018049145</c:v>
                </c:pt>
                <c:pt idx="1497">
                  <c:v>114.458663865779</c:v>
                </c:pt>
                <c:pt idx="1498">
                  <c:v>116.957350949446</c:v>
                </c:pt>
                <c:pt idx="1499">
                  <c:v>117.692584095746</c:v>
                </c:pt>
                <c:pt idx="1500">
                  <c:v>118.172144061472</c:v>
                </c:pt>
                <c:pt idx="1501">
                  <c:v>117.337405677327</c:v>
                </c:pt>
                <c:pt idx="1502">
                  <c:v>118.95989386108</c:v>
                </c:pt>
                <c:pt idx="1503">
                  <c:v>119.762154841206</c:v>
                </c:pt>
                <c:pt idx="1504">
                  <c:v>120.546449597833</c:v>
                </c:pt>
                <c:pt idx="1505">
                  <c:v>120.557505735371</c:v>
                </c:pt>
                <c:pt idx="1506">
                  <c:v>121.249205340114</c:v>
                </c:pt>
                <c:pt idx="1507">
                  <c:v>120.676359213909</c:v>
                </c:pt>
                <c:pt idx="1508">
                  <c:v>121.069543105116</c:v>
                </c:pt>
                <c:pt idx="1509">
                  <c:v>121.601619724149</c:v>
                </c:pt>
                <c:pt idx="1510">
                  <c:v>121.763315735648</c:v>
                </c:pt>
                <c:pt idx="1511">
                  <c:v>122.443268194256</c:v>
                </c:pt>
                <c:pt idx="1512">
                  <c:v>121.846236767185</c:v>
                </c:pt>
                <c:pt idx="1513">
                  <c:v>121.378423947594</c:v>
                </c:pt>
                <c:pt idx="1514">
                  <c:v>121.730838331629</c:v>
                </c:pt>
                <c:pt idx="1515">
                  <c:v>122.165482738605</c:v>
                </c:pt>
                <c:pt idx="1516">
                  <c:v>121.822742474916</c:v>
                </c:pt>
                <c:pt idx="1517">
                  <c:v>122.342380939219</c:v>
                </c:pt>
                <c:pt idx="1518">
                  <c:v>120.729566875812</c:v>
                </c:pt>
                <c:pt idx="1519">
                  <c:v>122.350673042373</c:v>
                </c:pt>
                <c:pt idx="1520">
                  <c:v>122.439122142679</c:v>
                </c:pt>
                <c:pt idx="1521">
                  <c:v>122.148898532298</c:v>
                </c:pt>
                <c:pt idx="1522">
                  <c:v>123.137731833384</c:v>
                </c:pt>
                <c:pt idx="1523">
                  <c:v>123.733381243263</c:v>
                </c:pt>
                <c:pt idx="1524">
                  <c:v>124.25578374195</c:v>
                </c:pt>
                <c:pt idx="1525">
                  <c:v>123.796263025512</c:v>
                </c:pt>
                <c:pt idx="1526">
                  <c:v>123.543353879322</c:v>
                </c:pt>
                <c:pt idx="1527">
                  <c:v>123.094198291827</c:v>
                </c:pt>
                <c:pt idx="1528">
                  <c:v>124.094778739048</c:v>
                </c:pt>
                <c:pt idx="1529">
                  <c:v>124.710467398214</c:v>
                </c:pt>
                <c:pt idx="1530">
                  <c:v>124.552917438293</c:v>
                </c:pt>
                <c:pt idx="1531">
                  <c:v>124.571574670389</c:v>
                </c:pt>
                <c:pt idx="1532">
                  <c:v>124.881146521463</c:v>
                </c:pt>
                <c:pt idx="1533">
                  <c:v>124.881146521463</c:v>
                </c:pt>
                <c:pt idx="1534">
                  <c:v>124.78302330081</c:v>
                </c:pt>
                <c:pt idx="1535">
                  <c:v>124.443738080102</c:v>
                </c:pt>
                <c:pt idx="1536">
                  <c:v>124.046408137317</c:v>
                </c:pt>
                <c:pt idx="1537">
                  <c:v>123.884712125819</c:v>
                </c:pt>
                <c:pt idx="1538">
                  <c:v>123.347107438017</c:v>
                </c:pt>
                <c:pt idx="1539">
                  <c:v>124.733270681887</c:v>
                </c:pt>
                <c:pt idx="1540">
                  <c:v>124.959921501423</c:v>
                </c:pt>
                <c:pt idx="1541">
                  <c:v>124.562591558639</c:v>
                </c:pt>
                <c:pt idx="1542">
                  <c:v>123.152934022499</c:v>
                </c:pt>
                <c:pt idx="1543">
                  <c:v>122.688576245889</c:v>
                </c:pt>
                <c:pt idx="1544">
                  <c:v>122.676138091158</c:v>
                </c:pt>
                <c:pt idx="1545">
                  <c:v>123.451449736035</c:v>
                </c:pt>
                <c:pt idx="1546">
                  <c:v>123.068630973769</c:v>
                </c:pt>
                <c:pt idx="1547">
                  <c:v>125.117471461345</c:v>
                </c:pt>
                <c:pt idx="1548">
                  <c:v>125.04491555875</c:v>
                </c:pt>
                <c:pt idx="1549">
                  <c:v>125.64747505459</c:v>
                </c:pt>
                <c:pt idx="1550">
                  <c:v>126.315680367064</c:v>
                </c:pt>
                <c:pt idx="1551">
                  <c:v>126.68398794881</c:v>
                </c:pt>
                <c:pt idx="1552">
                  <c:v>127.285165427458</c:v>
                </c:pt>
                <c:pt idx="1553">
                  <c:v>127.242322894497</c:v>
                </c:pt>
                <c:pt idx="1554">
                  <c:v>127.219519610824</c:v>
                </c:pt>
                <c:pt idx="1555">
                  <c:v>127.723264877415</c:v>
                </c:pt>
                <c:pt idx="1556">
                  <c:v>126.591392796926</c:v>
                </c:pt>
                <c:pt idx="1557">
                  <c:v>126.549241272561</c:v>
                </c:pt>
                <c:pt idx="1558">
                  <c:v>126.231377318334</c:v>
                </c:pt>
                <c:pt idx="1559">
                  <c:v>126.999087868653</c:v>
                </c:pt>
                <c:pt idx="1560">
                  <c:v>126.972138533403</c:v>
                </c:pt>
                <c:pt idx="1561">
                  <c:v>127.016363083557</c:v>
                </c:pt>
                <c:pt idx="1562">
                  <c:v>127.309350728323</c:v>
                </c:pt>
                <c:pt idx="1563">
                  <c:v>125.708283811051</c:v>
                </c:pt>
                <c:pt idx="1564">
                  <c:v>127.068188728268</c:v>
                </c:pt>
                <c:pt idx="1565">
                  <c:v>127.724646894607</c:v>
                </c:pt>
                <c:pt idx="1566">
                  <c:v>127.552585754167</c:v>
                </c:pt>
                <c:pt idx="1567">
                  <c:v>127.055750573537</c:v>
                </c:pt>
                <c:pt idx="1568">
                  <c:v>127.055750573537</c:v>
                </c:pt>
                <c:pt idx="1569">
                  <c:v>127.408164957572</c:v>
                </c:pt>
                <c:pt idx="1570">
                  <c:v>127.481411868764</c:v>
                </c:pt>
                <c:pt idx="1571">
                  <c:v>126.348157771083</c:v>
                </c:pt>
                <c:pt idx="1572">
                  <c:v>123.71057795959</c:v>
                </c:pt>
                <c:pt idx="1573">
                  <c:v>123.107327455154</c:v>
                </c:pt>
                <c:pt idx="1574">
                  <c:v>123.863290859338</c:v>
                </c:pt>
                <c:pt idx="1575">
                  <c:v>122.598745128389</c:v>
                </c:pt>
                <c:pt idx="1576">
                  <c:v>123.980071312087</c:v>
                </c:pt>
                <c:pt idx="1577">
                  <c:v>123.178501340557</c:v>
                </c:pt>
                <c:pt idx="1578">
                  <c:v>120.366096354239</c:v>
                </c:pt>
                <c:pt idx="1579">
                  <c:v>121.28582879571</c:v>
                </c:pt>
                <c:pt idx="1580">
                  <c:v>121.039829735482</c:v>
                </c:pt>
                <c:pt idx="1581">
                  <c:v>122.545537466486</c:v>
                </c:pt>
                <c:pt idx="1582">
                  <c:v>124.175626744797</c:v>
                </c:pt>
                <c:pt idx="1583">
                  <c:v>124.37049116891</c:v>
                </c:pt>
                <c:pt idx="1584">
                  <c:v>125.746289283839</c:v>
                </c:pt>
                <c:pt idx="1585">
                  <c:v>125.712429862628</c:v>
                </c:pt>
                <c:pt idx="1586">
                  <c:v>126.442825948755</c:v>
                </c:pt>
                <c:pt idx="1587">
                  <c:v>127.050913513364</c:v>
                </c:pt>
                <c:pt idx="1588">
                  <c:v>127.050913513364</c:v>
                </c:pt>
                <c:pt idx="1589">
                  <c:v>127.198098344343</c:v>
                </c:pt>
                <c:pt idx="1590">
                  <c:v>126.368197020371</c:v>
                </c:pt>
                <c:pt idx="1591">
                  <c:v>127.130379501921</c:v>
                </c:pt>
                <c:pt idx="1592">
                  <c:v>126.886453467481</c:v>
                </c:pt>
                <c:pt idx="1593">
                  <c:v>127.671439232704</c:v>
                </c:pt>
                <c:pt idx="1594">
                  <c:v>127.499378092263</c:v>
                </c:pt>
                <c:pt idx="1595">
                  <c:v>127.502142126648</c:v>
                </c:pt>
                <c:pt idx="1596">
                  <c:v>128.13303297493</c:v>
                </c:pt>
                <c:pt idx="1597">
                  <c:v>128.489593410542</c:v>
                </c:pt>
                <c:pt idx="1598">
                  <c:v>127.541529616628</c:v>
                </c:pt>
                <c:pt idx="1599">
                  <c:v>129.488791840571</c:v>
                </c:pt>
                <c:pt idx="1600">
                  <c:v>129.481881754609</c:v>
                </c:pt>
                <c:pt idx="1601">
                  <c:v>129.704386522568</c:v>
                </c:pt>
                <c:pt idx="1602">
                  <c:v>129.774178390779</c:v>
                </c:pt>
                <c:pt idx="1603">
                  <c:v>129.714060642914</c:v>
                </c:pt>
                <c:pt idx="1604">
                  <c:v>129.05483844219</c:v>
                </c:pt>
                <c:pt idx="1605">
                  <c:v>129.094225932171</c:v>
                </c:pt>
                <c:pt idx="1606">
                  <c:v>127.583681140993</c:v>
                </c:pt>
                <c:pt idx="1607">
                  <c:v>127.223665662401</c:v>
                </c:pt>
                <c:pt idx="1608">
                  <c:v>128.446750877581</c:v>
                </c:pt>
                <c:pt idx="1609">
                  <c:v>129.37408441361</c:v>
                </c:pt>
                <c:pt idx="1610">
                  <c:v>128.580806545233</c:v>
                </c:pt>
                <c:pt idx="1611">
                  <c:v>129.357500207303</c:v>
                </c:pt>
                <c:pt idx="1612">
                  <c:v>128.978136488018</c:v>
                </c:pt>
                <c:pt idx="1613">
                  <c:v>128.350700682716</c:v>
                </c:pt>
                <c:pt idx="1614">
                  <c:v>128.915945714365</c:v>
                </c:pt>
                <c:pt idx="1615">
                  <c:v>128.013488487797</c:v>
                </c:pt>
                <c:pt idx="1616">
                  <c:v>127.770253461953</c:v>
                </c:pt>
                <c:pt idx="1617">
                  <c:v>128.363138837447</c:v>
                </c:pt>
                <c:pt idx="1618">
                  <c:v>129.380303490975</c:v>
                </c:pt>
                <c:pt idx="1619">
                  <c:v>130.291052820697</c:v>
                </c:pt>
                <c:pt idx="1620">
                  <c:v>130.662815445424</c:v>
                </c:pt>
                <c:pt idx="1621">
                  <c:v>130.515630614445</c:v>
                </c:pt>
                <c:pt idx="1622">
                  <c:v>128.879322258769</c:v>
                </c:pt>
                <c:pt idx="1623">
                  <c:v>127.493850023494</c:v>
                </c:pt>
                <c:pt idx="1624">
                  <c:v>127.972027972028</c:v>
                </c:pt>
                <c:pt idx="1625">
                  <c:v>129.369247353437</c:v>
                </c:pt>
                <c:pt idx="1626">
                  <c:v>126.667403742503</c:v>
                </c:pt>
                <c:pt idx="1627">
                  <c:v>125.465739793803</c:v>
                </c:pt>
                <c:pt idx="1628">
                  <c:v>126.496724619254</c:v>
                </c:pt>
                <c:pt idx="1629">
                  <c:v>127.351502252688</c:v>
                </c:pt>
                <c:pt idx="1630">
                  <c:v>128.68722186904</c:v>
                </c:pt>
                <c:pt idx="1631">
                  <c:v>128.862738052461</c:v>
                </c:pt>
                <c:pt idx="1632">
                  <c:v>128.862738052461</c:v>
                </c:pt>
                <c:pt idx="1633">
                  <c:v>129.349208104149</c:v>
                </c:pt>
                <c:pt idx="1634">
                  <c:v>129.878520688797</c:v>
                </c:pt>
                <c:pt idx="1635">
                  <c:v>129.5910611128</c:v>
                </c:pt>
                <c:pt idx="1636">
                  <c:v>129.81356588076</c:v>
                </c:pt>
                <c:pt idx="1637">
                  <c:v>128.76254180602</c:v>
                </c:pt>
                <c:pt idx="1638">
                  <c:v>129.179219989497</c:v>
                </c:pt>
                <c:pt idx="1639">
                  <c:v>129.794217640067</c:v>
                </c:pt>
                <c:pt idx="1640">
                  <c:v>130.182564471102</c:v>
                </c:pt>
                <c:pt idx="1641">
                  <c:v>130.163907239006</c:v>
                </c:pt>
                <c:pt idx="1642">
                  <c:v>129.988391055585</c:v>
                </c:pt>
                <c:pt idx="1643">
                  <c:v>130.231626081428</c:v>
                </c:pt>
                <c:pt idx="1644">
                  <c:v>129.061057519556</c:v>
                </c:pt>
                <c:pt idx="1645">
                  <c:v>129.785925536914</c:v>
                </c:pt>
                <c:pt idx="1646">
                  <c:v>129.607645319108</c:v>
                </c:pt>
                <c:pt idx="1647">
                  <c:v>129.80458276901</c:v>
                </c:pt>
                <c:pt idx="1648">
                  <c:v>131.060145388209</c:v>
                </c:pt>
                <c:pt idx="1649">
                  <c:v>131.1154260759</c:v>
                </c:pt>
                <c:pt idx="1650">
                  <c:v>130.499046408137</c:v>
                </c:pt>
                <c:pt idx="1651">
                  <c:v>129.27734321015</c:v>
                </c:pt>
                <c:pt idx="1652">
                  <c:v>129.761740236049</c:v>
                </c:pt>
                <c:pt idx="1653">
                  <c:v>130.260648442467</c:v>
                </c:pt>
                <c:pt idx="1654">
                  <c:v>129.414162912187</c:v>
                </c:pt>
                <c:pt idx="1655">
                  <c:v>130.46449597833</c:v>
                </c:pt>
                <c:pt idx="1656">
                  <c:v>130.772685812212</c:v>
                </c:pt>
                <c:pt idx="1657">
                  <c:v>131.328256723514</c:v>
                </c:pt>
                <c:pt idx="1658">
                  <c:v>131.328256723514</c:v>
                </c:pt>
                <c:pt idx="1659">
                  <c:v>132.114624505929</c:v>
                </c:pt>
                <c:pt idx="1660">
                  <c:v>131.96743967495</c:v>
                </c:pt>
                <c:pt idx="1661">
                  <c:v>132.675723486</c:v>
                </c:pt>
                <c:pt idx="1662">
                  <c:v>132.920340529036</c:v>
                </c:pt>
                <c:pt idx="1663">
                  <c:v>133.017081732497</c:v>
                </c:pt>
                <c:pt idx="1664">
                  <c:v>132.966638104978</c:v>
                </c:pt>
                <c:pt idx="1665">
                  <c:v>133.218165233976</c:v>
                </c:pt>
                <c:pt idx="1666">
                  <c:v>134.087454047928</c:v>
                </c:pt>
                <c:pt idx="1667">
                  <c:v>134.707979767268</c:v>
                </c:pt>
                <c:pt idx="1668">
                  <c:v>134.834434340363</c:v>
                </c:pt>
                <c:pt idx="1669">
                  <c:v>134.801265927748</c:v>
                </c:pt>
                <c:pt idx="1670">
                  <c:v>134.324469996407</c:v>
                </c:pt>
                <c:pt idx="1671">
                  <c:v>133.372260150916</c:v>
                </c:pt>
                <c:pt idx="1672">
                  <c:v>133.790320351585</c:v>
                </c:pt>
                <c:pt idx="1673">
                  <c:v>133.902263744161</c:v>
                </c:pt>
                <c:pt idx="1674">
                  <c:v>134.193178363139</c:v>
                </c:pt>
                <c:pt idx="1675">
                  <c:v>135.229000248763</c:v>
                </c:pt>
                <c:pt idx="1676">
                  <c:v>135.4017523978</c:v>
                </c:pt>
                <c:pt idx="1677">
                  <c:v>135.636004311894</c:v>
                </c:pt>
                <c:pt idx="1678">
                  <c:v>135.618038088394</c:v>
                </c:pt>
                <c:pt idx="1679">
                  <c:v>134.74529423146</c:v>
                </c:pt>
                <c:pt idx="1680">
                  <c:v>135.405207440781</c:v>
                </c:pt>
                <c:pt idx="1681">
                  <c:v>135.245584455071</c:v>
                </c:pt>
                <c:pt idx="1682">
                  <c:v>135.50402167003</c:v>
                </c:pt>
                <c:pt idx="1683">
                  <c:v>135.453578042511</c:v>
                </c:pt>
                <c:pt idx="1684">
                  <c:v>136.358108294867</c:v>
                </c:pt>
                <c:pt idx="1685">
                  <c:v>136.447939412366</c:v>
                </c:pt>
                <c:pt idx="1686">
                  <c:v>137.195610713397</c:v>
                </c:pt>
                <c:pt idx="1687">
                  <c:v>137.195610713397</c:v>
                </c:pt>
                <c:pt idx="1688">
                  <c:v>136.657315016999</c:v>
                </c:pt>
                <c:pt idx="1689">
                  <c:v>135.69404903397</c:v>
                </c:pt>
                <c:pt idx="1690">
                  <c:v>136.324248873656</c:v>
                </c:pt>
                <c:pt idx="1691">
                  <c:v>135.761076867796</c:v>
                </c:pt>
                <c:pt idx="1692">
                  <c:v>135.960778352083</c:v>
                </c:pt>
                <c:pt idx="1693">
                  <c:v>136.619309544211</c:v>
                </c:pt>
                <c:pt idx="1694">
                  <c:v>136.355344260483</c:v>
                </c:pt>
                <c:pt idx="1695">
                  <c:v>136.928190386688</c:v>
                </c:pt>
                <c:pt idx="1696">
                  <c:v>135.307775228724</c:v>
                </c:pt>
                <c:pt idx="1697">
                  <c:v>136.696702506979</c:v>
                </c:pt>
                <c:pt idx="1698">
                  <c:v>136.379529561348</c:v>
                </c:pt>
                <c:pt idx="1699">
                  <c:v>137.063628071533</c:v>
                </c:pt>
                <c:pt idx="1700">
                  <c:v>137.304099062992</c:v>
                </c:pt>
                <c:pt idx="1701">
                  <c:v>137.371126896819</c:v>
                </c:pt>
                <c:pt idx="1702">
                  <c:v>136.704994610133</c:v>
                </c:pt>
                <c:pt idx="1703">
                  <c:v>136.744382100113</c:v>
                </c:pt>
                <c:pt idx="1704">
                  <c:v>136.125238397966</c:v>
                </c:pt>
                <c:pt idx="1705">
                  <c:v>136.133530501119</c:v>
                </c:pt>
                <c:pt idx="1706">
                  <c:v>133.410956632301</c:v>
                </c:pt>
                <c:pt idx="1707">
                  <c:v>133.029519887227</c:v>
                </c:pt>
                <c:pt idx="1708">
                  <c:v>133.985875784295</c:v>
                </c:pt>
                <c:pt idx="1709">
                  <c:v>132.688161640731</c:v>
                </c:pt>
                <c:pt idx="1710">
                  <c:v>132.690234666519</c:v>
                </c:pt>
                <c:pt idx="1711">
                  <c:v>131.95292849443</c:v>
                </c:pt>
                <c:pt idx="1712">
                  <c:v>133.474529423146</c:v>
                </c:pt>
                <c:pt idx="1713">
                  <c:v>133.842837004892</c:v>
                </c:pt>
                <c:pt idx="1714">
                  <c:v>133.623787279914</c:v>
                </c:pt>
                <c:pt idx="1715">
                  <c:v>134.520025429116</c:v>
                </c:pt>
                <c:pt idx="1716">
                  <c:v>135.104618701457</c:v>
                </c:pt>
                <c:pt idx="1717">
                  <c:v>135.096326598303</c:v>
                </c:pt>
                <c:pt idx="1718">
                  <c:v>136.248928936676</c:v>
                </c:pt>
                <c:pt idx="1719">
                  <c:v>136.930263412477</c:v>
                </c:pt>
                <c:pt idx="1720">
                  <c:v>137.269548633185</c:v>
                </c:pt>
                <c:pt idx="1721">
                  <c:v>137.674479670527</c:v>
                </c:pt>
                <c:pt idx="1722">
                  <c:v>137.400149257857</c:v>
                </c:pt>
                <c:pt idx="1723">
                  <c:v>138.057989441389</c:v>
                </c:pt>
                <c:pt idx="1724">
                  <c:v>138.20310124658</c:v>
                </c:pt>
                <c:pt idx="1725">
                  <c:v>138.210011332541</c:v>
                </c:pt>
                <c:pt idx="1726">
                  <c:v>137.976450427043</c:v>
                </c:pt>
                <c:pt idx="1727">
                  <c:v>138.434589126289</c:v>
                </c:pt>
                <c:pt idx="1728">
                  <c:v>138.434589126289</c:v>
                </c:pt>
                <c:pt idx="1729">
                  <c:v>138.359269189309</c:v>
                </c:pt>
                <c:pt idx="1730">
                  <c:v>138.25147184831</c:v>
                </c:pt>
                <c:pt idx="1731">
                  <c:v>138.039332209293</c:v>
                </c:pt>
                <c:pt idx="1732">
                  <c:v>138.734486857016</c:v>
                </c:pt>
                <c:pt idx="1733">
                  <c:v>138.308134553194</c:v>
                </c:pt>
                <c:pt idx="1734">
                  <c:v>137.402913292241</c:v>
                </c:pt>
                <c:pt idx="1735">
                  <c:v>137.903894524448</c:v>
                </c:pt>
                <c:pt idx="1736">
                  <c:v>138.02551203737</c:v>
                </c:pt>
                <c:pt idx="1737">
                  <c:v>137.202520799359</c:v>
                </c:pt>
                <c:pt idx="1738">
                  <c:v>137.105088587302</c:v>
                </c:pt>
                <c:pt idx="1739">
                  <c:v>138.13123635258</c:v>
                </c:pt>
                <c:pt idx="1740">
                  <c:v>138.310207578982</c:v>
                </c:pt>
                <c:pt idx="1741">
                  <c:v>138.98670499461</c:v>
                </c:pt>
                <c:pt idx="1742">
                  <c:v>138.92036816938</c:v>
                </c:pt>
                <c:pt idx="1743">
                  <c:v>137.807153320987</c:v>
                </c:pt>
                <c:pt idx="1744">
                  <c:v>137.011111418226</c:v>
                </c:pt>
                <c:pt idx="1745">
                  <c:v>138.084247768042</c:v>
                </c:pt>
                <c:pt idx="1746">
                  <c:v>135.851598993891</c:v>
                </c:pt>
                <c:pt idx="1747">
                  <c:v>137.016639486995</c:v>
                </c:pt>
                <c:pt idx="1748">
                  <c:v>136.667680145941</c:v>
                </c:pt>
                <c:pt idx="1749">
                  <c:v>136.286934409464</c:v>
                </c:pt>
                <c:pt idx="1750">
                  <c:v>134.481328947732</c:v>
                </c:pt>
                <c:pt idx="1751">
                  <c:v>134.482019956328</c:v>
                </c:pt>
                <c:pt idx="1752">
                  <c:v>135.983581635756</c:v>
                </c:pt>
                <c:pt idx="1753">
                  <c:v>135.770750988142</c:v>
                </c:pt>
                <c:pt idx="1754">
                  <c:v>133.717073440394</c:v>
                </c:pt>
                <c:pt idx="1755">
                  <c:v>136.051991486774</c:v>
                </c:pt>
                <c:pt idx="1756">
                  <c:v>133.240968517648</c:v>
                </c:pt>
                <c:pt idx="1757">
                  <c:v>131.715221537356</c:v>
                </c:pt>
                <c:pt idx="1758">
                  <c:v>129.546145554051</c:v>
                </c:pt>
                <c:pt idx="1759">
                  <c:v>129.75068409851</c:v>
                </c:pt>
                <c:pt idx="1760">
                  <c:v>128.699660023771</c:v>
                </c:pt>
                <c:pt idx="1761">
                  <c:v>128.718317255867</c:v>
                </c:pt>
                <c:pt idx="1762">
                  <c:v>130.376737886619</c:v>
                </c:pt>
                <c:pt idx="1763">
                  <c:v>131.568727714973</c:v>
                </c:pt>
                <c:pt idx="1764">
                  <c:v>134.144116752812</c:v>
                </c:pt>
                <c:pt idx="1765">
                  <c:v>133.164957572072</c:v>
                </c:pt>
                <c:pt idx="1766">
                  <c:v>134.803338953537</c:v>
                </c:pt>
                <c:pt idx="1767">
                  <c:v>135.754166781835</c:v>
                </c:pt>
                <c:pt idx="1768">
                  <c:v>135.550319245971</c:v>
                </c:pt>
                <c:pt idx="1769">
                  <c:v>137.168661378148</c:v>
                </c:pt>
                <c:pt idx="1770">
                  <c:v>136.978634014207</c:v>
                </c:pt>
                <c:pt idx="1771">
                  <c:v>137.832029630449</c:v>
                </c:pt>
                <c:pt idx="1772">
                  <c:v>139.448989745432</c:v>
                </c:pt>
                <c:pt idx="1773">
                  <c:v>139.432405539125</c:v>
                </c:pt>
                <c:pt idx="1774">
                  <c:v>139.037839630725</c:v>
                </c:pt>
                <c:pt idx="1775">
                  <c:v>139.830426490506</c:v>
                </c:pt>
                <c:pt idx="1776">
                  <c:v>140.358357057962</c:v>
                </c:pt>
                <c:pt idx="1777">
                  <c:v>140.407418668288</c:v>
                </c:pt>
                <c:pt idx="1778">
                  <c:v>140.845518118245</c:v>
                </c:pt>
                <c:pt idx="1779">
                  <c:v>140.943641338898</c:v>
                </c:pt>
                <c:pt idx="1780">
                  <c:v>140.844827109649</c:v>
                </c:pt>
                <c:pt idx="1781">
                  <c:v>140.919456038033</c:v>
                </c:pt>
                <c:pt idx="1782">
                  <c:v>140.953315459244</c:v>
                </c:pt>
                <c:pt idx="1783">
                  <c:v>141.056966748666</c:v>
                </c:pt>
                <c:pt idx="1784">
                  <c:v>141.781143757428</c:v>
                </c:pt>
                <c:pt idx="1785">
                  <c:v>141.568313109815</c:v>
                </c:pt>
                <c:pt idx="1786">
                  <c:v>141.846789574062</c:v>
                </c:pt>
                <c:pt idx="1787">
                  <c:v>142.58962381492</c:v>
                </c:pt>
                <c:pt idx="1788">
                  <c:v>142.998009895243</c:v>
                </c:pt>
                <c:pt idx="1789">
                  <c:v>142.83354984936</c:v>
                </c:pt>
                <c:pt idx="1790">
                  <c:v>143.234334835125</c:v>
                </c:pt>
                <c:pt idx="1791">
                  <c:v>143.234334835125</c:v>
                </c:pt>
                <c:pt idx="1792">
                  <c:v>142.870173304956</c:v>
                </c:pt>
                <c:pt idx="1793">
                  <c:v>141.894469167196</c:v>
                </c:pt>
                <c:pt idx="1794">
                  <c:v>142.800381436745</c:v>
                </c:pt>
                <c:pt idx="1795">
                  <c:v>143.337986124547</c:v>
                </c:pt>
                <c:pt idx="1796">
                  <c:v>143.171453052876</c:v>
                </c:pt>
                <c:pt idx="1797">
                  <c:v>143.409851018547</c:v>
                </c:pt>
                <c:pt idx="1798">
                  <c:v>142.369192072749</c:v>
                </c:pt>
                <c:pt idx="1799">
                  <c:v>142.335332651538</c:v>
                </c:pt>
                <c:pt idx="1800">
                  <c:v>140.008015699715</c:v>
                </c:pt>
                <c:pt idx="1801">
                  <c:v>140.643052599574</c:v>
                </c:pt>
                <c:pt idx="1802">
                  <c:v>138.362724232289</c:v>
                </c:pt>
                <c:pt idx="1803">
                  <c:v>137.485143315183</c:v>
                </c:pt>
                <c:pt idx="1804">
                  <c:v>136.318029796291</c:v>
                </c:pt>
                <c:pt idx="1805">
                  <c:v>139.092429309821</c:v>
                </c:pt>
                <c:pt idx="1806">
                  <c:v>142.432764863595</c:v>
                </c:pt>
                <c:pt idx="1807">
                  <c:v>143.083694961165</c:v>
                </c:pt>
                <c:pt idx="1808">
                  <c:v>143.628900743525</c:v>
                </c:pt>
                <c:pt idx="1809">
                  <c:v>143.879736863927</c:v>
                </c:pt>
                <c:pt idx="1810">
                  <c:v>143.859697614638</c:v>
                </c:pt>
                <c:pt idx="1811">
                  <c:v>144.335802537384</c:v>
                </c:pt>
                <c:pt idx="1812">
                  <c:v>144.46018408469</c:v>
                </c:pt>
                <c:pt idx="1813">
                  <c:v>143.753973299428</c:v>
                </c:pt>
                <c:pt idx="1814">
                  <c:v>142.271759860693</c:v>
                </c:pt>
                <c:pt idx="1815">
                  <c:v>142.223389258962</c:v>
                </c:pt>
                <c:pt idx="1816">
                  <c:v>139.623814920258</c:v>
                </c:pt>
                <c:pt idx="1817">
                  <c:v>138.382072472982</c:v>
                </c:pt>
                <c:pt idx="1818">
                  <c:v>139.991431493408</c:v>
                </c:pt>
                <c:pt idx="1819">
                  <c:v>142.495646645844</c:v>
                </c:pt>
                <c:pt idx="1820">
                  <c:v>141.298128748722</c:v>
                </c:pt>
                <c:pt idx="1821">
                  <c:v>140.154509522098</c:v>
                </c:pt>
                <c:pt idx="1822">
                  <c:v>139.793112026314</c:v>
                </c:pt>
                <c:pt idx="1823">
                  <c:v>138.980485917245</c:v>
                </c:pt>
                <c:pt idx="1824">
                  <c:v>137.695209928412</c:v>
                </c:pt>
                <c:pt idx="1825">
                  <c:v>139.543657923105</c:v>
                </c:pt>
                <c:pt idx="1826">
                  <c:v>139.543657923105</c:v>
                </c:pt>
                <c:pt idx="1827">
                  <c:v>139.759943613699</c:v>
                </c:pt>
                <c:pt idx="1828">
                  <c:v>140.421238840211</c:v>
                </c:pt>
                <c:pt idx="1829">
                  <c:v>142.565438514055</c:v>
                </c:pt>
                <c:pt idx="1830">
                  <c:v>141.782525774621</c:v>
                </c:pt>
                <c:pt idx="1831">
                  <c:v>142.14668730479</c:v>
                </c:pt>
                <c:pt idx="1832">
                  <c:v>140.243649631001</c:v>
                </c:pt>
                <c:pt idx="1833">
                  <c:v>138.350977086155</c:v>
                </c:pt>
                <c:pt idx="1834">
                  <c:v>139.670112496199</c:v>
                </c:pt>
                <c:pt idx="1835">
                  <c:v>137.855523922718</c:v>
                </c:pt>
                <c:pt idx="1836">
                  <c:v>139.642472152354</c:v>
                </c:pt>
                <c:pt idx="1837">
                  <c:v>141.65883523591</c:v>
                </c:pt>
                <c:pt idx="1838">
                  <c:v>141.070095911993</c:v>
                </c:pt>
                <c:pt idx="1839">
                  <c:v>142.521904972498</c:v>
                </c:pt>
                <c:pt idx="1840">
                  <c:v>142.034743912214</c:v>
                </c:pt>
                <c:pt idx="1841">
                  <c:v>141.431493407778</c:v>
                </c:pt>
                <c:pt idx="1842">
                  <c:v>142.941347190359</c:v>
                </c:pt>
                <c:pt idx="1843">
                  <c:v>142.937201138782</c:v>
                </c:pt>
                <c:pt idx="1844">
                  <c:v>144.315763288095</c:v>
                </c:pt>
                <c:pt idx="1845">
                  <c:v>144.903811603416</c:v>
                </c:pt>
                <c:pt idx="1846">
                  <c:v>144.903811603416</c:v>
                </c:pt>
                <c:pt idx="1847">
                  <c:v>145.135299483126</c:v>
                </c:pt>
                <c:pt idx="1848">
                  <c:v>145.08969291578</c:v>
                </c:pt>
                <c:pt idx="1849">
                  <c:v>144.935597998839</c:v>
                </c:pt>
                <c:pt idx="1850">
                  <c:v>145.823544044888</c:v>
                </c:pt>
                <c:pt idx="1851">
                  <c:v>145.779319494735</c:v>
                </c:pt>
                <c:pt idx="1852">
                  <c:v>146.181486497692</c:v>
                </c:pt>
                <c:pt idx="1853">
                  <c:v>146.069543105116</c:v>
                </c:pt>
                <c:pt idx="1854">
                  <c:v>145.853948423118</c:v>
                </c:pt>
                <c:pt idx="1855">
                  <c:v>145.422759059123</c:v>
                </c:pt>
                <c:pt idx="1856">
                  <c:v>146.313469139556</c:v>
                </c:pt>
                <c:pt idx="1857">
                  <c:v>145.649409878659</c:v>
                </c:pt>
                <c:pt idx="1858">
                  <c:v>145.010226927223</c:v>
                </c:pt>
                <c:pt idx="1859">
                  <c:v>145.183670084856</c:v>
                </c:pt>
                <c:pt idx="1860">
                  <c:v>143.12584648553</c:v>
                </c:pt>
                <c:pt idx="1861">
                  <c:v>143.690400508582</c:v>
                </c:pt>
                <c:pt idx="1862">
                  <c:v>141.253213189972</c:v>
                </c:pt>
                <c:pt idx="1863">
                  <c:v>140.982337820283</c:v>
                </c:pt>
                <c:pt idx="1864">
                  <c:v>142.758920920976</c:v>
                </c:pt>
                <c:pt idx="1865">
                  <c:v>141.891705132812</c:v>
                </c:pt>
                <c:pt idx="1866">
                  <c:v>143.812018021504</c:v>
                </c:pt>
                <c:pt idx="1867">
                  <c:v>143.334531081567</c:v>
                </c:pt>
                <c:pt idx="1868">
                  <c:v>145.077254761049</c:v>
                </c:pt>
                <c:pt idx="1869">
                  <c:v>144.370352967191</c:v>
                </c:pt>
                <c:pt idx="1870">
                  <c:v>145.671522153736</c:v>
                </c:pt>
                <c:pt idx="1871">
                  <c:v>145.417230990354</c:v>
                </c:pt>
                <c:pt idx="1872">
                  <c:v>144.524447884132</c:v>
                </c:pt>
                <c:pt idx="1873">
                  <c:v>142.420326708864</c:v>
                </c:pt>
                <c:pt idx="1874">
                  <c:v>142.081732496752</c:v>
                </c:pt>
                <c:pt idx="1875">
                  <c:v>142.418253683076</c:v>
                </c:pt>
                <c:pt idx="1876">
                  <c:v>144.160977362558</c:v>
                </c:pt>
                <c:pt idx="1877">
                  <c:v>142.892976588629</c:v>
                </c:pt>
                <c:pt idx="1878">
                  <c:v>142.326349539788</c:v>
                </c:pt>
                <c:pt idx="1879">
                  <c:v>142.828712789187</c:v>
                </c:pt>
                <c:pt idx="1880">
                  <c:v>142.828712789187</c:v>
                </c:pt>
                <c:pt idx="1881">
                  <c:v>143.772630531524</c:v>
                </c:pt>
                <c:pt idx="1882">
                  <c:v>143.476187843777</c:v>
                </c:pt>
                <c:pt idx="1883">
                  <c:v>143.861079631831</c:v>
                </c:pt>
                <c:pt idx="1884">
                  <c:v>144.502335609055</c:v>
                </c:pt>
                <c:pt idx="1885">
                  <c:v>145.254152961663</c:v>
                </c:pt>
                <c:pt idx="1886">
                  <c:v>144.588711683573</c:v>
                </c:pt>
                <c:pt idx="1887">
                  <c:v>144.824345614859</c:v>
                </c:pt>
                <c:pt idx="1888">
                  <c:v>145.569943890102</c:v>
                </c:pt>
                <c:pt idx="1889">
                  <c:v>145.456618480334</c:v>
                </c:pt>
                <c:pt idx="1890">
                  <c:v>143.811327012908</c:v>
                </c:pt>
                <c:pt idx="1891">
                  <c:v>145.139445534702</c:v>
                </c:pt>
                <c:pt idx="1892">
                  <c:v>144.924541861301</c:v>
                </c:pt>
                <c:pt idx="1893">
                  <c:v>145.66184803339</c:v>
                </c:pt>
                <c:pt idx="1894">
                  <c:v>146.005279305675</c:v>
                </c:pt>
                <c:pt idx="1895">
                  <c:v>146.334199397441</c:v>
                </c:pt>
                <c:pt idx="1896">
                  <c:v>145.72818485862</c:v>
                </c:pt>
                <c:pt idx="1897">
                  <c:v>146.131733878769</c:v>
                </c:pt>
                <c:pt idx="1898">
                  <c:v>145.585146079217</c:v>
                </c:pt>
                <c:pt idx="1899">
                  <c:v>144.11053373504</c:v>
                </c:pt>
                <c:pt idx="1900">
                  <c:v>145.684651317062</c:v>
                </c:pt>
                <c:pt idx="1901">
                  <c:v>146.113076646673</c:v>
                </c:pt>
                <c:pt idx="1902">
                  <c:v>144.383482130518</c:v>
                </c:pt>
                <c:pt idx="1903">
                  <c:v>143.740153127505</c:v>
                </c:pt>
                <c:pt idx="1904">
                  <c:v>144.28259487548</c:v>
                </c:pt>
                <c:pt idx="1905">
                  <c:v>146.224329030653</c:v>
                </c:pt>
                <c:pt idx="1906">
                  <c:v>145.480112772603</c:v>
                </c:pt>
                <c:pt idx="1907">
                  <c:v>145.050996434396</c:v>
                </c:pt>
                <c:pt idx="1908">
                  <c:v>145.006771884242</c:v>
                </c:pt>
                <c:pt idx="1909">
                  <c:v>146.569833328727</c:v>
                </c:pt>
                <c:pt idx="1910">
                  <c:v>146.682467729899</c:v>
                </c:pt>
                <c:pt idx="1911">
                  <c:v>147.129550291606</c:v>
                </c:pt>
                <c:pt idx="1912">
                  <c:v>147.034882113934</c:v>
                </c:pt>
                <c:pt idx="1913">
                  <c:v>146.898062411896</c:v>
                </c:pt>
                <c:pt idx="1914">
                  <c:v>147.241493684181</c:v>
                </c:pt>
                <c:pt idx="1915">
                  <c:v>146.912573592415</c:v>
                </c:pt>
                <c:pt idx="1916">
                  <c:v>145.402028801238</c:v>
                </c:pt>
                <c:pt idx="1917">
                  <c:v>146.73429337461</c:v>
                </c:pt>
                <c:pt idx="1918">
                  <c:v>146.548412062246</c:v>
                </c:pt>
                <c:pt idx="1919">
                  <c:v>145.622460543409</c:v>
                </c:pt>
                <c:pt idx="1920">
                  <c:v>145.922358274137</c:v>
                </c:pt>
                <c:pt idx="1921">
                  <c:v>145.775173443158</c:v>
                </c:pt>
                <c:pt idx="1922">
                  <c:v>146.084054285635</c:v>
                </c:pt>
                <c:pt idx="1923">
                  <c:v>144.824345614859</c:v>
                </c:pt>
                <c:pt idx="1924">
                  <c:v>144.616352027419</c:v>
                </c:pt>
                <c:pt idx="1925">
                  <c:v>143.68003537964</c:v>
                </c:pt>
                <c:pt idx="1926">
                  <c:v>143.740153127505</c:v>
                </c:pt>
                <c:pt idx="1927">
                  <c:v>145.471129660853</c:v>
                </c:pt>
                <c:pt idx="1928">
                  <c:v>145.724038807043</c:v>
                </c:pt>
                <c:pt idx="1929">
                  <c:v>144.704801127726</c:v>
                </c:pt>
                <c:pt idx="1930">
                  <c:v>144.035904806656</c:v>
                </c:pt>
                <c:pt idx="1931">
                  <c:v>144.855441001686</c:v>
                </c:pt>
                <c:pt idx="1932">
                  <c:v>145.142209569087</c:v>
                </c:pt>
                <c:pt idx="1933">
                  <c:v>146.579507449073</c:v>
                </c:pt>
                <c:pt idx="1934">
                  <c:v>145.802122778407</c:v>
                </c:pt>
                <c:pt idx="1935">
                  <c:v>146.690759833052</c:v>
                </c:pt>
                <c:pt idx="1936">
                  <c:v>146.784045993532</c:v>
                </c:pt>
                <c:pt idx="1937">
                  <c:v>145.704690566351</c:v>
                </c:pt>
                <c:pt idx="1938">
                  <c:v>145.271428176567</c:v>
                </c:pt>
                <c:pt idx="1939">
                  <c:v>145.214765471682</c:v>
                </c:pt>
                <c:pt idx="1940">
                  <c:v>142.184692777578</c:v>
                </c:pt>
                <c:pt idx="1941">
                  <c:v>142.562674479671</c:v>
                </c:pt>
                <c:pt idx="1942">
                  <c:v>143.551507780757</c:v>
                </c:pt>
                <c:pt idx="1943">
                  <c:v>143.507283230603</c:v>
                </c:pt>
                <c:pt idx="1944">
                  <c:v>143.507283230603</c:v>
                </c:pt>
                <c:pt idx="1945">
                  <c:v>142.953094336494</c:v>
                </c:pt>
                <c:pt idx="1946">
                  <c:v>143.822383150446</c:v>
                </c:pt>
                <c:pt idx="1947">
                  <c:v>141.427347356201</c:v>
                </c:pt>
                <c:pt idx="1948">
                  <c:v>141.747284336217</c:v>
                </c:pt>
                <c:pt idx="1949">
                  <c:v>143.496227093065</c:v>
                </c:pt>
                <c:pt idx="1950">
                  <c:v>145.084164847011</c:v>
                </c:pt>
                <c:pt idx="1951">
                  <c:v>145.730257884408</c:v>
                </c:pt>
                <c:pt idx="1952">
                  <c:v>145.623151552005</c:v>
                </c:pt>
                <c:pt idx="1953">
                  <c:v>146.790265070897</c:v>
                </c:pt>
                <c:pt idx="1954">
                  <c:v>146.952652090992</c:v>
                </c:pt>
                <c:pt idx="1955">
                  <c:v>147.06597750076</c:v>
                </c:pt>
                <c:pt idx="1956">
                  <c:v>146.439232704055</c:v>
                </c:pt>
                <c:pt idx="1957">
                  <c:v>146.089582354404</c:v>
                </c:pt>
                <c:pt idx="1958">
                  <c:v>145.260372039028</c:v>
                </c:pt>
                <c:pt idx="1959">
                  <c:v>143.705602697698</c:v>
                </c:pt>
                <c:pt idx="1960">
                  <c:v>142.875701373725</c:v>
                </c:pt>
                <c:pt idx="1961">
                  <c:v>142.875701373725</c:v>
                </c:pt>
                <c:pt idx="1962">
                  <c:v>145.703999557755</c:v>
                </c:pt>
                <c:pt idx="1963">
                  <c:v>145.708145609331</c:v>
                </c:pt>
                <c:pt idx="1964">
                  <c:v>145.377152491777</c:v>
                </c:pt>
                <c:pt idx="1965">
                  <c:v>144.976367506012</c:v>
                </c:pt>
                <c:pt idx="1966">
                  <c:v>144.65021144863</c:v>
                </c:pt>
                <c:pt idx="1967">
                  <c:v>145.100749053318</c:v>
                </c:pt>
                <c:pt idx="1968">
                  <c:v>143.975787058791</c:v>
                </c:pt>
                <c:pt idx="1969">
                  <c:v>143.561872909699</c:v>
                </c:pt>
                <c:pt idx="1970">
                  <c:v>145.400646784046</c:v>
                </c:pt>
                <c:pt idx="1971">
                  <c:v>144.011028497195</c:v>
                </c:pt>
                <c:pt idx="1972">
                  <c:v>144.147848199232</c:v>
                </c:pt>
                <c:pt idx="1973">
                  <c:v>143.964039912657</c:v>
                </c:pt>
                <c:pt idx="1974">
                  <c:v>144.527211918516</c:v>
                </c:pt>
                <c:pt idx="1975">
                  <c:v>145.280411288316</c:v>
                </c:pt>
                <c:pt idx="1976">
                  <c:v>144.898974543243</c:v>
                </c:pt>
                <c:pt idx="1977">
                  <c:v>143.702838663313</c:v>
                </c:pt>
                <c:pt idx="1978">
                  <c:v>140.67069294342</c:v>
                </c:pt>
                <c:pt idx="1979">
                  <c:v>136.190193206003</c:v>
                </c:pt>
                <c:pt idx="1980">
                  <c:v>130.822438431134</c:v>
                </c:pt>
                <c:pt idx="1981">
                  <c:v>129.054147433594</c:v>
                </c:pt>
                <c:pt idx="1982">
                  <c:v>134.090909090909</c:v>
                </c:pt>
                <c:pt idx="1983">
                  <c:v>137.349014621742</c:v>
                </c:pt>
                <c:pt idx="1984">
                  <c:v>137.432626661876</c:v>
                </c:pt>
                <c:pt idx="1985">
                  <c:v>136.279333314906</c:v>
                </c:pt>
                <c:pt idx="1986">
                  <c:v>132.248680173581</c:v>
                </c:pt>
                <c:pt idx="1987">
                  <c:v>134.667901268692</c:v>
                </c:pt>
                <c:pt idx="1988">
                  <c:v>134.824760220017</c:v>
                </c:pt>
                <c:pt idx="1989">
                  <c:v>132.757953508942</c:v>
                </c:pt>
                <c:pt idx="1990">
                  <c:v>132.757953508942</c:v>
                </c:pt>
                <c:pt idx="1991">
                  <c:v>136.087923933774</c:v>
                </c:pt>
                <c:pt idx="1992">
                  <c:v>134.19663340612</c:v>
                </c:pt>
                <c:pt idx="1993">
                  <c:v>134.90491721717</c:v>
                </c:pt>
                <c:pt idx="1994">
                  <c:v>135.510240747395</c:v>
                </c:pt>
                <c:pt idx="1995">
                  <c:v>134.956051853285</c:v>
                </c:pt>
                <c:pt idx="1996">
                  <c:v>136.687719395229</c:v>
                </c:pt>
                <c:pt idx="1997">
                  <c:v>137.877636197794</c:v>
                </c:pt>
                <c:pt idx="1998">
                  <c:v>137.524530805163</c:v>
                </c:pt>
                <c:pt idx="1999">
                  <c:v>135.305011194339</c:v>
                </c:pt>
                <c:pt idx="2000">
                  <c:v>135.919317836314</c:v>
                </c:pt>
                <c:pt idx="2001">
                  <c:v>134.24500400785</c:v>
                </c:pt>
                <c:pt idx="2002">
                  <c:v>133.969982586583</c:v>
                </c:pt>
                <c:pt idx="2003">
                  <c:v>133.519444981896</c:v>
                </c:pt>
                <c:pt idx="2004">
                  <c:v>133.457254208242</c:v>
                </c:pt>
                <c:pt idx="2005">
                  <c:v>130.031924597142</c:v>
                </c:pt>
                <c:pt idx="2006">
                  <c:v>130.192238591448</c:v>
                </c:pt>
                <c:pt idx="2007">
                  <c:v>132.675723486</c:v>
                </c:pt>
                <c:pt idx="2008">
                  <c:v>132.93761574394</c:v>
                </c:pt>
                <c:pt idx="2009">
                  <c:v>134.840653417729</c:v>
                </c:pt>
                <c:pt idx="2010">
                  <c:v>137.306863097377</c:v>
                </c:pt>
                <c:pt idx="2011">
                  <c:v>136.814173968324</c:v>
                </c:pt>
                <c:pt idx="2012">
                  <c:v>137.913568644794</c:v>
                </c:pt>
                <c:pt idx="2013">
                  <c:v>139.129743774013</c:v>
                </c:pt>
                <c:pt idx="2014">
                  <c:v>139.23063102905</c:v>
                </c:pt>
                <c:pt idx="2015">
                  <c:v>139.40822023826</c:v>
                </c:pt>
                <c:pt idx="2016">
                  <c:v>138.456701401365</c:v>
                </c:pt>
                <c:pt idx="2017">
                  <c:v>137.803698278007</c:v>
                </c:pt>
                <c:pt idx="2018">
                  <c:v>139.850465739794</c:v>
                </c:pt>
                <c:pt idx="2019">
                  <c:v>140.48964869123</c:v>
                </c:pt>
                <c:pt idx="2020">
                  <c:v>140.527654164018</c:v>
                </c:pt>
                <c:pt idx="2021">
                  <c:v>140.327952679731</c:v>
                </c:pt>
                <c:pt idx="2022">
                  <c:v>139.51048951049</c:v>
                </c:pt>
                <c:pt idx="2023">
                  <c:v>141.830205367755</c:v>
                </c:pt>
                <c:pt idx="2024">
                  <c:v>143.394648829431</c:v>
                </c:pt>
                <c:pt idx="2025">
                  <c:v>143.120318416761</c:v>
                </c:pt>
                <c:pt idx="2026">
                  <c:v>142.754774869399</c:v>
                </c:pt>
                <c:pt idx="2027">
                  <c:v>144.444981895575</c:v>
                </c:pt>
                <c:pt idx="2028">
                  <c:v>144.380027087537</c:v>
                </c:pt>
                <c:pt idx="2029">
                  <c:v>143.685563448409</c:v>
                </c:pt>
                <c:pt idx="2030">
                  <c:v>145.391663672296</c:v>
                </c:pt>
                <c:pt idx="2031">
                  <c:v>145.788302606484</c:v>
                </c:pt>
                <c:pt idx="2032">
                  <c:v>145.271428176567</c:v>
                </c:pt>
                <c:pt idx="2033">
                  <c:v>145.106968130684</c:v>
                </c:pt>
                <c:pt idx="2034">
                  <c:v>145.056524503165</c:v>
                </c:pt>
                <c:pt idx="2035">
                  <c:v>143.63166477791</c:v>
                </c:pt>
                <c:pt idx="2036">
                  <c:v>143.8486414771</c:v>
                </c:pt>
                <c:pt idx="2037">
                  <c:v>143.384283700489</c:v>
                </c:pt>
                <c:pt idx="2038">
                  <c:v>141.378285745875</c:v>
                </c:pt>
                <c:pt idx="2039">
                  <c:v>139.79380303491</c:v>
                </c:pt>
                <c:pt idx="2040">
                  <c:v>141.877193952293</c:v>
                </c:pt>
                <c:pt idx="2041">
                  <c:v>141.687166588352</c:v>
                </c:pt>
                <c:pt idx="2042">
                  <c:v>143.977169075983</c:v>
                </c:pt>
                <c:pt idx="2043">
                  <c:v>143.815473064485</c:v>
                </c:pt>
                <c:pt idx="2044">
                  <c:v>144.363442881229</c:v>
                </c:pt>
                <c:pt idx="2045">
                  <c:v>144.185162663424</c:v>
                </c:pt>
                <c:pt idx="2046">
                  <c:v>144.361369855441</c:v>
                </c:pt>
                <c:pt idx="2047">
                  <c:v>144.342712623345</c:v>
                </c:pt>
                <c:pt idx="2048">
                  <c:v>144.342712623345</c:v>
                </c:pt>
                <c:pt idx="2049">
                  <c:v>144.428397689267</c:v>
                </c:pt>
                <c:pt idx="2050">
                  <c:v>143.758119351005</c:v>
                </c:pt>
                <c:pt idx="2051">
                  <c:v>145.293540451643</c:v>
                </c:pt>
                <c:pt idx="2052">
                  <c:v>143.695928577352</c:v>
                </c:pt>
                <c:pt idx="2053">
                  <c:v>141.630503883468</c:v>
                </c:pt>
                <c:pt idx="2054">
                  <c:v>144.537577047458</c:v>
                </c:pt>
                <c:pt idx="2055">
                  <c:v>143.527322479892</c:v>
                </c:pt>
                <c:pt idx="2056">
                  <c:v>142.595842892286</c:v>
                </c:pt>
                <c:pt idx="2057">
                  <c:v>141.492302164239</c:v>
                </c:pt>
                <c:pt idx="2058">
                  <c:v>141.810857127063</c:v>
                </c:pt>
                <c:pt idx="2059">
                  <c:v>139.056496862821</c:v>
                </c:pt>
                <c:pt idx="2060">
                  <c:v>139.717792089334</c:v>
                </c:pt>
                <c:pt idx="2061">
                  <c:v>141.201387545261</c:v>
                </c:pt>
                <c:pt idx="2062">
                  <c:v>143.250919041433</c:v>
                </c:pt>
                <c:pt idx="2063">
                  <c:v>141.096354238647</c:v>
                </c:pt>
                <c:pt idx="2064">
                  <c:v>138.585229000249</c:v>
                </c:pt>
                <c:pt idx="2065">
                  <c:v>139.663202410238</c:v>
                </c:pt>
                <c:pt idx="2066">
                  <c:v>140.894579728572</c:v>
                </c:pt>
                <c:pt idx="2067">
                  <c:v>142.644213494016</c:v>
                </c:pt>
                <c:pt idx="2068">
                  <c:v>142.416180657287</c:v>
                </c:pt>
                <c:pt idx="2069">
                  <c:v>142.105917797617</c:v>
                </c:pt>
                <c:pt idx="2070">
                  <c:v>143.616462588795</c:v>
                </c:pt>
                <c:pt idx="2071">
                  <c:v>142.579949694574</c:v>
                </c:pt>
                <c:pt idx="2072">
                  <c:v>141.238011000857</c:v>
                </c:pt>
                <c:pt idx="2073">
                  <c:v>139.076536112109</c:v>
                </c:pt>
                <c:pt idx="2074">
                  <c:v>139.356394593549</c:v>
                </c:pt>
                <c:pt idx="2075">
                  <c:v>137.52867685674</c:v>
                </c:pt>
                <c:pt idx="2076">
                  <c:v>134.269189308715</c:v>
                </c:pt>
                <c:pt idx="2077">
                  <c:v>132.81392520523</c:v>
                </c:pt>
                <c:pt idx="2078">
                  <c:v>132.927250614998</c:v>
                </c:pt>
                <c:pt idx="2079">
                  <c:v>133.964454517814</c:v>
                </c:pt>
                <c:pt idx="2080">
                  <c:v>130.619972912463</c:v>
                </c:pt>
                <c:pt idx="2081">
                  <c:v>132.800796041903</c:v>
                </c:pt>
                <c:pt idx="2082">
                  <c:v>129.929655324912</c:v>
                </c:pt>
                <c:pt idx="2083">
                  <c:v>129.929655324912</c:v>
                </c:pt>
                <c:pt idx="2084">
                  <c:v>130.001520218912</c:v>
                </c:pt>
                <c:pt idx="2085">
                  <c:v>128.481301307388</c:v>
                </c:pt>
                <c:pt idx="2086">
                  <c:v>129.148815611266</c:v>
                </c:pt>
                <c:pt idx="2087">
                  <c:v>131.768429199259</c:v>
                </c:pt>
                <c:pt idx="2088">
                  <c:v>129.707841565549</c:v>
                </c:pt>
                <c:pt idx="2089">
                  <c:v>131.542469388319</c:v>
                </c:pt>
                <c:pt idx="2090">
                  <c:v>130.113463611487</c:v>
                </c:pt>
                <c:pt idx="2091">
                  <c:v>130.832803560076</c:v>
                </c:pt>
                <c:pt idx="2092">
                  <c:v>134.072251858813</c:v>
                </c:pt>
                <c:pt idx="2093">
                  <c:v>134.012825119544</c:v>
                </c:pt>
                <c:pt idx="2094">
                  <c:v>131.50100887255</c:v>
                </c:pt>
                <c:pt idx="2095">
                  <c:v>132.15746703889</c:v>
                </c:pt>
                <c:pt idx="2096">
                  <c:v>132.359241548965</c:v>
                </c:pt>
                <c:pt idx="2097">
                  <c:v>129.910998092816</c:v>
                </c:pt>
                <c:pt idx="2098">
                  <c:v>128.074297244258</c:v>
                </c:pt>
                <c:pt idx="2099">
                  <c:v>127.989303186932</c:v>
                </c:pt>
                <c:pt idx="2100">
                  <c:v>127.965117886067</c:v>
                </c:pt>
                <c:pt idx="2101">
                  <c:v>126.391000304044</c:v>
                </c:pt>
                <c:pt idx="2102">
                  <c:v>128.857900992288</c:v>
                </c:pt>
                <c:pt idx="2103">
                  <c:v>128.857900992288</c:v>
                </c:pt>
                <c:pt idx="2104">
                  <c:v>130.986207468421</c:v>
                </c:pt>
                <c:pt idx="2105">
                  <c:v>133.144918322784</c:v>
                </c:pt>
                <c:pt idx="2106">
                  <c:v>132.523701594848</c:v>
                </c:pt>
                <c:pt idx="2107">
                  <c:v>132.520246551867</c:v>
                </c:pt>
                <c:pt idx="2108">
                  <c:v>134.435722380386</c:v>
                </c:pt>
                <c:pt idx="2109">
                  <c:v>132.761408551922</c:v>
                </c:pt>
                <c:pt idx="2110">
                  <c:v>133.350838884436</c:v>
                </c:pt>
                <c:pt idx="2111">
                  <c:v>134.864147709998</c:v>
                </c:pt>
                <c:pt idx="2112">
                  <c:v>134.611929572404</c:v>
                </c:pt>
                <c:pt idx="2113">
                  <c:v>133.518753973299</c:v>
                </c:pt>
                <c:pt idx="2114">
                  <c:v>136.705685618729</c:v>
                </c:pt>
                <c:pt idx="2115">
                  <c:v>137.265402581608</c:v>
                </c:pt>
                <c:pt idx="2116">
                  <c:v>137.74565355593</c:v>
                </c:pt>
                <c:pt idx="2117">
                  <c:v>138.201028220791</c:v>
                </c:pt>
                <c:pt idx="2118">
                  <c:v>138.323336742309</c:v>
                </c:pt>
                <c:pt idx="2119">
                  <c:v>136.768567400978</c:v>
                </c:pt>
                <c:pt idx="2120">
                  <c:v>137.459575997125</c:v>
                </c:pt>
                <c:pt idx="2121">
                  <c:v>137.480997263606</c:v>
                </c:pt>
                <c:pt idx="2122">
                  <c:v>139.735067304237</c:v>
                </c:pt>
                <c:pt idx="2123">
                  <c:v>139.55886011222</c:v>
                </c:pt>
                <c:pt idx="2124">
                  <c:v>139.302495923049</c:v>
                </c:pt>
                <c:pt idx="2125">
                  <c:v>140.082644628099</c:v>
                </c:pt>
                <c:pt idx="2126">
                  <c:v>141.006523121148</c:v>
                </c:pt>
                <c:pt idx="2127">
                  <c:v>141.626357831891</c:v>
                </c:pt>
                <c:pt idx="2128">
                  <c:v>141.767323585505</c:v>
                </c:pt>
                <c:pt idx="2129">
                  <c:v>141.642942038199</c:v>
                </c:pt>
                <c:pt idx="2130">
                  <c:v>140.738411785843</c:v>
                </c:pt>
                <c:pt idx="2131">
                  <c:v>140.685204123939</c:v>
                </c:pt>
                <c:pt idx="2132">
                  <c:v>140.685204123939</c:v>
                </c:pt>
                <c:pt idx="2133">
                  <c:v>140.761906078112</c:v>
                </c:pt>
                <c:pt idx="2134">
                  <c:v>142.002957516792</c:v>
                </c:pt>
                <c:pt idx="2135">
                  <c:v>142.620719201747</c:v>
                </c:pt>
                <c:pt idx="2136">
                  <c:v>142.329804582769</c:v>
                </c:pt>
                <c:pt idx="2137">
                  <c:v>143.230879792145</c:v>
                </c:pt>
                <c:pt idx="2138">
                  <c:v>142.771359075707</c:v>
                </c:pt>
                <c:pt idx="2139">
                  <c:v>141.323005058183</c:v>
                </c:pt>
                <c:pt idx="2140">
                  <c:v>142.807982531303</c:v>
                </c:pt>
                <c:pt idx="2141">
                  <c:v>141.097736255839</c:v>
                </c:pt>
                <c:pt idx="2142">
                  <c:v>141.490920147047</c:v>
                </c:pt>
                <c:pt idx="2143">
                  <c:v>141.103264324608</c:v>
                </c:pt>
                <c:pt idx="2144">
                  <c:v>142.466624284806</c:v>
                </c:pt>
                <c:pt idx="2145">
                  <c:v>143.89701207883</c:v>
                </c:pt>
                <c:pt idx="2146">
                  <c:v>143.921888388292</c:v>
                </c:pt>
                <c:pt idx="2147">
                  <c:v>143.780231626081</c:v>
                </c:pt>
                <c:pt idx="2148">
                  <c:v>144.720694325437</c:v>
                </c:pt>
                <c:pt idx="2149">
                  <c:v>145.167085878548</c:v>
                </c:pt>
                <c:pt idx="2150">
                  <c:v>145.277647253932</c:v>
                </c:pt>
                <c:pt idx="2151">
                  <c:v>144.523065866939</c:v>
                </c:pt>
                <c:pt idx="2152">
                  <c:v>144.529975952901</c:v>
                </c:pt>
                <c:pt idx="2153">
                  <c:v>144.268083694961</c:v>
                </c:pt>
                <c:pt idx="2154">
                  <c:v>144.538268056055</c:v>
                </c:pt>
                <c:pt idx="2155">
                  <c:v>144.776666021725</c:v>
                </c:pt>
                <c:pt idx="2156">
                  <c:v>143.440255396777</c:v>
                </c:pt>
                <c:pt idx="2157">
                  <c:v>142.714005362227</c:v>
                </c:pt>
                <c:pt idx="2158">
                  <c:v>143.828602227812</c:v>
                </c:pt>
                <c:pt idx="2159">
                  <c:v>142.58064070317</c:v>
                </c:pt>
                <c:pt idx="2160">
                  <c:v>141.73415517289</c:v>
                </c:pt>
                <c:pt idx="2161">
                  <c:v>141.700295751679</c:v>
                </c:pt>
                <c:pt idx="2162">
                  <c:v>142.150142347771</c:v>
                </c:pt>
                <c:pt idx="2163">
                  <c:v>142.257248680174</c:v>
                </c:pt>
                <c:pt idx="2164">
                  <c:v>144.033140772271</c:v>
                </c:pt>
                <c:pt idx="2165">
                  <c:v>142.65596064015</c:v>
                </c:pt>
                <c:pt idx="2166">
                  <c:v>142.631775339285</c:v>
                </c:pt>
                <c:pt idx="2167">
                  <c:v>141.422510296028</c:v>
                </c:pt>
                <c:pt idx="2168">
                  <c:v>142.807982531303</c:v>
                </c:pt>
                <c:pt idx="2169">
                  <c:v>141.463970811797</c:v>
                </c:pt>
                <c:pt idx="2170">
                  <c:v>141.492993172835</c:v>
                </c:pt>
                <c:pt idx="2171">
                  <c:v>140.96851764836</c:v>
                </c:pt>
                <c:pt idx="2172">
                  <c:v>141.817076204428</c:v>
                </c:pt>
                <c:pt idx="2173">
                  <c:v>141.521324525277</c:v>
                </c:pt>
                <c:pt idx="2174">
                  <c:v>143.457530611681</c:v>
                </c:pt>
                <c:pt idx="2175">
                  <c:v>144.458111058902</c:v>
                </c:pt>
                <c:pt idx="2176">
                  <c:v>144.427706680671</c:v>
                </c:pt>
                <c:pt idx="2177">
                  <c:v>145.046850382819</c:v>
                </c:pt>
                <c:pt idx="2178">
                  <c:v>145.046850382819</c:v>
                </c:pt>
                <c:pt idx="2179">
                  <c:v>144.901738577628</c:v>
                </c:pt>
                <c:pt idx="2180">
                  <c:v>145.065507614915</c:v>
                </c:pt>
                <c:pt idx="2181">
                  <c:v>145.47527571243</c:v>
                </c:pt>
                <c:pt idx="2182">
                  <c:v>145.051687442992</c:v>
                </c:pt>
                <c:pt idx="2183">
                  <c:v>145.762044279831</c:v>
                </c:pt>
                <c:pt idx="2184">
                  <c:v>145.949998617983</c:v>
                </c:pt>
                <c:pt idx="2185">
                  <c:v>146.43301362669</c:v>
                </c:pt>
                <c:pt idx="2186">
                  <c:v>146.181486497692</c:v>
                </c:pt>
                <c:pt idx="2187">
                  <c:v>144.840238812571</c:v>
                </c:pt>
                <c:pt idx="2188">
                  <c:v>143.664833190525</c:v>
                </c:pt>
                <c:pt idx="2189">
                  <c:v>143.406395975566</c:v>
                </c:pt>
                <c:pt idx="2190">
                  <c:v>143.142430691838</c:v>
                </c:pt>
                <c:pt idx="2191">
                  <c:v>143.590895270737</c:v>
                </c:pt>
                <c:pt idx="2192">
                  <c:v>143.123082451146</c:v>
                </c:pt>
                <c:pt idx="2193">
                  <c:v>143.95436579231</c:v>
                </c:pt>
                <c:pt idx="2194">
                  <c:v>144.344785649133</c:v>
                </c:pt>
                <c:pt idx="2195">
                  <c:v>144.106387683463</c:v>
                </c:pt>
                <c:pt idx="2196">
                  <c:v>146.032228640924</c:v>
                </c:pt>
                <c:pt idx="2197">
                  <c:v>140.786782387573</c:v>
                </c:pt>
                <c:pt idx="2198">
                  <c:v>138.239033693579</c:v>
                </c:pt>
                <c:pt idx="2199">
                  <c:v>140.695569252882</c:v>
                </c:pt>
                <c:pt idx="2200">
                  <c:v>143.091987064319</c:v>
                </c:pt>
                <c:pt idx="2201">
                  <c:v>145.033030210896</c:v>
                </c:pt>
                <c:pt idx="2202">
                  <c:v>145.31565272672</c:v>
                </c:pt>
                <c:pt idx="2203">
                  <c:v>145.31565272672</c:v>
                </c:pt>
                <c:pt idx="2204">
                  <c:v>144.320600348268</c:v>
                </c:pt>
                <c:pt idx="2205">
                  <c:v>145.093147958761</c:v>
                </c:pt>
                <c:pt idx="2206">
                  <c:v>144.966693385666</c:v>
                </c:pt>
                <c:pt idx="2207">
                  <c:v>147.177920893336</c:v>
                </c:pt>
                <c:pt idx="2208">
                  <c:v>147.679593134139</c:v>
                </c:pt>
                <c:pt idx="2209">
                  <c:v>148.714724011167</c:v>
                </c:pt>
                <c:pt idx="2210">
                  <c:v>148.734763260455</c:v>
                </c:pt>
                <c:pt idx="2211">
                  <c:v>149.516984991293</c:v>
                </c:pt>
                <c:pt idx="2212">
                  <c:v>149.378092263468</c:v>
                </c:pt>
                <c:pt idx="2213">
                  <c:v>149.733961690483</c:v>
                </c:pt>
                <c:pt idx="2214">
                  <c:v>149.519058017082</c:v>
                </c:pt>
                <c:pt idx="2215">
                  <c:v>150.157549959921</c:v>
                </c:pt>
                <c:pt idx="2216">
                  <c:v>149.615108211946</c:v>
                </c:pt>
                <c:pt idx="2217">
                  <c:v>150.296442687747</c:v>
                </c:pt>
                <c:pt idx="2218">
                  <c:v>149.843832057271</c:v>
                </c:pt>
                <c:pt idx="2219">
                  <c:v>149.892202659001</c:v>
                </c:pt>
                <c:pt idx="2220">
                  <c:v>149.712540424003</c:v>
                </c:pt>
                <c:pt idx="2221">
                  <c:v>149.953011415462</c:v>
                </c:pt>
                <c:pt idx="2222">
                  <c:v>150.197628458498</c:v>
                </c:pt>
                <c:pt idx="2223">
                  <c:v>150.006910085961</c:v>
                </c:pt>
                <c:pt idx="2224">
                  <c:v>149.052627214683</c:v>
                </c:pt>
                <c:pt idx="2225">
                  <c:v>149.519749025678</c:v>
                </c:pt>
                <c:pt idx="2226">
                  <c:v>149.551535421101</c:v>
                </c:pt>
                <c:pt idx="2227">
                  <c:v>150.838193427126</c:v>
                </c:pt>
                <c:pt idx="2228">
                  <c:v>150.701373725089</c:v>
                </c:pt>
                <c:pt idx="2229">
                  <c:v>150.760109455762</c:v>
                </c:pt>
                <c:pt idx="2230">
                  <c:v>150.32822908317</c:v>
                </c:pt>
                <c:pt idx="2231">
                  <c:v>151.039967937201</c:v>
                </c:pt>
                <c:pt idx="2232">
                  <c:v>150.919732441472</c:v>
                </c:pt>
                <c:pt idx="2233">
                  <c:v>151.341247685121</c:v>
                </c:pt>
                <c:pt idx="2234">
                  <c:v>150.512037369745</c:v>
                </c:pt>
                <c:pt idx="2235">
                  <c:v>150.793277868377</c:v>
                </c:pt>
                <c:pt idx="2236">
                  <c:v>151.124961994527</c:v>
                </c:pt>
                <c:pt idx="2237">
                  <c:v>150.907294286741</c:v>
                </c:pt>
                <c:pt idx="2238">
                  <c:v>150.822300229415</c:v>
                </c:pt>
                <c:pt idx="2239">
                  <c:v>151.116669891373</c:v>
                </c:pt>
                <c:pt idx="2240">
                  <c:v>150.324774040189</c:v>
                </c:pt>
                <c:pt idx="2241">
                  <c:v>150.119544487133</c:v>
                </c:pt>
                <c:pt idx="2242">
                  <c:v>149.882528538655</c:v>
                </c:pt>
                <c:pt idx="2243">
                  <c:v>150.666132286686</c:v>
                </c:pt>
                <c:pt idx="2244">
                  <c:v>150.371762624727</c:v>
                </c:pt>
                <c:pt idx="2245">
                  <c:v>150.014511180519</c:v>
                </c:pt>
                <c:pt idx="2246">
                  <c:v>150.008292103154</c:v>
                </c:pt>
                <c:pt idx="2247">
                  <c:v>150.63849194284</c:v>
                </c:pt>
                <c:pt idx="2248">
                  <c:v>150.63849194284</c:v>
                </c:pt>
                <c:pt idx="2249">
                  <c:v>151.087647530335</c:v>
                </c:pt>
                <c:pt idx="2250">
                  <c:v>151.065535255259</c:v>
                </c:pt>
                <c:pt idx="2251">
                  <c:v>150.729705077531</c:v>
                </c:pt>
                <c:pt idx="2252">
                  <c:v>147.033500096741</c:v>
                </c:pt>
                <c:pt idx="2253">
                  <c:v>149.191519942508</c:v>
                </c:pt>
                <c:pt idx="2254">
                  <c:v>146.978910417646</c:v>
                </c:pt>
                <c:pt idx="2255">
                  <c:v>146.892534343127</c:v>
                </c:pt>
                <c:pt idx="2256">
                  <c:v>148.377511816247</c:v>
                </c:pt>
                <c:pt idx="2257">
                  <c:v>147.817794853368</c:v>
                </c:pt>
                <c:pt idx="2258">
                  <c:v>147.815030818983</c:v>
                </c:pt>
                <c:pt idx="2259">
                  <c:v>147.859255369137</c:v>
                </c:pt>
                <c:pt idx="2260">
                  <c:v>149.473451449736</c:v>
                </c:pt>
                <c:pt idx="2261">
                  <c:v>150.445009535919</c:v>
                </c:pt>
                <c:pt idx="2262">
                  <c:v>149.581939799331</c:v>
                </c:pt>
                <c:pt idx="2263">
                  <c:v>148.297354819094</c:v>
                </c:pt>
                <c:pt idx="2264">
                  <c:v>149.253019707565</c:v>
                </c:pt>
                <c:pt idx="2265">
                  <c:v>150.043533541557</c:v>
                </c:pt>
                <c:pt idx="2266">
                  <c:v>148.644932142956</c:v>
                </c:pt>
                <c:pt idx="2267">
                  <c:v>149.829320876752</c:v>
                </c:pt>
                <c:pt idx="2268">
                  <c:v>149.340777799276</c:v>
                </c:pt>
                <c:pt idx="2269">
                  <c:v>148.600707592802</c:v>
                </c:pt>
                <c:pt idx="2270">
                  <c:v>149.239199535642</c:v>
                </c:pt>
                <c:pt idx="2271">
                  <c:v>149.311064429642</c:v>
                </c:pt>
                <c:pt idx="2272">
                  <c:v>148.82528538655</c:v>
                </c:pt>
                <c:pt idx="2273">
                  <c:v>149.510765913928</c:v>
                </c:pt>
                <c:pt idx="2274">
                  <c:v>147.649879764504</c:v>
                </c:pt>
                <c:pt idx="2275">
                  <c:v>147.81917687056</c:v>
                </c:pt>
                <c:pt idx="2276">
                  <c:v>147.361038171315</c:v>
                </c:pt>
                <c:pt idx="2277">
                  <c:v>147.390751540949</c:v>
                </c:pt>
                <c:pt idx="2278">
                  <c:v>146.942977970646</c:v>
                </c:pt>
                <c:pt idx="2279">
                  <c:v>147.848199231598</c:v>
                </c:pt>
                <c:pt idx="2280">
                  <c:v>148.172282263191</c:v>
                </c:pt>
                <c:pt idx="2281">
                  <c:v>147.968434727328</c:v>
                </c:pt>
                <c:pt idx="2282">
                  <c:v>147.955996572597</c:v>
                </c:pt>
                <c:pt idx="2283">
                  <c:v>148.658752314879</c:v>
                </c:pt>
                <c:pt idx="2284">
                  <c:v>148.094198291827</c:v>
                </c:pt>
                <c:pt idx="2285">
                  <c:v>147.836452085464</c:v>
                </c:pt>
                <c:pt idx="2286">
                  <c:v>147.394897592526</c:v>
                </c:pt>
                <c:pt idx="2287">
                  <c:v>146.936758893281</c:v>
                </c:pt>
                <c:pt idx="2288">
                  <c:v>146.918792669781</c:v>
                </c:pt>
                <c:pt idx="2289">
                  <c:v>145.921667265541</c:v>
                </c:pt>
                <c:pt idx="2290">
                  <c:v>144.96945742005</c:v>
                </c:pt>
                <c:pt idx="2291">
                  <c:v>144.328201442826</c:v>
                </c:pt>
                <c:pt idx="2292">
                  <c:v>144.087730451367</c:v>
                </c:pt>
                <c:pt idx="2293">
                  <c:v>147.289864285912</c:v>
                </c:pt>
                <c:pt idx="2294">
                  <c:v>147.845435197214</c:v>
                </c:pt>
                <c:pt idx="2295">
                  <c:v>149.483125570082</c:v>
                </c:pt>
                <c:pt idx="2296">
                  <c:v>149.774731197656</c:v>
                </c:pt>
                <c:pt idx="2297">
                  <c:v>149.565355593024</c:v>
                </c:pt>
                <c:pt idx="2298">
                  <c:v>149.54808037812</c:v>
                </c:pt>
                <c:pt idx="2299">
                  <c:v>150.666823295282</c:v>
                </c:pt>
                <c:pt idx="2300">
                  <c:v>150.428425329611</c:v>
                </c:pt>
                <c:pt idx="2301">
                  <c:v>151.131872080489</c:v>
                </c:pt>
                <c:pt idx="2302">
                  <c:v>150.7711655933</c:v>
                </c:pt>
                <c:pt idx="2303">
                  <c:v>151.896127587827</c:v>
                </c:pt>
                <c:pt idx="2304">
                  <c:v>152.225047679593</c:v>
                </c:pt>
                <c:pt idx="2305">
                  <c:v>152.348047209707</c:v>
                </c:pt>
                <c:pt idx="2306">
                  <c:v>152.348047209707</c:v>
                </c:pt>
                <c:pt idx="2307">
                  <c:v>152.944387628182</c:v>
                </c:pt>
                <c:pt idx="2308">
                  <c:v>152.140744630863</c:v>
                </c:pt>
                <c:pt idx="2309">
                  <c:v>152.34390115813</c:v>
                </c:pt>
                <c:pt idx="2310">
                  <c:v>151.939661129384</c:v>
                </c:pt>
                <c:pt idx="2311">
                  <c:v>151.405511484563</c:v>
                </c:pt>
                <c:pt idx="2312">
                  <c:v>151.465629232428</c:v>
                </c:pt>
                <c:pt idx="2313">
                  <c:v>152.347356201111</c:v>
                </c:pt>
                <c:pt idx="2314">
                  <c:v>152.866994665414</c:v>
                </c:pt>
                <c:pt idx="2315">
                  <c:v>154.879211697394</c:v>
                </c:pt>
                <c:pt idx="2316">
                  <c:v>155.213659857929</c:v>
                </c:pt>
                <c:pt idx="2317">
                  <c:v>156.135465325189</c:v>
                </c:pt>
                <c:pt idx="2318">
                  <c:v>155.957876115979</c:v>
                </c:pt>
                <c:pt idx="2319">
                  <c:v>156.977804803892</c:v>
                </c:pt>
                <c:pt idx="2320">
                  <c:v>155.703584952597</c:v>
                </c:pt>
                <c:pt idx="2321">
                  <c:v>156.308217474225</c:v>
                </c:pt>
                <c:pt idx="2322">
                  <c:v>156.034578070151</c:v>
                </c:pt>
                <c:pt idx="2323">
                  <c:v>156.342767904033</c:v>
                </c:pt>
                <c:pt idx="2324">
                  <c:v>156.911467978662</c:v>
                </c:pt>
                <c:pt idx="2325">
                  <c:v>156.525885182012</c:v>
                </c:pt>
                <c:pt idx="2326">
                  <c:v>156.234279554438</c:v>
                </c:pt>
                <c:pt idx="2327">
                  <c:v>156.429834987147</c:v>
                </c:pt>
                <c:pt idx="2328">
                  <c:v>156.429834987147</c:v>
                </c:pt>
                <c:pt idx="2329">
                  <c:v>156.781558362586</c:v>
                </c:pt>
                <c:pt idx="2330">
                  <c:v>155.471406064291</c:v>
                </c:pt>
                <c:pt idx="2331">
                  <c:v>155.425799496946</c:v>
                </c:pt>
                <c:pt idx="2332">
                  <c:v>154.705077531164</c:v>
                </c:pt>
                <c:pt idx="2333">
                  <c:v>154.705077531164</c:v>
                </c:pt>
                <c:pt idx="2334">
                  <c:v>156.017993863844</c:v>
                </c:pt>
                <c:pt idx="2335">
                  <c:v>156.910776970066</c:v>
                </c:pt>
                <c:pt idx="2336">
                  <c:v>156.78985046574</c:v>
                </c:pt>
                <c:pt idx="2337">
                  <c:v>157.341275325465</c:v>
                </c:pt>
                <c:pt idx="2338">
                  <c:v>156.782940379778</c:v>
                </c:pt>
                <c:pt idx="2339">
                  <c:v>156.782940379778</c:v>
                </c:pt>
                <c:pt idx="2340">
                  <c:v>157.226567898505</c:v>
                </c:pt>
                <c:pt idx="2341">
                  <c:v>156.889355703585</c:v>
                </c:pt>
                <c:pt idx="2342">
                  <c:v>157.179579313967</c:v>
                </c:pt>
                <c:pt idx="2343">
                  <c:v>157.179579313967</c:v>
                </c:pt>
                <c:pt idx="2344">
                  <c:v>156.713148511567</c:v>
                </c:pt>
                <c:pt idx="2345">
                  <c:v>156.989551950026</c:v>
                </c:pt>
                <c:pt idx="2346">
                  <c:v>156.422924901186</c:v>
                </c:pt>
                <c:pt idx="2347">
                  <c:v>156.94947345145</c:v>
                </c:pt>
                <c:pt idx="2348">
                  <c:v>156.527267199204</c:v>
                </c:pt>
                <c:pt idx="2349">
                  <c:v>157.554796981674</c:v>
                </c:pt>
                <c:pt idx="2350">
                  <c:v>158.819342712623</c:v>
                </c:pt>
                <c:pt idx="2351">
                  <c:v>158.702562259875</c:v>
                </c:pt>
                <c:pt idx="2352">
                  <c:v>158.565051549241</c:v>
                </c:pt>
                <c:pt idx="2353">
                  <c:v>157.612150695155</c:v>
                </c:pt>
                <c:pt idx="2354">
                  <c:v>157.471875950137</c:v>
                </c:pt>
                <c:pt idx="2355">
                  <c:v>157.518864534675</c:v>
                </c:pt>
                <c:pt idx="2356">
                  <c:v>157.608695652174</c:v>
                </c:pt>
                <c:pt idx="2357">
                  <c:v>158.753696895989</c:v>
                </c:pt>
                <c:pt idx="2358">
                  <c:v>158.417866718262</c:v>
                </c:pt>
                <c:pt idx="2359">
                  <c:v>158.453799165262</c:v>
                </c:pt>
                <c:pt idx="2360">
                  <c:v>158.563669532049</c:v>
                </c:pt>
                <c:pt idx="2361">
                  <c:v>159.475800878963</c:v>
                </c:pt>
                <c:pt idx="2362">
                  <c:v>160.044500953592</c:v>
                </c:pt>
                <c:pt idx="2363">
                  <c:v>160.88407639791</c:v>
                </c:pt>
                <c:pt idx="2364">
                  <c:v>161.528787418115</c:v>
                </c:pt>
                <c:pt idx="2365">
                  <c:v>162.335194449819</c:v>
                </c:pt>
                <c:pt idx="2366">
                  <c:v>162.194919704801</c:v>
                </c:pt>
                <c:pt idx="2367">
                  <c:v>162.467177091683</c:v>
                </c:pt>
                <c:pt idx="2368">
                  <c:v>162.467177091683</c:v>
                </c:pt>
                <c:pt idx="2369">
                  <c:v>163.449791315404</c:v>
                </c:pt>
                <c:pt idx="2370">
                  <c:v>163.27289311479</c:v>
                </c:pt>
                <c:pt idx="2371">
                  <c:v>163.341302965809</c:v>
                </c:pt>
                <c:pt idx="2372">
                  <c:v>163.585229000249</c:v>
                </c:pt>
                <c:pt idx="2373">
                  <c:v>163.75176207192</c:v>
                </c:pt>
                <c:pt idx="2374">
                  <c:v>163.329555819674</c:v>
                </c:pt>
                <c:pt idx="2375">
                  <c:v>165.562895602421</c:v>
                </c:pt>
                <c:pt idx="2376">
                  <c:v>164.592719533431</c:v>
                </c:pt>
                <c:pt idx="2377">
                  <c:v>164.675640564969</c:v>
                </c:pt>
                <c:pt idx="2378">
                  <c:v>164.135962851378</c:v>
                </c:pt>
                <c:pt idx="2379">
                  <c:v>163.657784902844</c:v>
                </c:pt>
                <c:pt idx="2380">
                  <c:v>163.283949252329</c:v>
                </c:pt>
                <c:pt idx="2381">
                  <c:v>163.414549877</c:v>
                </c:pt>
                <c:pt idx="2382">
                  <c:v>163.948699521822</c:v>
                </c:pt>
                <c:pt idx="2383">
                  <c:v>164.008817269687</c:v>
                </c:pt>
                <c:pt idx="2384">
                  <c:v>163.454628375577</c:v>
                </c:pt>
                <c:pt idx="2385">
                  <c:v>164.823516404544</c:v>
                </c:pt>
                <c:pt idx="2386">
                  <c:v>164.555405069239</c:v>
                </c:pt>
                <c:pt idx="2387">
                  <c:v>164.339119378645</c:v>
                </c:pt>
                <c:pt idx="2388">
                  <c:v>164.008817269687</c:v>
                </c:pt>
                <c:pt idx="2389">
                  <c:v>161.973796954034</c:v>
                </c:pt>
                <c:pt idx="2390">
                  <c:v>162.279913762127</c:v>
                </c:pt>
                <c:pt idx="2391">
                  <c:v>162.107852621687</c:v>
                </c:pt>
                <c:pt idx="2392">
                  <c:v>161.971032919649</c:v>
                </c:pt>
                <c:pt idx="2393">
                  <c:v>161.80588186517</c:v>
                </c:pt>
                <c:pt idx="2394">
                  <c:v>162.979214461428</c:v>
                </c:pt>
                <c:pt idx="2395">
                  <c:v>163.156112662041</c:v>
                </c:pt>
                <c:pt idx="2396">
                  <c:v>163.634981619171</c:v>
                </c:pt>
                <c:pt idx="2397">
                  <c:v>163.265983028829</c:v>
                </c:pt>
                <c:pt idx="2398">
                  <c:v>162.997871693524</c:v>
                </c:pt>
                <c:pt idx="2399">
                  <c:v>163.089084828215</c:v>
                </c:pt>
                <c:pt idx="2400">
                  <c:v>162.590867630393</c:v>
                </c:pt>
                <c:pt idx="2401">
                  <c:v>162.904585533044</c:v>
                </c:pt>
                <c:pt idx="2402">
                  <c:v>162.769838856795</c:v>
                </c:pt>
                <c:pt idx="2403">
                  <c:v>162.881782249371</c:v>
                </c:pt>
                <c:pt idx="2404">
                  <c:v>162.648221343874</c:v>
                </c:pt>
                <c:pt idx="2405">
                  <c:v>162.036678736283</c:v>
                </c:pt>
                <c:pt idx="2406">
                  <c:v>160.932446999641</c:v>
                </c:pt>
                <c:pt idx="2407">
                  <c:v>160.932446999641</c:v>
                </c:pt>
                <c:pt idx="2408">
                  <c:v>162.318610243511</c:v>
                </c:pt>
                <c:pt idx="2409">
                  <c:v>161.847342380939</c:v>
                </c:pt>
                <c:pt idx="2410">
                  <c:v>161.569556925288</c:v>
                </c:pt>
                <c:pt idx="2411">
                  <c:v>162.79056911468</c:v>
                </c:pt>
                <c:pt idx="2412">
                  <c:v>162.296497968435</c:v>
                </c:pt>
                <c:pt idx="2413">
                  <c:v>164.055805854225</c:v>
                </c:pt>
                <c:pt idx="2414">
                  <c:v>165.055004284253</c:v>
                </c:pt>
                <c:pt idx="2415">
                  <c:v>164.9748472871</c:v>
                </c:pt>
                <c:pt idx="2416">
                  <c:v>165.066060421792</c:v>
                </c:pt>
                <c:pt idx="2417">
                  <c:v>164.750269493352</c:v>
                </c:pt>
                <c:pt idx="2418">
                  <c:v>165.035656043561</c:v>
                </c:pt>
                <c:pt idx="2419">
                  <c:v>165.231902484867</c:v>
                </c:pt>
                <c:pt idx="2420">
                  <c:v>165.021835871638</c:v>
                </c:pt>
                <c:pt idx="2421">
                  <c:v>165.117886066503</c:v>
                </c:pt>
                <c:pt idx="2422">
                  <c:v>165.793001464938</c:v>
                </c:pt>
                <c:pt idx="2423">
                  <c:v>165.799220542304</c:v>
                </c:pt>
                <c:pt idx="2424">
                  <c:v>165.629232427651</c:v>
                </c:pt>
                <c:pt idx="2425">
                  <c:v>165.816495757207</c:v>
                </c:pt>
                <c:pt idx="2426">
                  <c:v>165.457862295807</c:v>
                </c:pt>
                <c:pt idx="2427">
                  <c:v>165.213245252771</c:v>
                </c:pt>
                <c:pt idx="2428">
                  <c:v>166.002377069571</c:v>
                </c:pt>
                <c:pt idx="2429">
                  <c:v>165.888360651207</c:v>
                </c:pt>
                <c:pt idx="2430">
                  <c:v>162.872799137621</c:v>
                </c:pt>
                <c:pt idx="2431">
                  <c:v>163.473285607673</c:v>
                </c:pt>
                <c:pt idx="2432">
                  <c:v>164.579590370104</c:v>
                </c:pt>
                <c:pt idx="2433">
                  <c:v>165.428839934769</c:v>
                </c:pt>
                <c:pt idx="2434">
                  <c:v>165.732883717073</c:v>
                </c:pt>
                <c:pt idx="2435">
                  <c:v>166.145415848973</c:v>
                </c:pt>
                <c:pt idx="2436">
                  <c:v>166.883413029658</c:v>
                </c:pt>
                <c:pt idx="2437">
                  <c:v>166.935238674369</c:v>
                </c:pt>
                <c:pt idx="2438">
                  <c:v>166.935238674369</c:v>
                </c:pt>
                <c:pt idx="2439">
                  <c:v>166.73415517289</c:v>
                </c:pt>
                <c:pt idx="2440">
                  <c:v>166.657453218718</c:v>
                </c:pt>
                <c:pt idx="2441">
                  <c:v>167.919234915282</c:v>
                </c:pt>
                <c:pt idx="2442">
                  <c:v>168.541833660411</c:v>
                </c:pt>
                <c:pt idx="2443">
                  <c:v>168.336604107355</c:v>
                </c:pt>
                <c:pt idx="2444">
                  <c:v>167.868791287764</c:v>
                </c:pt>
                <c:pt idx="2445">
                  <c:v>168.132065562896</c:v>
                </c:pt>
                <c:pt idx="2446">
                  <c:v>168.176981121645</c:v>
                </c:pt>
                <c:pt idx="2447">
                  <c:v>168.037397385223</c:v>
                </c:pt>
                <c:pt idx="2448">
                  <c:v>167.872937339341</c:v>
                </c:pt>
                <c:pt idx="2449">
                  <c:v>168.630282760718</c:v>
                </c:pt>
                <c:pt idx="2450">
                  <c:v>168.462367671854</c:v>
                </c:pt>
                <c:pt idx="2451">
                  <c:v>168.085076978358</c:v>
                </c:pt>
                <c:pt idx="2452">
                  <c:v>168.132756571492</c:v>
                </c:pt>
                <c:pt idx="2453">
                  <c:v>169.536195030266</c:v>
                </c:pt>
                <c:pt idx="2454">
                  <c:v>168.400867906797</c:v>
                </c:pt>
                <c:pt idx="2455">
                  <c:v>168.302744686144</c:v>
                </c:pt>
                <c:pt idx="2456">
                  <c:v>168.226042731972</c:v>
                </c:pt>
                <c:pt idx="2457">
                  <c:v>168.488625998507</c:v>
                </c:pt>
                <c:pt idx="2458">
                  <c:v>168.541833660411</c:v>
                </c:pt>
                <c:pt idx="2459">
                  <c:v>167.181237734597</c:v>
                </c:pt>
                <c:pt idx="2460">
                  <c:v>168.653777052987</c:v>
                </c:pt>
                <c:pt idx="2461">
                  <c:v>167.203350009674</c:v>
                </c:pt>
                <c:pt idx="2462">
                  <c:v>167.459714198845</c:v>
                </c:pt>
                <c:pt idx="2463">
                  <c:v>167.846679012687</c:v>
                </c:pt>
                <c:pt idx="2464">
                  <c:v>167.846679012687</c:v>
                </c:pt>
                <c:pt idx="2465">
                  <c:v>168.090605047127</c:v>
                </c:pt>
                <c:pt idx="2466">
                  <c:v>166.515796456508</c:v>
                </c:pt>
                <c:pt idx="2467">
                  <c:v>167.582022720363</c:v>
                </c:pt>
                <c:pt idx="2468">
                  <c:v>167.737499654496</c:v>
                </c:pt>
                <c:pt idx="2469">
                  <c:v>167.606208021228</c:v>
                </c:pt>
                <c:pt idx="2470">
                  <c:v>168.8306752536</c:v>
                </c:pt>
                <c:pt idx="2471">
                  <c:v>169.147157190635</c:v>
                </c:pt>
                <c:pt idx="2472">
                  <c:v>169.937671024628</c:v>
                </c:pt>
                <c:pt idx="2473">
                  <c:v>169.928687912878</c:v>
                </c:pt>
                <c:pt idx="2474">
                  <c:v>170.030266176511</c:v>
                </c:pt>
                <c:pt idx="2475">
                  <c:v>170.943779540617</c:v>
                </c:pt>
                <c:pt idx="2476">
                  <c:v>170.917521213964</c:v>
                </c:pt>
                <c:pt idx="2477">
                  <c:v>170.854639431715</c:v>
                </c:pt>
                <c:pt idx="2478">
                  <c:v>170.672904170928</c:v>
                </c:pt>
                <c:pt idx="2479">
                  <c:v>171.171812377346</c:v>
                </c:pt>
                <c:pt idx="2480">
                  <c:v>171.220182979076</c:v>
                </c:pt>
                <c:pt idx="2481">
                  <c:v>171.053649907405</c:v>
                </c:pt>
                <c:pt idx="2482">
                  <c:v>170.824235053484</c:v>
                </c:pt>
                <c:pt idx="2483">
                  <c:v>170.699853506178</c:v>
                </c:pt>
                <c:pt idx="2484">
                  <c:v>171.117913706847</c:v>
                </c:pt>
                <c:pt idx="2485">
                  <c:v>171.202216755576</c:v>
                </c:pt>
                <c:pt idx="2486">
                  <c:v>170.828381105061</c:v>
                </c:pt>
                <c:pt idx="2487">
                  <c:v>171.151082119462</c:v>
                </c:pt>
                <c:pt idx="2488">
                  <c:v>171.43301362669</c:v>
                </c:pt>
                <c:pt idx="2489">
                  <c:v>171.019099477597</c:v>
                </c:pt>
                <c:pt idx="2490">
                  <c:v>170.956908703944</c:v>
                </c:pt>
                <c:pt idx="2491">
                  <c:v>168.482406921142</c:v>
                </c:pt>
                <c:pt idx="2492">
                  <c:v>168.697310594544</c:v>
                </c:pt>
                <c:pt idx="2493">
                  <c:v>170.391663672296</c:v>
                </c:pt>
                <c:pt idx="2494">
                  <c:v>170.30666961497</c:v>
                </c:pt>
                <c:pt idx="2495">
                  <c:v>170.548522623621</c:v>
                </c:pt>
                <c:pt idx="2496">
                  <c:v>167.915779872302</c:v>
                </c:pt>
                <c:pt idx="2497">
                  <c:v>167.60759003842</c:v>
                </c:pt>
                <c:pt idx="2498">
                  <c:v>167.802454462534</c:v>
                </c:pt>
                <c:pt idx="2499">
                  <c:v>169.470549213632</c:v>
                </c:pt>
                <c:pt idx="2500">
                  <c:v>168.885264932696</c:v>
                </c:pt>
                <c:pt idx="2501">
                  <c:v>168.534923574449</c:v>
                </c:pt>
                <c:pt idx="2502">
                  <c:v>168.816855081677</c:v>
                </c:pt>
                <c:pt idx="2503">
                  <c:v>168.899085104619</c:v>
                </c:pt>
                <c:pt idx="2504">
                  <c:v>169.041432875425</c:v>
                </c:pt>
                <c:pt idx="2505">
                  <c:v>169.821581580475</c:v>
                </c:pt>
                <c:pt idx="2506">
                  <c:v>170.793139666657</c:v>
                </c:pt>
                <c:pt idx="2507">
                  <c:v>171.131733878769</c:v>
                </c:pt>
                <c:pt idx="2508">
                  <c:v>171.131733878769</c:v>
                </c:pt>
                <c:pt idx="2509">
                  <c:v>169.839547803975</c:v>
                </c:pt>
                <c:pt idx="2510">
                  <c:v>170.370933414412</c:v>
                </c:pt>
                <c:pt idx="2511">
                  <c:v>170.340529036181</c:v>
                </c:pt>
                <c:pt idx="2512">
                  <c:v>170.086928881395</c:v>
                </c:pt>
                <c:pt idx="2513">
                  <c:v>171.930539815915</c:v>
                </c:pt>
                <c:pt idx="2514">
                  <c:v>172.50891401089</c:v>
                </c:pt>
                <c:pt idx="2515">
                  <c:v>172.639514635562</c:v>
                </c:pt>
                <c:pt idx="2516">
                  <c:v>172.449487271622</c:v>
                </c:pt>
                <c:pt idx="2517">
                  <c:v>172.768042234445</c:v>
                </c:pt>
                <c:pt idx="2518">
                  <c:v>173.019569363443</c:v>
                </c:pt>
                <c:pt idx="2519">
                  <c:v>173.211669753172</c:v>
                </c:pt>
                <c:pt idx="2520">
                  <c:v>173.321540119959</c:v>
                </c:pt>
                <c:pt idx="2521">
                  <c:v>172.793609552503</c:v>
                </c:pt>
                <c:pt idx="2522">
                  <c:v>172.905552945079</c:v>
                </c:pt>
                <c:pt idx="2523">
                  <c:v>172.521352165621</c:v>
                </c:pt>
                <c:pt idx="2524">
                  <c:v>172.533790320352</c:v>
                </c:pt>
                <c:pt idx="2525">
                  <c:v>173.238619088421</c:v>
                </c:pt>
                <c:pt idx="2526">
                  <c:v>173.447303684458</c:v>
                </c:pt>
                <c:pt idx="2527">
                  <c:v>174.089941678874</c:v>
                </c:pt>
                <c:pt idx="2528">
                  <c:v>174.764366068714</c:v>
                </c:pt>
                <c:pt idx="2529">
                  <c:v>175.14165676221</c:v>
                </c:pt>
                <c:pt idx="2530">
                  <c:v>175.360015478593</c:v>
                </c:pt>
                <c:pt idx="2531">
                  <c:v>176.350230796871</c:v>
                </c:pt>
                <c:pt idx="2532">
                  <c:v>176.160894441527</c:v>
                </c:pt>
                <c:pt idx="2533">
                  <c:v>175.843030487299</c:v>
                </c:pt>
                <c:pt idx="2534">
                  <c:v>176.251416567622</c:v>
                </c:pt>
                <c:pt idx="2535">
                  <c:v>176.56928052185</c:v>
                </c:pt>
                <c:pt idx="2536">
                  <c:v>176.27145581691</c:v>
                </c:pt>
                <c:pt idx="2537">
                  <c:v>176.426241742447</c:v>
                </c:pt>
                <c:pt idx="2538">
                  <c:v>176.735122584925</c:v>
                </c:pt>
                <c:pt idx="2539">
                  <c:v>176.853976063462</c:v>
                </c:pt>
                <c:pt idx="2540">
                  <c:v>176.98526769673</c:v>
                </c:pt>
                <c:pt idx="2541">
                  <c:v>177.043312418807</c:v>
                </c:pt>
                <c:pt idx="2542">
                  <c:v>177.949224688355</c:v>
                </c:pt>
                <c:pt idx="2543">
                  <c:v>177.242322894497</c:v>
                </c:pt>
                <c:pt idx="2544">
                  <c:v>177.529091461898</c:v>
                </c:pt>
                <c:pt idx="2545">
                  <c:v>176.701263163714</c:v>
                </c:pt>
                <c:pt idx="2546">
                  <c:v>176.925840957462</c:v>
                </c:pt>
                <c:pt idx="2547">
                  <c:v>178.354155725697</c:v>
                </c:pt>
                <c:pt idx="2548">
                  <c:v>177.784764642472</c:v>
                </c:pt>
                <c:pt idx="2549">
                  <c:v>177.952679731336</c:v>
                </c:pt>
                <c:pt idx="2550">
                  <c:v>178.235993255756</c:v>
                </c:pt>
                <c:pt idx="2551">
                  <c:v>178.269852676967</c:v>
                </c:pt>
                <c:pt idx="2552">
                  <c:v>178.821968545289</c:v>
                </c:pt>
                <c:pt idx="2553">
                  <c:v>179.049310373421</c:v>
                </c:pt>
                <c:pt idx="2554">
                  <c:v>179.01545095221</c:v>
                </c:pt>
                <c:pt idx="2555">
                  <c:v>179.273888167169</c:v>
                </c:pt>
                <c:pt idx="2556">
                  <c:v>178.599463777329</c:v>
                </c:pt>
                <c:pt idx="2557">
                  <c:v>178.439149783023</c:v>
                </c:pt>
                <c:pt idx="2558">
                  <c:v>178.614665966445</c:v>
                </c:pt>
                <c:pt idx="2559">
                  <c:v>178.202133834545</c:v>
                </c:pt>
                <c:pt idx="2560">
                  <c:v>177.217446585036</c:v>
                </c:pt>
                <c:pt idx="2561">
                  <c:v>178.669946654136</c:v>
                </c:pt>
                <c:pt idx="2562">
                  <c:v>178.200751817353</c:v>
                </c:pt>
                <c:pt idx="2563">
                  <c:v>178.428093645485</c:v>
                </c:pt>
                <c:pt idx="2564">
                  <c:v>179.595207164377</c:v>
                </c:pt>
                <c:pt idx="2565">
                  <c:v>179.460460488128</c:v>
                </c:pt>
                <c:pt idx="2566">
                  <c:v>179.460460488128</c:v>
                </c:pt>
                <c:pt idx="2567">
                  <c:v>179.829459078471</c:v>
                </c:pt>
                <c:pt idx="2568">
                  <c:v>179.760358218856</c:v>
                </c:pt>
                <c:pt idx="2569">
                  <c:v>181.530722242185</c:v>
                </c:pt>
                <c:pt idx="2570">
                  <c:v>181.463694408358</c:v>
                </c:pt>
                <c:pt idx="2571">
                  <c:v>182.950053898671</c:v>
                </c:pt>
                <c:pt idx="2572">
                  <c:v>182.579673291136</c:v>
                </c:pt>
                <c:pt idx="2573">
                  <c:v>182.387572901407</c:v>
                </c:pt>
                <c:pt idx="2574">
                  <c:v>181.70554741701</c:v>
                </c:pt>
                <c:pt idx="2575">
                  <c:v>181.684817159125</c:v>
                </c:pt>
                <c:pt idx="2576">
                  <c:v>182.217584786755</c:v>
                </c:pt>
                <c:pt idx="2577">
                  <c:v>183.22092926836</c:v>
                </c:pt>
                <c:pt idx="2578">
                  <c:v>183.807595566489</c:v>
                </c:pt>
                <c:pt idx="2579">
                  <c:v>184.092291108101</c:v>
                </c:pt>
                <c:pt idx="2580">
                  <c:v>184.005224024987</c:v>
                </c:pt>
                <c:pt idx="2581">
                  <c:v>183.256170706764</c:v>
                </c:pt>
                <c:pt idx="2582">
                  <c:v>184.900771165593</c:v>
                </c:pt>
                <c:pt idx="2583">
                  <c:v>185.892368501064</c:v>
                </c:pt>
                <c:pt idx="2584">
                  <c:v>185.291882031012</c:v>
                </c:pt>
                <c:pt idx="2585">
                  <c:v>185.138478122668</c:v>
                </c:pt>
                <c:pt idx="2586">
                  <c:v>185.506094695818</c:v>
                </c:pt>
                <c:pt idx="2587">
                  <c:v>185.421100638492</c:v>
                </c:pt>
                <c:pt idx="2588">
                  <c:v>185.224854197186</c:v>
                </c:pt>
                <c:pt idx="2589">
                  <c:v>185.371348019569</c:v>
                </c:pt>
                <c:pt idx="2590">
                  <c:v>185.711324248874</c:v>
                </c:pt>
                <c:pt idx="2591">
                  <c:v>184.748749274441</c:v>
                </c:pt>
              </c:numCache>
            </c:numRef>
          </c:xVal>
          <c:yVal>
            <c:numRef>
              <c:f>'그래프 분석'!$E$2:$E$2593</c:f>
              <c:numCache>
                <c:formatCode>General</c:formatCode>
                <c:ptCount val="2592"/>
                <c:pt idx="0">
                  <c:v>100</c:v>
                </c:pt>
                <c:pt idx="1">
                  <c:v>99.7322566935827</c:v>
                </c:pt>
                <c:pt idx="2">
                  <c:v>100.199745006375</c:v>
                </c:pt>
                <c:pt idx="3">
                  <c:v>98.1725456863578</c:v>
                </c:pt>
                <c:pt idx="4">
                  <c:v>97.8920526986825</c:v>
                </c:pt>
                <c:pt idx="5">
                  <c:v>98.8227794305142</c:v>
                </c:pt>
                <c:pt idx="6">
                  <c:v>97.5223119422014</c:v>
                </c:pt>
                <c:pt idx="7">
                  <c:v>95.3718657033574</c:v>
                </c:pt>
                <c:pt idx="8">
                  <c:v>94.6918827029324</c:v>
                </c:pt>
                <c:pt idx="9">
                  <c:v>93.8844028899277</c:v>
                </c:pt>
                <c:pt idx="10">
                  <c:v>91.742456438589</c:v>
                </c:pt>
                <c:pt idx="11">
                  <c:v>93.0004249893753</c:v>
                </c:pt>
                <c:pt idx="12">
                  <c:v>93.4424139396515</c:v>
                </c:pt>
                <c:pt idx="13">
                  <c:v>90.7777305567361</c:v>
                </c:pt>
                <c:pt idx="14">
                  <c:v>86.9315767105822</c:v>
                </c:pt>
                <c:pt idx="15">
                  <c:v>88.0705482362941</c:v>
                </c:pt>
                <c:pt idx="16">
                  <c:v>89.7577560560986</c:v>
                </c:pt>
                <c:pt idx="17">
                  <c:v>91.3982150446239</c:v>
                </c:pt>
                <c:pt idx="18">
                  <c:v>87.7688057798555</c:v>
                </c:pt>
                <c:pt idx="19">
                  <c:v>88.7377815554611</c:v>
                </c:pt>
                <c:pt idx="20">
                  <c:v>86.4853378665533</c:v>
                </c:pt>
                <c:pt idx="21">
                  <c:v>88.3000424989375</c:v>
                </c:pt>
                <c:pt idx="22">
                  <c:v>88.8567785805355</c:v>
                </c:pt>
                <c:pt idx="23">
                  <c:v>91.8954526136847</c:v>
                </c:pt>
                <c:pt idx="24">
                  <c:v>92.1844453888653</c:v>
                </c:pt>
                <c:pt idx="25">
                  <c:v>92.1844453888653</c:v>
                </c:pt>
                <c:pt idx="26">
                  <c:v>92.1844453888653</c:v>
                </c:pt>
                <c:pt idx="27">
                  <c:v>92.1844453888653</c:v>
                </c:pt>
                <c:pt idx="28">
                  <c:v>88.788780280493</c:v>
                </c:pt>
                <c:pt idx="29">
                  <c:v>88.8270293242669</c:v>
                </c:pt>
                <c:pt idx="30">
                  <c:v>88.2107947301317</c:v>
                </c:pt>
                <c:pt idx="31">
                  <c:v>91.8827029324267</c:v>
                </c:pt>
                <c:pt idx="32">
                  <c:v>91.5342116447089</c:v>
                </c:pt>
                <c:pt idx="33">
                  <c:v>91.5682107947301</c:v>
                </c:pt>
                <c:pt idx="34">
                  <c:v>92.8049298767531</c:v>
                </c:pt>
                <c:pt idx="35">
                  <c:v>90.8797280067998</c:v>
                </c:pt>
                <c:pt idx="36">
                  <c:v>91.9592010199745</c:v>
                </c:pt>
                <c:pt idx="37">
                  <c:v>90.8329791755206</c:v>
                </c:pt>
                <c:pt idx="38">
                  <c:v>92.2524436889078</c:v>
                </c:pt>
                <c:pt idx="39">
                  <c:v>92.3161920951976</c:v>
                </c:pt>
                <c:pt idx="40">
                  <c:v>93.0174245643859</c:v>
                </c:pt>
                <c:pt idx="41">
                  <c:v>93.7484062898428</c:v>
                </c:pt>
                <c:pt idx="42">
                  <c:v>92.1589460263493</c:v>
                </c:pt>
                <c:pt idx="43">
                  <c:v>89.9830004249894</c:v>
                </c:pt>
                <c:pt idx="44">
                  <c:v>90.1572460688483</c:v>
                </c:pt>
                <c:pt idx="45">
                  <c:v>90.1572460688483</c:v>
                </c:pt>
                <c:pt idx="46">
                  <c:v>91.3387165320867</c:v>
                </c:pt>
                <c:pt idx="47">
                  <c:v>89.4900127496813</c:v>
                </c:pt>
                <c:pt idx="48">
                  <c:v>87.6710582235444</c:v>
                </c:pt>
                <c:pt idx="49">
                  <c:v>88.4232894177645</c:v>
                </c:pt>
                <c:pt idx="50">
                  <c:v>89.45601359966</c:v>
                </c:pt>
                <c:pt idx="51">
                  <c:v>86.8763280917977</c:v>
                </c:pt>
                <c:pt idx="52">
                  <c:v>86.1155971100722</c:v>
                </c:pt>
                <c:pt idx="53">
                  <c:v>84.8618784530387</c:v>
                </c:pt>
                <c:pt idx="54">
                  <c:v>85.7586060348491</c:v>
                </c:pt>
                <c:pt idx="55">
                  <c:v>87.7518062048449</c:v>
                </c:pt>
                <c:pt idx="56">
                  <c:v>87.8113047173821</c:v>
                </c:pt>
                <c:pt idx="57">
                  <c:v>89.1160220994475</c:v>
                </c:pt>
                <c:pt idx="58">
                  <c:v>89.6727581810455</c:v>
                </c:pt>
                <c:pt idx="59">
                  <c:v>90.8329791755206</c:v>
                </c:pt>
                <c:pt idx="60">
                  <c:v>91.1219719507012</c:v>
                </c:pt>
                <c:pt idx="61">
                  <c:v>90.8839779005525</c:v>
                </c:pt>
                <c:pt idx="62">
                  <c:v>92.3161920951976</c:v>
                </c:pt>
                <c:pt idx="63">
                  <c:v>92.4989375265618</c:v>
                </c:pt>
                <c:pt idx="64">
                  <c:v>92.5669358266043</c:v>
                </c:pt>
                <c:pt idx="65">
                  <c:v>95.0956226094348</c:v>
                </c:pt>
                <c:pt idx="66">
                  <c:v>96.4683382915427</c:v>
                </c:pt>
                <c:pt idx="67">
                  <c:v>96.4513387165321</c:v>
                </c:pt>
                <c:pt idx="68">
                  <c:v>96.8083297917552</c:v>
                </c:pt>
                <c:pt idx="69">
                  <c:v>95.6651083722907</c:v>
                </c:pt>
                <c:pt idx="70">
                  <c:v>95.6651083722907</c:v>
                </c:pt>
                <c:pt idx="71">
                  <c:v>96.2345941351466</c:v>
                </c:pt>
                <c:pt idx="72">
                  <c:v>97.2375690607735</c:v>
                </c:pt>
                <c:pt idx="73">
                  <c:v>95.4271143221419</c:v>
                </c:pt>
                <c:pt idx="74">
                  <c:v>94.9893752656184</c:v>
                </c:pt>
                <c:pt idx="75">
                  <c:v>95.7756056098598</c:v>
                </c:pt>
                <c:pt idx="76">
                  <c:v>96.46408839779</c:v>
                </c:pt>
                <c:pt idx="77">
                  <c:v>96.5788355291118</c:v>
                </c:pt>
                <c:pt idx="78">
                  <c:v>98.219294517637</c:v>
                </c:pt>
                <c:pt idx="79">
                  <c:v>97.416064598385</c:v>
                </c:pt>
                <c:pt idx="80">
                  <c:v>97.985550361241</c:v>
                </c:pt>
                <c:pt idx="81">
                  <c:v>98.0747981300467</c:v>
                </c:pt>
                <c:pt idx="82">
                  <c:v>99.6855078623034</c:v>
                </c:pt>
                <c:pt idx="83">
                  <c:v>99.8597535061623</c:v>
                </c:pt>
                <c:pt idx="84">
                  <c:v>99.1245218869528</c:v>
                </c:pt>
                <c:pt idx="85">
                  <c:v>99.8725031874203</c:v>
                </c:pt>
                <c:pt idx="86">
                  <c:v>99.8725031874203</c:v>
                </c:pt>
                <c:pt idx="87">
                  <c:v>101.223969400765</c:v>
                </c:pt>
                <c:pt idx="88">
                  <c:v>101.223969400765</c:v>
                </c:pt>
                <c:pt idx="89">
                  <c:v>101.797705057374</c:v>
                </c:pt>
                <c:pt idx="90">
                  <c:v>101.427964300892</c:v>
                </c:pt>
                <c:pt idx="91">
                  <c:v>100.8797280068</c:v>
                </c:pt>
                <c:pt idx="92">
                  <c:v>99.4390140246494</c:v>
                </c:pt>
                <c:pt idx="93">
                  <c:v>99.4390140246494</c:v>
                </c:pt>
                <c:pt idx="94">
                  <c:v>100.730981725457</c:v>
                </c:pt>
                <c:pt idx="95">
                  <c:v>100.739481512962</c:v>
                </c:pt>
                <c:pt idx="96">
                  <c:v>103.319167020824</c:v>
                </c:pt>
                <c:pt idx="97">
                  <c:v>103.501912452189</c:v>
                </c:pt>
                <c:pt idx="98">
                  <c:v>103.132171695708</c:v>
                </c:pt>
                <c:pt idx="99">
                  <c:v>102.260943476413</c:v>
                </c:pt>
                <c:pt idx="100">
                  <c:v>100.786230344241</c:v>
                </c:pt>
                <c:pt idx="101">
                  <c:v>100.004249893753</c:v>
                </c:pt>
                <c:pt idx="102">
                  <c:v>99.5070123246919</c:v>
                </c:pt>
                <c:pt idx="103">
                  <c:v>97.9303017424564</c:v>
                </c:pt>
                <c:pt idx="104">
                  <c:v>99.4347641308967</c:v>
                </c:pt>
                <c:pt idx="105">
                  <c:v>98.244793880153</c:v>
                </c:pt>
                <c:pt idx="106">
                  <c:v>100.46323841904</c:v>
                </c:pt>
                <c:pt idx="107">
                  <c:v>100.917977050574</c:v>
                </c:pt>
                <c:pt idx="108">
                  <c:v>100.628984275393</c:v>
                </c:pt>
                <c:pt idx="109">
                  <c:v>99.0820229494263</c:v>
                </c:pt>
                <c:pt idx="110">
                  <c:v>99.9107522311942</c:v>
                </c:pt>
                <c:pt idx="111">
                  <c:v>99.7705057373566</c:v>
                </c:pt>
                <c:pt idx="112">
                  <c:v>99.7705057373566</c:v>
                </c:pt>
                <c:pt idx="113">
                  <c:v>98.3212919677008</c:v>
                </c:pt>
                <c:pt idx="114">
                  <c:v>96.2855928601785</c:v>
                </c:pt>
                <c:pt idx="115">
                  <c:v>96.6510837229069</c:v>
                </c:pt>
                <c:pt idx="116">
                  <c:v>93.9949001274968</c:v>
                </c:pt>
                <c:pt idx="117">
                  <c:v>94.6833829154271</c:v>
                </c:pt>
                <c:pt idx="118">
                  <c:v>95.5843603909902</c:v>
                </c:pt>
                <c:pt idx="119">
                  <c:v>95.0531236719082</c:v>
                </c:pt>
                <c:pt idx="120">
                  <c:v>96.3025924351891</c:v>
                </c:pt>
                <c:pt idx="121">
                  <c:v>94.3603909902252</c:v>
                </c:pt>
                <c:pt idx="122">
                  <c:v>93.7399065023374</c:v>
                </c:pt>
                <c:pt idx="123">
                  <c:v>92.8644283892903</c:v>
                </c:pt>
                <c:pt idx="124">
                  <c:v>92.6349341266468</c:v>
                </c:pt>
                <c:pt idx="125">
                  <c:v>93.0514237144071</c:v>
                </c:pt>
                <c:pt idx="126">
                  <c:v>93.1236719082023</c:v>
                </c:pt>
                <c:pt idx="127">
                  <c:v>91.1984700382491</c:v>
                </c:pt>
                <c:pt idx="128">
                  <c:v>90.7437314067148</c:v>
                </c:pt>
                <c:pt idx="129">
                  <c:v>90.531236719082</c:v>
                </c:pt>
                <c:pt idx="130">
                  <c:v>88.380790480238</c:v>
                </c:pt>
                <c:pt idx="131">
                  <c:v>87.4245643858903</c:v>
                </c:pt>
                <c:pt idx="132">
                  <c:v>85.7373565660859</c:v>
                </c:pt>
                <c:pt idx="133">
                  <c:v>85.9923501912452</c:v>
                </c:pt>
                <c:pt idx="134">
                  <c:v>83.5189120271993</c:v>
                </c:pt>
                <c:pt idx="135">
                  <c:v>82.707182320442</c:v>
                </c:pt>
                <c:pt idx="136">
                  <c:v>83.4424139396515</c:v>
                </c:pt>
                <c:pt idx="137">
                  <c:v>85.0488737781555</c:v>
                </c:pt>
                <c:pt idx="138">
                  <c:v>84.6238844028899</c:v>
                </c:pt>
                <c:pt idx="139">
                  <c:v>82.027199320017</c:v>
                </c:pt>
                <c:pt idx="140">
                  <c:v>81.8019549511262</c:v>
                </c:pt>
                <c:pt idx="141">
                  <c:v>82.8261793455163</c:v>
                </c:pt>
                <c:pt idx="142">
                  <c:v>81.9634509137272</c:v>
                </c:pt>
                <c:pt idx="143">
                  <c:v>84.9978750531237</c:v>
                </c:pt>
                <c:pt idx="144">
                  <c:v>84.9001274968126</c:v>
                </c:pt>
                <c:pt idx="145">
                  <c:v>86.5448363790905</c:v>
                </c:pt>
                <c:pt idx="146">
                  <c:v>88.5422864428389</c:v>
                </c:pt>
                <c:pt idx="147">
                  <c:v>86.8125796855079</c:v>
                </c:pt>
                <c:pt idx="148">
                  <c:v>86.6850828729282</c:v>
                </c:pt>
                <c:pt idx="149">
                  <c:v>84.9553761155971</c:v>
                </c:pt>
                <c:pt idx="150">
                  <c:v>85.7713557161071</c:v>
                </c:pt>
                <c:pt idx="151">
                  <c:v>86.748831279218</c:v>
                </c:pt>
                <c:pt idx="152">
                  <c:v>85.6056098597535</c:v>
                </c:pt>
                <c:pt idx="153">
                  <c:v>83.9609009774756</c:v>
                </c:pt>
                <c:pt idx="154">
                  <c:v>83.4849128771781</c:v>
                </c:pt>
                <c:pt idx="155">
                  <c:v>85.9668508287293</c:v>
                </c:pt>
                <c:pt idx="156">
                  <c:v>85.129621759456</c:v>
                </c:pt>
                <c:pt idx="157">
                  <c:v>85.3208669783255</c:v>
                </c:pt>
                <c:pt idx="158">
                  <c:v>86.3578410539737</c:v>
                </c:pt>
                <c:pt idx="159">
                  <c:v>85.8988525286868</c:v>
                </c:pt>
                <c:pt idx="160">
                  <c:v>85.1083722906927</c:v>
                </c:pt>
                <c:pt idx="161">
                  <c:v>85.6353591160221</c:v>
                </c:pt>
                <c:pt idx="162">
                  <c:v>85.6353591160221</c:v>
                </c:pt>
                <c:pt idx="163">
                  <c:v>85.4101147471313</c:v>
                </c:pt>
                <c:pt idx="164">
                  <c:v>83.9609009774756</c:v>
                </c:pt>
                <c:pt idx="165">
                  <c:v>83.8716532086698</c:v>
                </c:pt>
                <c:pt idx="166">
                  <c:v>82.3841903952401</c:v>
                </c:pt>
                <c:pt idx="167">
                  <c:v>81.6149596260093</c:v>
                </c:pt>
                <c:pt idx="168">
                  <c:v>82.0186995325117</c:v>
                </c:pt>
                <c:pt idx="169">
                  <c:v>81.3259668508287</c:v>
                </c:pt>
                <c:pt idx="170">
                  <c:v>81.4279643008925</c:v>
                </c:pt>
                <c:pt idx="171">
                  <c:v>80.2167445813855</c:v>
                </c:pt>
                <c:pt idx="172">
                  <c:v>80.3059923501912</c:v>
                </c:pt>
                <c:pt idx="173">
                  <c:v>77.4033149171271</c:v>
                </c:pt>
                <c:pt idx="174">
                  <c:v>77.5223119422014</c:v>
                </c:pt>
                <c:pt idx="175">
                  <c:v>78.3510412239694</c:v>
                </c:pt>
                <c:pt idx="176">
                  <c:v>78.0152996175096</c:v>
                </c:pt>
                <c:pt idx="177">
                  <c:v>76.7063323416915</c:v>
                </c:pt>
                <c:pt idx="178">
                  <c:v>80.7352316192095</c:v>
                </c:pt>
                <c:pt idx="179">
                  <c:v>79.468763280918</c:v>
                </c:pt>
                <c:pt idx="180">
                  <c:v>80.1104972375691</c:v>
                </c:pt>
                <c:pt idx="181">
                  <c:v>78.7377815554611</c:v>
                </c:pt>
                <c:pt idx="182">
                  <c:v>80.7054823629409</c:v>
                </c:pt>
                <c:pt idx="183">
                  <c:v>80.7054823629409</c:v>
                </c:pt>
                <c:pt idx="184">
                  <c:v>76.0730981725457</c:v>
                </c:pt>
                <c:pt idx="185">
                  <c:v>78.0025499362516</c:v>
                </c:pt>
                <c:pt idx="186">
                  <c:v>76.1793455163621</c:v>
                </c:pt>
                <c:pt idx="187">
                  <c:v>80.0297492562686</c:v>
                </c:pt>
                <c:pt idx="188">
                  <c:v>80.3909902252444</c:v>
                </c:pt>
                <c:pt idx="189">
                  <c:v>81.4194645133872</c:v>
                </c:pt>
                <c:pt idx="190">
                  <c:v>82.0994475138122</c:v>
                </c:pt>
                <c:pt idx="191">
                  <c:v>82.3926901827454</c:v>
                </c:pt>
                <c:pt idx="192">
                  <c:v>81.0029749256269</c:v>
                </c:pt>
                <c:pt idx="193">
                  <c:v>79.9405014874628</c:v>
                </c:pt>
                <c:pt idx="194">
                  <c:v>79.3115172120697</c:v>
                </c:pt>
                <c:pt idx="195">
                  <c:v>78.8440288992775</c:v>
                </c:pt>
                <c:pt idx="196">
                  <c:v>78.8440288992775</c:v>
                </c:pt>
                <c:pt idx="197">
                  <c:v>78.8440288992775</c:v>
                </c:pt>
                <c:pt idx="198">
                  <c:v>74.3858903527412</c:v>
                </c:pt>
                <c:pt idx="199">
                  <c:v>74.993625159371</c:v>
                </c:pt>
                <c:pt idx="200">
                  <c:v>71.0412239694008</c:v>
                </c:pt>
                <c:pt idx="201">
                  <c:v>71.7637059073523</c:v>
                </c:pt>
                <c:pt idx="202">
                  <c:v>68.8695282617935</c:v>
                </c:pt>
                <c:pt idx="203">
                  <c:v>71.35996600085</c:v>
                </c:pt>
                <c:pt idx="204">
                  <c:v>75.7118572035699</c:v>
                </c:pt>
                <c:pt idx="205">
                  <c:v>74.067148321292</c:v>
                </c:pt>
                <c:pt idx="206">
                  <c:v>66.9910752231194</c:v>
                </c:pt>
                <c:pt idx="207">
                  <c:v>65.0488737781555</c:v>
                </c:pt>
                <c:pt idx="208">
                  <c:v>66.9400764980876</c:v>
                </c:pt>
                <c:pt idx="209">
                  <c:v>66.2133446663834</c:v>
                </c:pt>
                <c:pt idx="210">
                  <c:v>62.9536761580961</c:v>
                </c:pt>
                <c:pt idx="211">
                  <c:v>58.4232894177646</c:v>
                </c:pt>
                <c:pt idx="212">
                  <c:v>52.3884402889928</c:v>
                </c:pt>
                <c:pt idx="213">
                  <c:v>53.5189120271993</c:v>
                </c:pt>
                <c:pt idx="214">
                  <c:v>56.2770930726732</c:v>
                </c:pt>
                <c:pt idx="215">
                  <c:v>54.6876328091798</c:v>
                </c:pt>
                <c:pt idx="216">
                  <c:v>61.3769655758606</c:v>
                </c:pt>
                <c:pt idx="217">
                  <c:v>62.6859328516787</c:v>
                </c:pt>
                <c:pt idx="218">
                  <c:v>63.2426689332767</c:v>
                </c:pt>
                <c:pt idx="219">
                  <c:v>64.4411389715257</c:v>
                </c:pt>
                <c:pt idx="220">
                  <c:v>65.8436039099022</c:v>
                </c:pt>
                <c:pt idx="221">
                  <c:v>60.9307267318317</c:v>
                </c:pt>
                <c:pt idx="222">
                  <c:v>63.0854228644284</c:v>
                </c:pt>
                <c:pt idx="223">
                  <c:v>64.1053973650659</c:v>
                </c:pt>
                <c:pt idx="224">
                  <c:v>62.7581810454739</c:v>
                </c:pt>
                <c:pt idx="225">
                  <c:v>62.5881852953676</c:v>
                </c:pt>
                <c:pt idx="226">
                  <c:v>60.6459838504037</c:v>
                </c:pt>
                <c:pt idx="227">
                  <c:v>60.4589885252869</c:v>
                </c:pt>
                <c:pt idx="228">
                  <c:v>59.740756481088</c:v>
                </c:pt>
                <c:pt idx="229">
                  <c:v>57.3225669358266</c:v>
                </c:pt>
                <c:pt idx="230">
                  <c:v>56.2388440288993</c:v>
                </c:pt>
                <c:pt idx="231">
                  <c:v>52.5031874203145</c:v>
                </c:pt>
                <c:pt idx="232">
                  <c:v>55.5716107097323</c:v>
                </c:pt>
                <c:pt idx="233">
                  <c:v>53.5571610709732</c:v>
                </c:pt>
                <c:pt idx="234">
                  <c:v>54.4028899277518</c:v>
                </c:pt>
                <c:pt idx="235">
                  <c:v>57.1610709732257</c:v>
                </c:pt>
                <c:pt idx="236">
                  <c:v>59.1457713557161</c:v>
                </c:pt>
                <c:pt idx="237">
                  <c:v>59.7790055248619</c:v>
                </c:pt>
                <c:pt idx="238">
                  <c:v>58.7972800679983</c:v>
                </c:pt>
                <c:pt idx="239">
                  <c:v>56.8210794730132</c:v>
                </c:pt>
                <c:pt idx="240">
                  <c:v>56.7870803229919</c:v>
                </c:pt>
                <c:pt idx="241">
                  <c:v>55.8563535911602</c:v>
                </c:pt>
                <c:pt idx="242">
                  <c:v>57.0888227794305</c:v>
                </c:pt>
                <c:pt idx="243">
                  <c:v>61.5767105822354</c:v>
                </c:pt>
                <c:pt idx="244">
                  <c:v>61.7084572885678</c:v>
                </c:pt>
                <c:pt idx="245">
                  <c:v>64.0586485337866</c:v>
                </c:pt>
                <c:pt idx="246">
                  <c:v>64.5686357841054</c:v>
                </c:pt>
                <c:pt idx="247">
                  <c:v>61.35996600085</c:v>
                </c:pt>
                <c:pt idx="248">
                  <c:v>64.3561410964726</c:v>
                </c:pt>
                <c:pt idx="249">
                  <c:v>64.3221419464513</c:v>
                </c:pt>
                <c:pt idx="250">
                  <c:v>64.8618784530387</c:v>
                </c:pt>
                <c:pt idx="251">
                  <c:v>65.1253718657034</c:v>
                </c:pt>
                <c:pt idx="252">
                  <c:v>65.4908627284318</c:v>
                </c:pt>
                <c:pt idx="253">
                  <c:v>65.4398640033999</c:v>
                </c:pt>
                <c:pt idx="254">
                  <c:v>63.2936676583085</c:v>
                </c:pt>
                <c:pt idx="255">
                  <c:v>62.4819379515512</c:v>
                </c:pt>
                <c:pt idx="256">
                  <c:v>61.9677008074798</c:v>
                </c:pt>
                <c:pt idx="257">
                  <c:v>61.9294517637059</c:v>
                </c:pt>
                <c:pt idx="258">
                  <c:v>62.1971950701232</c:v>
                </c:pt>
                <c:pt idx="259">
                  <c:v>62.1971950701232</c:v>
                </c:pt>
                <c:pt idx="260">
                  <c:v>64.2371440713982</c:v>
                </c:pt>
                <c:pt idx="261">
                  <c:v>65.3761155971101</c:v>
                </c:pt>
                <c:pt idx="262">
                  <c:v>66.6340841478963</c:v>
                </c:pt>
                <c:pt idx="263">
                  <c:v>68.5762855928602</c:v>
                </c:pt>
                <c:pt idx="264">
                  <c:v>67.046323841904</c:v>
                </c:pt>
                <c:pt idx="265">
                  <c:v>65.5206119847004</c:v>
                </c:pt>
                <c:pt idx="266">
                  <c:v>64.177645558861</c:v>
                </c:pt>
                <c:pt idx="267">
                  <c:v>64.7896302592435</c:v>
                </c:pt>
                <c:pt idx="268">
                  <c:v>65.660858478538</c:v>
                </c:pt>
                <c:pt idx="269">
                  <c:v>61.644708882278</c:v>
                </c:pt>
                <c:pt idx="270">
                  <c:v>62.9111772205695</c:v>
                </c:pt>
                <c:pt idx="271">
                  <c:v>63.7569060773481</c:v>
                </c:pt>
                <c:pt idx="272">
                  <c:v>62.2821929451764</c:v>
                </c:pt>
                <c:pt idx="273">
                  <c:v>60.8967275818105</c:v>
                </c:pt>
                <c:pt idx="274">
                  <c:v>61.6702082447939</c:v>
                </c:pt>
                <c:pt idx="275">
                  <c:v>60.2422439439014</c:v>
                </c:pt>
                <c:pt idx="276">
                  <c:v>60.2422439439014</c:v>
                </c:pt>
                <c:pt idx="277">
                  <c:v>60.2422439439014</c:v>
                </c:pt>
                <c:pt idx="278">
                  <c:v>64.190395240119</c:v>
                </c:pt>
                <c:pt idx="279">
                  <c:v>64.721631959201</c:v>
                </c:pt>
                <c:pt idx="280">
                  <c:v>64.313642158946</c:v>
                </c:pt>
                <c:pt idx="281">
                  <c:v>63.3234169145771</c:v>
                </c:pt>
                <c:pt idx="282">
                  <c:v>64.3518912027199</c:v>
                </c:pt>
                <c:pt idx="283">
                  <c:v>66.2940926476838</c:v>
                </c:pt>
                <c:pt idx="284">
                  <c:v>65.4483637909052</c:v>
                </c:pt>
                <c:pt idx="285">
                  <c:v>67.5308117297068</c:v>
                </c:pt>
                <c:pt idx="286">
                  <c:v>67.020824479388</c:v>
                </c:pt>
                <c:pt idx="287">
                  <c:v>66.6553336166596</c:v>
                </c:pt>
                <c:pt idx="288">
                  <c:v>65.9838504037399</c:v>
                </c:pt>
                <c:pt idx="289">
                  <c:v>65.3038674033149</c:v>
                </c:pt>
                <c:pt idx="290">
                  <c:v>65.9541011474713</c:v>
                </c:pt>
                <c:pt idx="291">
                  <c:v>64.8788780280493</c:v>
                </c:pt>
                <c:pt idx="292">
                  <c:v>62.3034424139397</c:v>
                </c:pt>
                <c:pt idx="293">
                  <c:v>61.2877178070548</c:v>
                </c:pt>
                <c:pt idx="294">
                  <c:v>61.0284742881428</c:v>
                </c:pt>
                <c:pt idx="295">
                  <c:v>58.7802804929877</c:v>
                </c:pt>
                <c:pt idx="296">
                  <c:v>60.679983000425</c:v>
                </c:pt>
                <c:pt idx="297">
                  <c:v>58.5720356991075</c:v>
                </c:pt>
                <c:pt idx="298">
                  <c:v>58.924776880578</c:v>
                </c:pt>
                <c:pt idx="299">
                  <c:v>58.2150446238844</c:v>
                </c:pt>
                <c:pt idx="300">
                  <c:v>58.6782830429239</c:v>
                </c:pt>
                <c:pt idx="301">
                  <c:v>56.2983425414365</c:v>
                </c:pt>
                <c:pt idx="302">
                  <c:v>56.8550786230344</c:v>
                </c:pt>
                <c:pt idx="303">
                  <c:v>58.7377815554611</c:v>
                </c:pt>
                <c:pt idx="304">
                  <c:v>58.7547811304717</c:v>
                </c:pt>
                <c:pt idx="305">
                  <c:v>58.5762855928602</c:v>
                </c:pt>
                <c:pt idx="306">
                  <c:v>59.4985125371866</c:v>
                </c:pt>
                <c:pt idx="307">
                  <c:v>60.6587335316617</c:v>
                </c:pt>
                <c:pt idx="308">
                  <c:v>62.7284317892053</c:v>
                </c:pt>
                <c:pt idx="309">
                  <c:v>62.9069273268168</c:v>
                </c:pt>
                <c:pt idx="310">
                  <c:v>62.5966850828729</c:v>
                </c:pt>
                <c:pt idx="311">
                  <c:v>62.4734381640459</c:v>
                </c:pt>
                <c:pt idx="312">
                  <c:v>64.6706332341691</c:v>
                </c:pt>
                <c:pt idx="313">
                  <c:v>64.9766255843604</c:v>
                </c:pt>
                <c:pt idx="314">
                  <c:v>64.3901402464938</c:v>
                </c:pt>
                <c:pt idx="315">
                  <c:v>64.8448788780281</c:v>
                </c:pt>
                <c:pt idx="316">
                  <c:v>66.476838079048</c:v>
                </c:pt>
                <c:pt idx="317">
                  <c:v>67.8113047173821</c:v>
                </c:pt>
                <c:pt idx="318">
                  <c:v>68.1172970675733</c:v>
                </c:pt>
                <c:pt idx="319">
                  <c:v>68.9417764555886</c:v>
                </c:pt>
                <c:pt idx="320">
                  <c:v>68.7037824054399</c:v>
                </c:pt>
                <c:pt idx="321">
                  <c:v>66.3960900977475</c:v>
                </c:pt>
                <c:pt idx="322">
                  <c:v>66.7275818104547</c:v>
                </c:pt>
                <c:pt idx="323">
                  <c:v>68.1937951551211</c:v>
                </c:pt>
                <c:pt idx="324">
                  <c:v>70.6247343816405</c:v>
                </c:pt>
                <c:pt idx="325">
                  <c:v>71.0199745006375</c:v>
                </c:pt>
                <c:pt idx="326">
                  <c:v>71.6617084572886</c:v>
                </c:pt>
                <c:pt idx="327">
                  <c:v>71.5427114322142</c:v>
                </c:pt>
                <c:pt idx="328">
                  <c:v>69.1372715682108</c:v>
                </c:pt>
                <c:pt idx="329">
                  <c:v>72.027199320017</c:v>
                </c:pt>
                <c:pt idx="330">
                  <c:v>73.102422439439</c:v>
                </c:pt>
                <c:pt idx="331">
                  <c:v>72.966425839354</c:v>
                </c:pt>
                <c:pt idx="332">
                  <c:v>73.1109222269443</c:v>
                </c:pt>
                <c:pt idx="333">
                  <c:v>72.7624309392265</c:v>
                </c:pt>
                <c:pt idx="334">
                  <c:v>72.9834254143646</c:v>
                </c:pt>
                <c:pt idx="335">
                  <c:v>72.8134296642584</c:v>
                </c:pt>
                <c:pt idx="336">
                  <c:v>73.2256693582661</c:v>
                </c:pt>
                <c:pt idx="337">
                  <c:v>73.0811729706757</c:v>
                </c:pt>
                <c:pt idx="338">
                  <c:v>74.1181470463238</c:v>
                </c:pt>
                <c:pt idx="339">
                  <c:v>74.857628559286</c:v>
                </c:pt>
                <c:pt idx="340">
                  <c:v>74.0033999150021</c:v>
                </c:pt>
                <c:pt idx="341">
                  <c:v>73.1534211644709</c:v>
                </c:pt>
                <c:pt idx="342">
                  <c:v>71.075223119422</c:v>
                </c:pt>
                <c:pt idx="343">
                  <c:v>73.1321716957076</c:v>
                </c:pt>
                <c:pt idx="344">
                  <c:v>74.7981300467488</c:v>
                </c:pt>
                <c:pt idx="345">
                  <c:v>74.7981300467488</c:v>
                </c:pt>
                <c:pt idx="346">
                  <c:v>76.366340841479</c:v>
                </c:pt>
                <c:pt idx="347">
                  <c:v>76.366340841479</c:v>
                </c:pt>
                <c:pt idx="348">
                  <c:v>75.9966000849979</c:v>
                </c:pt>
                <c:pt idx="349">
                  <c:v>76.3875903102422</c:v>
                </c:pt>
                <c:pt idx="350">
                  <c:v>76.9400764980876</c:v>
                </c:pt>
                <c:pt idx="351">
                  <c:v>77.0718232044199</c:v>
                </c:pt>
                <c:pt idx="352">
                  <c:v>76.3833404164896</c:v>
                </c:pt>
                <c:pt idx="353">
                  <c:v>76.9825754356141</c:v>
                </c:pt>
                <c:pt idx="354">
                  <c:v>74.9213769655759</c:v>
                </c:pt>
                <c:pt idx="355">
                  <c:v>75.5631109222269</c:v>
                </c:pt>
                <c:pt idx="356">
                  <c:v>75.3336166595835</c:v>
                </c:pt>
                <c:pt idx="357">
                  <c:v>77.6710582235444</c:v>
                </c:pt>
                <c:pt idx="358">
                  <c:v>78.1130471738206</c:v>
                </c:pt>
                <c:pt idx="359">
                  <c:v>77.2715682107947</c:v>
                </c:pt>
                <c:pt idx="360">
                  <c:v>76.0773480662983</c:v>
                </c:pt>
                <c:pt idx="361">
                  <c:v>75.8903527411815</c:v>
                </c:pt>
                <c:pt idx="362">
                  <c:v>74.2753931151721</c:v>
                </c:pt>
                <c:pt idx="363">
                  <c:v>73.8419039524012</c:v>
                </c:pt>
                <c:pt idx="364">
                  <c:v>75.7288567785805</c:v>
                </c:pt>
                <c:pt idx="365">
                  <c:v>75.945601359966</c:v>
                </c:pt>
                <c:pt idx="366">
                  <c:v>76.8805779855504</c:v>
                </c:pt>
                <c:pt idx="367">
                  <c:v>76.6978325541861</c:v>
                </c:pt>
                <c:pt idx="368">
                  <c:v>76.6298342541437</c:v>
                </c:pt>
                <c:pt idx="369">
                  <c:v>74.6918827029324</c:v>
                </c:pt>
                <c:pt idx="370">
                  <c:v>75.550361240969</c:v>
                </c:pt>
                <c:pt idx="371">
                  <c:v>75.5078623034424</c:v>
                </c:pt>
                <c:pt idx="372">
                  <c:v>74.3348916277093</c:v>
                </c:pt>
                <c:pt idx="373">
                  <c:v>76.884827879303</c:v>
                </c:pt>
                <c:pt idx="374">
                  <c:v>77.1058223544411</c:v>
                </c:pt>
                <c:pt idx="375">
                  <c:v>77.6413089672758</c:v>
                </c:pt>
                <c:pt idx="376">
                  <c:v>76.7785805354866</c:v>
                </c:pt>
                <c:pt idx="377">
                  <c:v>76.0220994475138</c:v>
                </c:pt>
                <c:pt idx="378">
                  <c:v>75.5631109222269</c:v>
                </c:pt>
                <c:pt idx="379">
                  <c:v>74.6026349341266</c:v>
                </c:pt>
                <c:pt idx="380">
                  <c:v>75.0658733531662</c:v>
                </c:pt>
                <c:pt idx="381">
                  <c:v>76.081597960051</c:v>
                </c:pt>
                <c:pt idx="382">
                  <c:v>74.0841478963026</c:v>
                </c:pt>
                <c:pt idx="383">
                  <c:v>74.4071398215045</c:v>
                </c:pt>
                <c:pt idx="384">
                  <c:v>76.0135996600085</c:v>
                </c:pt>
                <c:pt idx="385">
                  <c:v>76.1920951976201</c:v>
                </c:pt>
                <c:pt idx="386">
                  <c:v>75.9923501912452</c:v>
                </c:pt>
                <c:pt idx="387">
                  <c:v>76.068848278793</c:v>
                </c:pt>
                <c:pt idx="388">
                  <c:v>77.3268168295793</c:v>
                </c:pt>
                <c:pt idx="389">
                  <c:v>77.2843178920527</c:v>
                </c:pt>
                <c:pt idx="390">
                  <c:v>77.7390565235869</c:v>
                </c:pt>
                <c:pt idx="391">
                  <c:v>78.4105397365066</c:v>
                </c:pt>
                <c:pt idx="392">
                  <c:v>78.6697832554186</c:v>
                </c:pt>
                <c:pt idx="393">
                  <c:v>78.5082872928177</c:v>
                </c:pt>
                <c:pt idx="394">
                  <c:v>78.504037399065</c:v>
                </c:pt>
                <c:pt idx="395">
                  <c:v>78.4360390990225</c:v>
                </c:pt>
                <c:pt idx="396">
                  <c:v>75.7118572035699</c:v>
                </c:pt>
                <c:pt idx="397">
                  <c:v>76.2558436039099</c:v>
                </c:pt>
                <c:pt idx="398">
                  <c:v>78.3085422864428</c:v>
                </c:pt>
                <c:pt idx="399">
                  <c:v>79.1415214619635</c:v>
                </c:pt>
                <c:pt idx="400">
                  <c:v>79.5410114747131</c:v>
                </c:pt>
                <c:pt idx="401">
                  <c:v>81.7042073948151</c:v>
                </c:pt>
                <c:pt idx="402">
                  <c:v>82.286442838929</c:v>
                </c:pt>
                <c:pt idx="403">
                  <c:v>82.571185720357</c:v>
                </c:pt>
                <c:pt idx="404">
                  <c:v>82.6179345516362</c:v>
                </c:pt>
                <c:pt idx="405">
                  <c:v>82.9281767955801</c:v>
                </c:pt>
                <c:pt idx="406">
                  <c:v>84.177645558861</c:v>
                </c:pt>
                <c:pt idx="407">
                  <c:v>84.3688907777306</c:v>
                </c:pt>
                <c:pt idx="408">
                  <c:v>84.2498937526562</c:v>
                </c:pt>
                <c:pt idx="409">
                  <c:v>84.9468763280918</c:v>
                </c:pt>
                <c:pt idx="410">
                  <c:v>86.2558436039099</c:v>
                </c:pt>
                <c:pt idx="411">
                  <c:v>86.6170845728857</c:v>
                </c:pt>
                <c:pt idx="412">
                  <c:v>86.7403314917127</c:v>
                </c:pt>
                <c:pt idx="413">
                  <c:v>86.353591160221</c:v>
                </c:pt>
                <c:pt idx="414">
                  <c:v>86.5873353166171</c:v>
                </c:pt>
                <c:pt idx="415">
                  <c:v>87.1015724606885</c:v>
                </c:pt>
                <c:pt idx="416">
                  <c:v>87.0250743731407</c:v>
                </c:pt>
                <c:pt idx="417">
                  <c:v>87.1058223544411</c:v>
                </c:pt>
                <c:pt idx="418">
                  <c:v>86.1325966850829</c:v>
                </c:pt>
                <c:pt idx="419">
                  <c:v>86.0433489162771</c:v>
                </c:pt>
                <c:pt idx="420">
                  <c:v>87.7433064173396</c:v>
                </c:pt>
                <c:pt idx="421">
                  <c:v>85.2188695282618</c:v>
                </c:pt>
                <c:pt idx="422">
                  <c:v>85.5631109222269</c:v>
                </c:pt>
                <c:pt idx="423">
                  <c:v>85.4568635784105</c:v>
                </c:pt>
                <c:pt idx="424">
                  <c:v>87.2163195920102</c:v>
                </c:pt>
                <c:pt idx="425">
                  <c:v>87.6583085422864</c:v>
                </c:pt>
                <c:pt idx="426">
                  <c:v>89.5027624309392</c:v>
                </c:pt>
                <c:pt idx="427">
                  <c:v>88.8737781555461</c:v>
                </c:pt>
                <c:pt idx="428">
                  <c:v>89.5112622184445</c:v>
                </c:pt>
                <c:pt idx="429">
                  <c:v>88.6612834679133</c:v>
                </c:pt>
                <c:pt idx="430">
                  <c:v>89.1372715682108</c:v>
                </c:pt>
                <c:pt idx="431">
                  <c:v>88.1597960050999</c:v>
                </c:pt>
                <c:pt idx="432">
                  <c:v>90.0509987250319</c:v>
                </c:pt>
                <c:pt idx="433">
                  <c:v>89.4645133871653</c:v>
                </c:pt>
                <c:pt idx="434">
                  <c:v>89.5027624309392</c:v>
                </c:pt>
                <c:pt idx="435">
                  <c:v>89.1670208244794</c:v>
                </c:pt>
                <c:pt idx="436">
                  <c:v>89.1330216744581</c:v>
                </c:pt>
                <c:pt idx="437">
                  <c:v>89.8427539311517</c:v>
                </c:pt>
                <c:pt idx="438">
                  <c:v>89.2860178495538</c:v>
                </c:pt>
                <c:pt idx="439">
                  <c:v>91.3387165320867</c:v>
                </c:pt>
                <c:pt idx="440">
                  <c:v>91.7169570760731</c:v>
                </c:pt>
                <c:pt idx="441">
                  <c:v>90.7012324691883</c:v>
                </c:pt>
                <c:pt idx="442">
                  <c:v>91.8572035699108</c:v>
                </c:pt>
                <c:pt idx="443">
                  <c:v>93.7229069273268</c:v>
                </c:pt>
                <c:pt idx="444">
                  <c:v>94.4793880152996</c:v>
                </c:pt>
                <c:pt idx="445">
                  <c:v>94.4921376965576</c:v>
                </c:pt>
                <c:pt idx="446">
                  <c:v>94.2838929026774</c:v>
                </c:pt>
                <c:pt idx="447">
                  <c:v>95.7373565660859</c:v>
                </c:pt>
                <c:pt idx="448">
                  <c:v>95.4908627284318</c:v>
                </c:pt>
                <c:pt idx="449">
                  <c:v>94.4963875903102</c:v>
                </c:pt>
                <c:pt idx="450">
                  <c:v>94.2711432214195</c:v>
                </c:pt>
                <c:pt idx="451">
                  <c:v>93.3531661708457</c:v>
                </c:pt>
                <c:pt idx="452">
                  <c:v>94.1733956651084</c:v>
                </c:pt>
                <c:pt idx="453">
                  <c:v>93.3914152146196</c:v>
                </c:pt>
                <c:pt idx="454">
                  <c:v>91.7722056948576</c:v>
                </c:pt>
                <c:pt idx="455">
                  <c:v>91.7722056948576</c:v>
                </c:pt>
                <c:pt idx="456">
                  <c:v>89.4092647683808</c:v>
                </c:pt>
                <c:pt idx="457">
                  <c:v>88.9290267743306</c:v>
                </c:pt>
                <c:pt idx="458">
                  <c:v>88.7972800679983</c:v>
                </c:pt>
                <c:pt idx="459">
                  <c:v>89.6770080747981</c:v>
                </c:pt>
                <c:pt idx="460">
                  <c:v>91.6149596260093</c:v>
                </c:pt>
                <c:pt idx="461">
                  <c:v>91.0454738631534</c:v>
                </c:pt>
                <c:pt idx="462">
                  <c:v>90.5652358691033</c:v>
                </c:pt>
                <c:pt idx="463">
                  <c:v>91.755206119847</c:v>
                </c:pt>
                <c:pt idx="464">
                  <c:v>92.422439439014</c:v>
                </c:pt>
                <c:pt idx="465">
                  <c:v>91.334466638334</c:v>
                </c:pt>
                <c:pt idx="466">
                  <c:v>91.878453038674</c:v>
                </c:pt>
                <c:pt idx="467">
                  <c:v>92.44793880153</c:v>
                </c:pt>
                <c:pt idx="468">
                  <c:v>92.0696982575435</c:v>
                </c:pt>
                <c:pt idx="469">
                  <c:v>90.6289842753931</c:v>
                </c:pt>
                <c:pt idx="470">
                  <c:v>91.2579685507862</c:v>
                </c:pt>
                <c:pt idx="471">
                  <c:v>92.4139396515087</c:v>
                </c:pt>
                <c:pt idx="472">
                  <c:v>91.9974500637484</c:v>
                </c:pt>
                <c:pt idx="473">
                  <c:v>89.6855078623034</c:v>
                </c:pt>
                <c:pt idx="474">
                  <c:v>88.2617934551636</c:v>
                </c:pt>
                <c:pt idx="475">
                  <c:v>87.8920526986825</c:v>
                </c:pt>
                <c:pt idx="476">
                  <c:v>86.8040798980026</c:v>
                </c:pt>
                <c:pt idx="477">
                  <c:v>86.3280917977051</c:v>
                </c:pt>
                <c:pt idx="478">
                  <c:v>88.0492987675308</c:v>
                </c:pt>
                <c:pt idx="479">
                  <c:v>86.4938376540586</c:v>
                </c:pt>
                <c:pt idx="480">
                  <c:v>87.7730556736082</c:v>
                </c:pt>
                <c:pt idx="481">
                  <c:v>88.09604759881</c:v>
                </c:pt>
                <c:pt idx="482">
                  <c:v>88.4955376115597</c:v>
                </c:pt>
                <c:pt idx="483">
                  <c:v>89.2817679558011</c:v>
                </c:pt>
                <c:pt idx="484">
                  <c:v>87.8325541861453</c:v>
                </c:pt>
                <c:pt idx="485">
                  <c:v>87.9048023799405</c:v>
                </c:pt>
                <c:pt idx="486">
                  <c:v>89.2052698682533</c:v>
                </c:pt>
                <c:pt idx="487">
                  <c:v>88.8227794305142</c:v>
                </c:pt>
                <c:pt idx="488">
                  <c:v>89.9107522311942</c:v>
                </c:pt>
                <c:pt idx="489">
                  <c:v>90.9009774755631</c:v>
                </c:pt>
                <c:pt idx="490">
                  <c:v>90.8457288567786</c:v>
                </c:pt>
                <c:pt idx="491">
                  <c:v>90.8287292817679</c:v>
                </c:pt>
                <c:pt idx="492">
                  <c:v>90.0637484062898</c:v>
                </c:pt>
                <c:pt idx="493">
                  <c:v>90.3569910752231</c:v>
                </c:pt>
                <c:pt idx="494">
                  <c:v>89.5750106247344</c:v>
                </c:pt>
                <c:pt idx="495">
                  <c:v>85.3081172970676</c:v>
                </c:pt>
                <c:pt idx="496">
                  <c:v>87.0165745856354</c:v>
                </c:pt>
                <c:pt idx="497">
                  <c:v>88.0025499362516</c:v>
                </c:pt>
                <c:pt idx="498">
                  <c:v>89.3540161495963</c:v>
                </c:pt>
                <c:pt idx="499">
                  <c:v>90.6544836379091</c:v>
                </c:pt>
                <c:pt idx="500">
                  <c:v>91.1602209944751</c:v>
                </c:pt>
                <c:pt idx="501">
                  <c:v>91.606459838504</c:v>
                </c:pt>
                <c:pt idx="502">
                  <c:v>91.334466638334</c:v>
                </c:pt>
                <c:pt idx="503">
                  <c:v>91.6914577135572</c:v>
                </c:pt>
                <c:pt idx="504">
                  <c:v>92.9579260518487</c:v>
                </c:pt>
                <c:pt idx="505">
                  <c:v>92.9749256268593</c:v>
                </c:pt>
                <c:pt idx="506">
                  <c:v>93.2894177645559</c:v>
                </c:pt>
                <c:pt idx="507">
                  <c:v>93.3276668083298</c:v>
                </c:pt>
                <c:pt idx="508">
                  <c:v>93.2086697832554</c:v>
                </c:pt>
                <c:pt idx="509">
                  <c:v>92.1801954951126</c:v>
                </c:pt>
                <c:pt idx="510">
                  <c:v>92.0866978325542</c:v>
                </c:pt>
                <c:pt idx="511">
                  <c:v>91.8827029324267</c:v>
                </c:pt>
                <c:pt idx="512">
                  <c:v>92.5924351891203</c:v>
                </c:pt>
                <c:pt idx="513">
                  <c:v>93.0514237144071</c:v>
                </c:pt>
                <c:pt idx="514">
                  <c:v>94.2073948151296</c:v>
                </c:pt>
                <c:pt idx="515">
                  <c:v>94.3603909902252</c:v>
                </c:pt>
                <c:pt idx="516">
                  <c:v>93.6421589460263</c:v>
                </c:pt>
                <c:pt idx="517">
                  <c:v>94.2881427964301</c:v>
                </c:pt>
                <c:pt idx="518">
                  <c:v>94.2881427964301</c:v>
                </c:pt>
                <c:pt idx="519">
                  <c:v>94.9808754781131</c:v>
                </c:pt>
                <c:pt idx="520">
                  <c:v>94.7046323841904</c:v>
                </c:pt>
                <c:pt idx="521">
                  <c:v>95.4823629409265</c:v>
                </c:pt>
                <c:pt idx="522">
                  <c:v>94.054398640034</c:v>
                </c:pt>
                <c:pt idx="523">
                  <c:v>94.6281342966426</c:v>
                </c:pt>
                <c:pt idx="524">
                  <c:v>94.4453888652784</c:v>
                </c:pt>
                <c:pt idx="525">
                  <c:v>94.7896302592435</c:v>
                </c:pt>
                <c:pt idx="526">
                  <c:v>93.1449213769656</c:v>
                </c:pt>
                <c:pt idx="527">
                  <c:v>94.0033999150021</c:v>
                </c:pt>
                <c:pt idx="528">
                  <c:v>94.8618784530387</c:v>
                </c:pt>
                <c:pt idx="529">
                  <c:v>95.3591160220994</c:v>
                </c:pt>
                <c:pt idx="530">
                  <c:v>95.252868678283</c:v>
                </c:pt>
                <c:pt idx="531">
                  <c:v>95.550361240969</c:v>
                </c:pt>
                <c:pt idx="532">
                  <c:v>96.1155971100722</c:v>
                </c:pt>
                <c:pt idx="533">
                  <c:v>93.7866553336167</c:v>
                </c:pt>
                <c:pt idx="534">
                  <c:v>93.2129196770081</c:v>
                </c:pt>
                <c:pt idx="535">
                  <c:v>91.3259668508287</c:v>
                </c:pt>
                <c:pt idx="536">
                  <c:v>90.531236719082</c:v>
                </c:pt>
                <c:pt idx="537">
                  <c:v>91.6574585635359</c:v>
                </c:pt>
                <c:pt idx="538">
                  <c:v>89.3922651933702</c:v>
                </c:pt>
                <c:pt idx="539">
                  <c:v>89.5707607309817</c:v>
                </c:pt>
                <c:pt idx="540">
                  <c:v>88.937526561836</c:v>
                </c:pt>
                <c:pt idx="541">
                  <c:v>90.0382490437739</c:v>
                </c:pt>
                <c:pt idx="542">
                  <c:v>89.9787505312367</c:v>
                </c:pt>
                <c:pt idx="543">
                  <c:v>87.1483212919677</c:v>
                </c:pt>
                <c:pt idx="544">
                  <c:v>86.4300892477688</c:v>
                </c:pt>
                <c:pt idx="545">
                  <c:v>87.55206119847</c:v>
                </c:pt>
                <c:pt idx="546">
                  <c:v>87.5223119422014</c:v>
                </c:pt>
                <c:pt idx="547">
                  <c:v>89.1330216744581</c:v>
                </c:pt>
                <c:pt idx="548">
                  <c:v>88.7122821929452</c:v>
                </c:pt>
                <c:pt idx="549">
                  <c:v>89.1330216744581</c:v>
                </c:pt>
                <c:pt idx="550">
                  <c:v>90.7097322566936</c:v>
                </c:pt>
                <c:pt idx="551">
                  <c:v>90.3314917127072</c:v>
                </c:pt>
                <c:pt idx="552">
                  <c:v>88.6952826179346</c:v>
                </c:pt>
                <c:pt idx="553">
                  <c:v>90.6417339566511</c:v>
                </c:pt>
                <c:pt idx="554">
                  <c:v>90.7139821504462</c:v>
                </c:pt>
                <c:pt idx="555">
                  <c:v>89.6387590310242</c:v>
                </c:pt>
                <c:pt idx="556">
                  <c:v>88.2107947301317</c:v>
                </c:pt>
                <c:pt idx="557">
                  <c:v>88.5507862303443</c:v>
                </c:pt>
                <c:pt idx="558">
                  <c:v>88.5507862303443</c:v>
                </c:pt>
                <c:pt idx="559">
                  <c:v>89.8597535061623</c:v>
                </c:pt>
                <c:pt idx="560">
                  <c:v>90.2507437314067</c:v>
                </c:pt>
                <c:pt idx="561">
                  <c:v>90.0594985125372</c:v>
                </c:pt>
                <c:pt idx="562">
                  <c:v>90.9689757756056</c:v>
                </c:pt>
                <c:pt idx="563">
                  <c:v>92.5329366765831</c:v>
                </c:pt>
                <c:pt idx="564">
                  <c:v>92.571185720357</c:v>
                </c:pt>
                <c:pt idx="565">
                  <c:v>92.571185720357</c:v>
                </c:pt>
                <c:pt idx="566">
                  <c:v>92.1206969825754</c:v>
                </c:pt>
                <c:pt idx="567">
                  <c:v>92.3714407139821</c:v>
                </c:pt>
                <c:pt idx="568">
                  <c:v>91.5809604759881</c:v>
                </c:pt>
                <c:pt idx="569">
                  <c:v>91.4789630259243</c:v>
                </c:pt>
                <c:pt idx="570">
                  <c:v>93.6166595835104</c:v>
                </c:pt>
                <c:pt idx="571">
                  <c:v>93.0811729706757</c:v>
                </c:pt>
                <c:pt idx="572">
                  <c:v>93.7016574585635</c:v>
                </c:pt>
                <c:pt idx="573">
                  <c:v>92.8686782830429</c:v>
                </c:pt>
                <c:pt idx="574">
                  <c:v>93.5359116022099</c:v>
                </c:pt>
                <c:pt idx="575">
                  <c:v>93.5359116022099</c:v>
                </c:pt>
                <c:pt idx="576">
                  <c:v>93.9524011899703</c:v>
                </c:pt>
                <c:pt idx="577">
                  <c:v>94.4538886527837</c:v>
                </c:pt>
                <c:pt idx="578">
                  <c:v>94.177645558861</c:v>
                </c:pt>
                <c:pt idx="579">
                  <c:v>94.5516362090948</c:v>
                </c:pt>
                <c:pt idx="580">
                  <c:v>94.1691457713557</c:v>
                </c:pt>
                <c:pt idx="581">
                  <c:v>95.822354441139</c:v>
                </c:pt>
                <c:pt idx="582">
                  <c:v>96.340841478963</c:v>
                </c:pt>
                <c:pt idx="583">
                  <c:v>96.6765830854229</c:v>
                </c:pt>
                <c:pt idx="584">
                  <c:v>96.6893327666808</c:v>
                </c:pt>
                <c:pt idx="585">
                  <c:v>96.6043348916277</c:v>
                </c:pt>
                <c:pt idx="586">
                  <c:v>97.0123246918827</c:v>
                </c:pt>
                <c:pt idx="587">
                  <c:v>96.3918402039949</c:v>
                </c:pt>
                <c:pt idx="588">
                  <c:v>95.4483637909052</c:v>
                </c:pt>
                <c:pt idx="589">
                  <c:v>95.4908627284318</c:v>
                </c:pt>
                <c:pt idx="590">
                  <c:v>96.9315767105822</c:v>
                </c:pt>
                <c:pt idx="591">
                  <c:v>97.3948151296218</c:v>
                </c:pt>
                <c:pt idx="592">
                  <c:v>96.7658308542286</c:v>
                </c:pt>
                <c:pt idx="593">
                  <c:v>95.0488737781555</c:v>
                </c:pt>
                <c:pt idx="594">
                  <c:v>95.6778580535487</c:v>
                </c:pt>
                <c:pt idx="595">
                  <c:v>97.3608159796005</c:v>
                </c:pt>
                <c:pt idx="596">
                  <c:v>96.7955801104972</c:v>
                </c:pt>
                <c:pt idx="597">
                  <c:v>96.625584360391</c:v>
                </c:pt>
                <c:pt idx="598">
                  <c:v>97.5945601359966</c:v>
                </c:pt>
                <c:pt idx="599">
                  <c:v>97.441563960901</c:v>
                </c:pt>
                <c:pt idx="600">
                  <c:v>96.46408839779</c:v>
                </c:pt>
                <c:pt idx="601">
                  <c:v>96.094347641309</c:v>
                </c:pt>
                <c:pt idx="602">
                  <c:v>96.8763280917977</c:v>
                </c:pt>
                <c:pt idx="603">
                  <c:v>95.6651083722907</c:v>
                </c:pt>
                <c:pt idx="604">
                  <c:v>95.5206119847004</c:v>
                </c:pt>
                <c:pt idx="605">
                  <c:v>95.5206119847004</c:v>
                </c:pt>
                <c:pt idx="606">
                  <c:v>93.5869103272418</c:v>
                </c:pt>
                <c:pt idx="607">
                  <c:v>91.4109647258819</c:v>
                </c:pt>
                <c:pt idx="608">
                  <c:v>93.115172120697</c:v>
                </c:pt>
                <c:pt idx="609">
                  <c:v>92.4904377390565</c:v>
                </c:pt>
                <c:pt idx="610">
                  <c:v>92.1291967700807</c:v>
                </c:pt>
                <c:pt idx="611">
                  <c:v>93.8376540586485</c:v>
                </c:pt>
                <c:pt idx="612">
                  <c:v>93.9566510837229</c:v>
                </c:pt>
                <c:pt idx="613">
                  <c:v>91.5257118572036</c:v>
                </c:pt>
                <c:pt idx="614">
                  <c:v>91.1262218444539</c:v>
                </c:pt>
                <c:pt idx="615">
                  <c:v>90.2804929876753</c:v>
                </c:pt>
                <c:pt idx="616">
                  <c:v>88.7292817679558</c:v>
                </c:pt>
                <c:pt idx="617">
                  <c:v>88.7292817679558</c:v>
                </c:pt>
                <c:pt idx="618">
                  <c:v>89.3625159371016</c:v>
                </c:pt>
                <c:pt idx="619">
                  <c:v>87.0505737356566</c:v>
                </c:pt>
                <c:pt idx="620">
                  <c:v>87.8113047173821</c:v>
                </c:pt>
                <c:pt idx="621">
                  <c:v>89.1755206119847</c:v>
                </c:pt>
                <c:pt idx="622">
                  <c:v>90.1402464938377</c:v>
                </c:pt>
                <c:pt idx="623">
                  <c:v>91.0922226944326</c:v>
                </c:pt>
                <c:pt idx="624">
                  <c:v>90.531236719082</c:v>
                </c:pt>
                <c:pt idx="625">
                  <c:v>90.531236719082</c:v>
                </c:pt>
                <c:pt idx="626">
                  <c:v>92.4691882702932</c:v>
                </c:pt>
                <c:pt idx="627">
                  <c:v>92.6604334891628</c:v>
                </c:pt>
                <c:pt idx="628">
                  <c:v>91.1092222694433</c:v>
                </c:pt>
                <c:pt idx="629">
                  <c:v>91.8317042073948</c:v>
                </c:pt>
                <c:pt idx="630">
                  <c:v>91.483212919677</c:v>
                </c:pt>
                <c:pt idx="631">
                  <c:v>91.6829579260518</c:v>
                </c:pt>
                <c:pt idx="632">
                  <c:v>93.1661708457289</c:v>
                </c:pt>
                <c:pt idx="633">
                  <c:v>94.1053973650659</c:v>
                </c:pt>
                <c:pt idx="634">
                  <c:v>94.067148321292</c:v>
                </c:pt>
                <c:pt idx="635">
                  <c:v>94.9171270718232</c:v>
                </c:pt>
                <c:pt idx="636">
                  <c:v>94.9638759031024</c:v>
                </c:pt>
                <c:pt idx="637">
                  <c:v>95.0998725031874</c:v>
                </c:pt>
                <c:pt idx="638">
                  <c:v>96.7658308542286</c:v>
                </c:pt>
                <c:pt idx="639">
                  <c:v>96.2388440288993</c:v>
                </c:pt>
                <c:pt idx="640">
                  <c:v>95.8733531661708</c:v>
                </c:pt>
                <c:pt idx="641">
                  <c:v>96.6638334041649</c:v>
                </c:pt>
                <c:pt idx="642">
                  <c:v>95.8903527411815</c:v>
                </c:pt>
                <c:pt idx="643">
                  <c:v>95.8563535911602</c:v>
                </c:pt>
                <c:pt idx="644">
                  <c:v>94.5771355716107</c:v>
                </c:pt>
                <c:pt idx="645">
                  <c:v>93.8589035274118</c:v>
                </c:pt>
                <c:pt idx="646">
                  <c:v>92.9239269018274</c:v>
                </c:pt>
                <c:pt idx="647">
                  <c:v>92.2269443263918</c:v>
                </c:pt>
                <c:pt idx="648">
                  <c:v>92.422439439014</c:v>
                </c:pt>
                <c:pt idx="649">
                  <c:v>93.1236719082023</c:v>
                </c:pt>
                <c:pt idx="650">
                  <c:v>92.4139396515087</c:v>
                </c:pt>
                <c:pt idx="651">
                  <c:v>93.8291542711432</c:v>
                </c:pt>
                <c:pt idx="652">
                  <c:v>95.3846153846154</c:v>
                </c:pt>
                <c:pt idx="653">
                  <c:v>95.9881002974926</c:v>
                </c:pt>
                <c:pt idx="654">
                  <c:v>96.1070973225669</c:v>
                </c:pt>
                <c:pt idx="655">
                  <c:v>97.4373140671483</c:v>
                </c:pt>
                <c:pt idx="656">
                  <c:v>97.0633234169146</c:v>
                </c:pt>
                <c:pt idx="657">
                  <c:v>96.1920951976201</c:v>
                </c:pt>
                <c:pt idx="658">
                  <c:v>95.7586060348491</c:v>
                </c:pt>
                <c:pt idx="659">
                  <c:v>95.9796005099873</c:v>
                </c:pt>
                <c:pt idx="660">
                  <c:v>96.8465788355291</c:v>
                </c:pt>
                <c:pt idx="661">
                  <c:v>96.1453463663408</c:v>
                </c:pt>
                <c:pt idx="662">
                  <c:v>97.5350616234594</c:v>
                </c:pt>
                <c:pt idx="663">
                  <c:v>98.1172970675733</c:v>
                </c:pt>
                <c:pt idx="664">
                  <c:v>98.1427964300893</c:v>
                </c:pt>
                <c:pt idx="665">
                  <c:v>98.4105397365066</c:v>
                </c:pt>
                <c:pt idx="666">
                  <c:v>98.2405439864003</c:v>
                </c:pt>
                <c:pt idx="667">
                  <c:v>97.428814279643</c:v>
                </c:pt>
                <c:pt idx="668">
                  <c:v>98.6910327241819</c:v>
                </c:pt>
                <c:pt idx="669">
                  <c:v>99.18402039949</c:v>
                </c:pt>
                <c:pt idx="670">
                  <c:v>99.0820229494263</c:v>
                </c:pt>
                <c:pt idx="671">
                  <c:v>98.763280917977</c:v>
                </c:pt>
                <c:pt idx="672">
                  <c:v>98.7462813429664</c:v>
                </c:pt>
                <c:pt idx="673">
                  <c:v>99.0820229494263</c:v>
                </c:pt>
                <c:pt idx="674">
                  <c:v>98.6145346366341</c:v>
                </c:pt>
                <c:pt idx="675">
                  <c:v>97.3140671483213</c:v>
                </c:pt>
                <c:pt idx="676">
                  <c:v>95.1806204844879</c:v>
                </c:pt>
                <c:pt idx="677">
                  <c:v>96.476838079048</c:v>
                </c:pt>
                <c:pt idx="678">
                  <c:v>96.2643433914152</c:v>
                </c:pt>
                <c:pt idx="679">
                  <c:v>96.8805779855504</c:v>
                </c:pt>
                <c:pt idx="680">
                  <c:v>97.2800679983</c:v>
                </c:pt>
                <c:pt idx="681">
                  <c:v>98.5465363365916</c:v>
                </c:pt>
                <c:pt idx="682">
                  <c:v>98.244793880153</c:v>
                </c:pt>
                <c:pt idx="683">
                  <c:v>97.8325541861453</c:v>
                </c:pt>
                <c:pt idx="684">
                  <c:v>97.5010624734382</c:v>
                </c:pt>
                <c:pt idx="685">
                  <c:v>96.0433489162771</c:v>
                </c:pt>
                <c:pt idx="686">
                  <c:v>95.7883552911177</c:v>
                </c:pt>
                <c:pt idx="687">
                  <c:v>95.8436039099022</c:v>
                </c:pt>
                <c:pt idx="688">
                  <c:v>97.590310242244</c:v>
                </c:pt>
                <c:pt idx="689">
                  <c:v>96.3918402039949</c:v>
                </c:pt>
                <c:pt idx="690">
                  <c:v>97.4968125796855</c:v>
                </c:pt>
                <c:pt idx="691">
                  <c:v>98.0280492987675</c:v>
                </c:pt>
                <c:pt idx="692">
                  <c:v>98.1895452613685</c:v>
                </c:pt>
                <c:pt idx="693">
                  <c:v>98.924776880578</c:v>
                </c:pt>
                <c:pt idx="694">
                  <c:v>98.788780280493</c:v>
                </c:pt>
                <c:pt idx="695">
                  <c:v>98.1470463238419</c:v>
                </c:pt>
                <c:pt idx="696">
                  <c:v>98.3977900552486</c:v>
                </c:pt>
                <c:pt idx="697">
                  <c:v>99.4177645558861</c:v>
                </c:pt>
                <c:pt idx="698">
                  <c:v>100.441988950276</c:v>
                </c:pt>
                <c:pt idx="699">
                  <c:v>100.288992775181</c:v>
                </c:pt>
                <c:pt idx="700">
                  <c:v>100.781980450489</c:v>
                </c:pt>
                <c:pt idx="701">
                  <c:v>100.029749256269</c:v>
                </c:pt>
                <c:pt idx="702">
                  <c:v>100.994475138122</c:v>
                </c:pt>
                <c:pt idx="703">
                  <c:v>101.270718232044</c:v>
                </c:pt>
                <c:pt idx="704">
                  <c:v>101.270718232044</c:v>
                </c:pt>
                <c:pt idx="705">
                  <c:v>101.270718232044</c:v>
                </c:pt>
                <c:pt idx="706">
                  <c:v>101.270718232044</c:v>
                </c:pt>
                <c:pt idx="707">
                  <c:v>101.912452188695</c:v>
                </c:pt>
                <c:pt idx="708">
                  <c:v>102.583935401615</c:v>
                </c:pt>
                <c:pt idx="709">
                  <c:v>102.248193795155</c:v>
                </c:pt>
                <c:pt idx="710">
                  <c:v>102.962175945601</c:v>
                </c:pt>
                <c:pt idx="711">
                  <c:v>103.251168720782</c:v>
                </c:pt>
                <c:pt idx="712">
                  <c:v>103.480662983425</c:v>
                </c:pt>
                <c:pt idx="713">
                  <c:v>103.693157671058</c:v>
                </c:pt>
                <c:pt idx="714">
                  <c:v>103.790905227369</c:v>
                </c:pt>
                <c:pt idx="715">
                  <c:v>105.269868253294</c:v>
                </c:pt>
                <c:pt idx="716">
                  <c:v>105.065873353166</c:v>
                </c:pt>
                <c:pt idx="717">
                  <c:v>104.764130896728</c:v>
                </c:pt>
                <c:pt idx="718">
                  <c:v>104.309392265193</c:v>
                </c:pt>
                <c:pt idx="719">
                  <c:v>102.996175095623</c:v>
                </c:pt>
                <c:pt idx="720">
                  <c:v>103.268168295793</c:v>
                </c:pt>
                <c:pt idx="721">
                  <c:v>104.653633659159</c:v>
                </c:pt>
                <c:pt idx="722">
                  <c:v>104.785380365491</c:v>
                </c:pt>
                <c:pt idx="723">
                  <c:v>103.11942201445</c:v>
                </c:pt>
                <c:pt idx="724">
                  <c:v>102.044198895028</c:v>
                </c:pt>
                <c:pt idx="725">
                  <c:v>102.758181045474</c:v>
                </c:pt>
                <c:pt idx="726">
                  <c:v>103.07267318317</c:v>
                </c:pt>
                <c:pt idx="727">
                  <c:v>104.4793880153</c:v>
                </c:pt>
                <c:pt idx="728">
                  <c:v>105.465363365916</c:v>
                </c:pt>
                <c:pt idx="729">
                  <c:v>105.558861028474</c:v>
                </c:pt>
                <c:pt idx="730">
                  <c:v>104.806629834254</c:v>
                </c:pt>
                <c:pt idx="731">
                  <c:v>104.721631959201</c:v>
                </c:pt>
                <c:pt idx="732">
                  <c:v>103.26391840204</c:v>
                </c:pt>
                <c:pt idx="733">
                  <c:v>105.146621334467</c:v>
                </c:pt>
                <c:pt idx="734">
                  <c:v>105.367615809605</c:v>
                </c:pt>
                <c:pt idx="735">
                  <c:v>106.243093922652</c:v>
                </c:pt>
                <c:pt idx="736">
                  <c:v>106.723331916702</c:v>
                </c:pt>
                <c:pt idx="737">
                  <c:v>106.765830854229</c:v>
                </c:pt>
                <c:pt idx="738">
                  <c:v>106.982575435614</c:v>
                </c:pt>
                <c:pt idx="739">
                  <c:v>107.127071823204</c:v>
                </c:pt>
                <c:pt idx="740">
                  <c:v>108.427539311517</c:v>
                </c:pt>
                <c:pt idx="741">
                  <c:v>105.189120271993</c:v>
                </c:pt>
                <c:pt idx="742">
                  <c:v>105.546111347216</c:v>
                </c:pt>
                <c:pt idx="743">
                  <c:v>105.915852103697</c:v>
                </c:pt>
                <c:pt idx="744">
                  <c:v>105.329366765831</c:v>
                </c:pt>
                <c:pt idx="745">
                  <c:v>105.099872503187</c:v>
                </c:pt>
                <c:pt idx="746">
                  <c:v>106.73608159796</c:v>
                </c:pt>
                <c:pt idx="747">
                  <c:v>107.539311517212</c:v>
                </c:pt>
                <c:pt idx="748">
                  <c:v>107.947301317467</c:v>
                </c:pt>
                <c:pt idx="749">
                  <c:v>107.148321291968</c:v>
                </c:pt>
                <c:pt idx="750">
                  <c:v>107.258818529537</c:v>
                </c:pt>
                <c:pt idx="751">
                  <c:v>107.288567785805</c:v>
                </c:pt>
                <c:pt idx="752">
                  <c:v>105.954101147471</c:v>
                </c:pt>
                <c:pt idx="753">
                  <c:v>105.788355291118</c:v>
                </c:pt>
                <c:pt idx="754">
                  <c:v>106.094347641309</c:v>
                </c:pt>
                <c:pt idx="755">
                  <c:v>107.437314067148</c:v>
                </c:pt>
                <c:pt idx="756">
                  <c:v>108.805779855504</c:v>
                </c:pt>
                <c:pt idx="757">
                  <c:v>109.498512537187</c:v>
                </c:pt>
                <c:pt idx="758">
                  <c:v>109.358266043349</c:v>
                </c:pt>
                <c:pt idx="759">
                  <c:v>109.915002124947</c:v>
                </c:pt>
                <c:pt idx="760">
                  <c:v>109.439014024649</c:v>
                </c:pt>
                <c:pt idx="761">
                  <c:v>111.483212919677</c:v>
                </c:pt>
                <c:pt idx="762">
                  <c:v>111.236719082023</c:v>
                </c:pt>
                <c:pt idx="763">
                  <c:v>111.90395240119</c:v>
                </c:pt>
                <c:pt idx="764">
                  <c:v>112.677433064173</c:v>
                </c:pt>
                <c:pt idx="765">
                  <c:v>113.025924351891</c:v>
                </c:pt>
                <c:pt idx="766">
                  <c:v>112.588185295368</c:v>
                </c:pt>
                <c:pt idx="767">
                  <c:v>113.756906077348</c:v>
                </c:pt>
                <c:pt idx="768">
                  <c:v>113.650658733532</c:v>
                </c:pt>
                <c:pt idx="769">
                  <c:v>114.453888652784</c:v>
                </c:pt>
                <c:pt idx="770">
                  <c:v>114.577135571611</c:v>
                </c:pt>
                <c:pt idx="771">
                  <c:v>114.585635359116</c:v>
                </c:pt>
                <c:pt idx="772">
                  <c:v>114.109647258819</c:v>
                </c:pt>
                <c:pt idx="773">
                  <c:v>113.620909477263</c:v>
                </c:pt>
                <c:pt idx="774">
                  <c:v>114.339141521462</c:v>
                </c:pt>
                <c:pt idx="775">
                  <c:v>114.934126646834</c:v>
                </c:pt>
                <c:pt idx="776">
                  <c:v>115.252868678283</c:v>
                </c:pt>
                <c:pt idx="777">
                  <c:v>115.252868678283</c:v>
                </c:pt>
                <c:pt idx="778">
                  <c:v>116.366340841479</c:v>
                </c:pt>
                <c:pt idx="779">
                  <c:v>117.203569910752</c:v>
                </c:pt>
                <c:pt idx="780">
                  <c:v>117.020824479388</c:v>
                </c:pt>
                <c:pt idx="781">
                  <c:v>116.753081172971</c:v>
                </c:pt>
                <c:pt idx="782">
                  <c:v>117.131321716957</c:v>
                </c:pt>
                <c:pt idx="783">
                  <c:v>116.442838929027</c:v>
                </c:pt>
                <c:pt idx="784">
                  <c:v>116.914577135572</c:v>
                </c:pt>
                <c:pt idx="785">
                  <c:v>117.369315767106</c:v>
                </c:pt>
                <c:pt idx="786">
                  <c:v>117.093072673183</c:v>
                </c:pt>
                <c:pt idx="787">
                  <c:v>118.219294517637</c:v>
                </c:pt>
                <c:pt idx="788">
                  <c:v>117.74330641734</c:v>
                </c:pt>
                <c:pt idx="789">
                  <c:v>117.55206119847</c:v>
                </c:pt>
                <c:pt idx="790">
                  <c:v>118.678283042924</c:v>
                </c:pt>
                <c:pt idx="791">
                  <c:v>118.040798980026</c:v>
                </c:pt>
                <c:pt idx="792">
                  <c:v>115.881852953676</c:v>
                </c:pt>
                <c:pt idx="793">
                  <c:v>116.659583510412</c:v>
                </c:pt>
                <c:pt idx="794">
                  <c:v>116.948576285593</c:v>
                </c:pt>
                <c:pt idx="795">
                  <c:v>118.491287717807</c:v>
                </c:pt>
                <c:pt idx="796">
                  <c:v>118.657033574161</c:v>
                </c:pt>
                <c:pt idx="797">
                  <c:v>118.338291542711</c:v>
                </c:pt>
                <c:pt idx="798">
                  <c:v>116.073098172546</c:v>
                </c:pt>
                <c:pt idx="799">
                  <c:v>116.213344666383</c:v>
                </c:pt>
                <c:pt idx="800">
                  <c:v>116.213344666383</c:v>
                </c:pt>
                <c:pt idx="801">
                  <c:v>116.213344666383</c:v>
                </c:pt>
                <c:pt idx="802">
                  <c:v>116.213344666383</c:v>
                </c:pt>
                <c:pt idx="803">
                  <c:v>116.829579260518</c:v>
                </c:pt>
                <c:pt idx="804">
                  <c:v>116.090097747556</c:v>
                </c:pt>
                <c:pt idx="805">
                  <c:v>114.70463238419</c:v>
                </c:pt>
                <c:pt idx="806">
                  <c:v>112.439439014025</c:v>
                </c:pt>
                <c:pt idx="807">
                  <c:v>110.667233319167</c:v>
                </c:pt>
                <c:pt idx="808">
                  <c:v>113.05567360816</c:v>
                </c:pt>
                <c:pt idx="809">
                  <c:v>112.792180195495</c:v>
                </c:pt>
                <c:pt idx="810">
                  <c:v>111.585210369741</c:v>
                </c:pt>
                <c:pt idx="811">
                  <c:v>111.019974500637</c:v>
                </c:pt>
                <c:pt idx="812">
                  <c:v>112.962175945601</c:v>
                </c:pt>
                <c:pt idx="813">
                  <c:v>112.430939226519</c:v>
                </c:pt>
                <c:pt idx="814">
                  <c:v>110.552486187845</c:v>
                </c:pt>
                <c:pt idx="815">
                  <c:v>110.161495962601</c:v>
                </c:pt>
                <c:pt idx="816">
                  <c:v>109.515512112197</c:v>
                </c:pt>
                <c:pt idx="817">
                  <c:v>110.19124521887</c:v>
                </c:pt>
                <c:pt idx="818">
                  <c:v>108.950276243094</c:v>
                </c:pt>
                <c:pt idx="819">
                  <c:v>108.950276243094</c:v>
                </c:pt>
                <c:pt idx="820">
                  <c:v>108.355291117722</c:v>
                </c:pt>
                <c:pt idx="821">
                  <c:v>110.701232469188</c:v>
                </c:pt>
                <c:pt idx="822">
                  <c:v>112.800679983</c:v>
                </c:pt>
                <c:pt idx="823">
                  <c:v>111.109222269443</c:v>
                </c:pt>
                <c:pt idx="824">
                  <c:v>111.912452188695</c:v>
                </c:pt>
                <c:pt idx="825">
                  <c:v>112.11219719507</c:v>
                </c:pt>
                <c:pt idx="826">
                  <c:v>110.747981300467</c:v>
                </c:pt>
                <c:pt idx="827">
                  <c:v>109.150021249469</c:v>
                </c:pt>
                <c:pt idx="828">
                  <c:v>110.790480237994</c:v>
                </c:pt>
                <c:pt idx="829">
                  <c:v>108.070548236294</c:v>
                </c:pt>
                <c:pt idx="830">
                  <c:v>110.259243518912</c:v>
                </c:pt>
                <c:pt idx="831">
                  <c:v>110.412239694008</c:v>
                </c:pt>
                <c:pt idx="832">
                  <c:v>111.512962175946</c:v>
                </c:pt>
                <c:pt idx="833">
                  <c:v>112.57543561411</c:v>
                </c:pt>
                <c:pt idx="834">
                  <c:v>113.068423289418</c:v>
                </c:pt>
                <c:pt idx="835">
                  <c:v>112.906927326817</c:v>
                </c:pt>
                <c:pt idx="836">
                  <c:v>114.292392690183</c:v>
                </c:pt>
                <c:pt idx="837">
                  <c:v>115.452613684658</c:v>
                </c:pt>
                <c:pt idx="838">
                  <c:v>115.652358691033</c:v>
                </c:pt>
                <c:pt idx="839">
                  <c:v>116.540586485338</c:v>
                </c:pt>
                <c:pt idx="840">
                  <c:v>117.739056523587</c:v>
                </c:pt>
                <c:pt idx="841">
                  <c:v>118.516787080323</c:v>
                </c:pt>
                <c:pt idx="842">
                  <c:v>119.307267318317</c:v>
                </c:pt>
                <c:pt idx="843">
                  <c:v>119.001274968126</c:v>
                </c:pt>
                <c:pt idx="844">
                  <c:v>119.859753506162</c:v>
                </c:pt>
                <c:pt idx="845">
                  <c:v>119.570760730982</c:v>
                </c:pt>
                <c:pt idx="846">
                  <c:v>119.188270293243</c:v>
                </c:pt>
                <c:pt idx="847">
                  <c:v>119.443263918402</c:v>
                </c:pt>
                <c:pt idx="848">
                  <c:v>119.205269868253</c:v>
                </c:pt>
                <c:pt idx="849">
                  <c:v>117.352316192095</c:v>
                </c:pt>
                <c:pt idx="850">
                  <c:v>119.286017849554</c:v>
                </c:pt>
                <c:pt idx="851">
                  <c:v>120.33574160646</c:v>
                </c:pt>
                <c:pt idx="852">
                  <c:v>120.186995325117</c:v>
                </c:pt>
                <c:pt idx="853">
                  <c:v>119.906502337442</c:v>
                </c:pt>
                <c:pt idx="854">
                  <c:v>119.179770505737</c:v>
                </c:pt>
                <c:pt idx="855">
                  <c:v>122.052698682533</c:v>
                </c:pt>
                <c:pt idx="856">
                  <c:v>123.739906502337</c:v>
                </c:pt>
                <c:pt idx="857">
                  <c:v>123.603909902252</c:v>
                </c:pt>
                <c:pt idx="858">
                  <c:v>124.390140246494</c:v>
                </c:pt>
                <c:pt idx="859">
                  <c:v>123.833404164896</c:v>
                </c:pt>
                <c:pt idx="860">
                  <c:v>124.130896727582</c:v>
                </c:pt>
                <c:pt idx="861">
                  <c:v>124.16064598385</c:v>
                </c:pt>
                <c:pt idx="862">
                  <c:v>123.412664683383</c:v>
                </c:pt>
                <c:pt idx="863">
                  <c:v>125.5206119847</c:v>
                </c:pt>
                <c:pt idx="864">
                  <c:v>123.948151296218</c:v>
                </c:pt>
                <c:pt idx="865">
                  <c:v>122.59243518912</c:v>
                </c:pt>
                <c:pt idx="866">
                  <c:v>122.59243518912</c:v>
                </c:pt>
                <c:pt idx="867">
                  <c:v>120.560985975351</c:v>
                </c:pt>
                <c:pt idx="868">
                  <c:v>120.097747556311</c:v>
                </c:pt>
                <c:pt idx="869">
                  <c:v>120.097747556311</c:v>
                </c:pt>
                <c:pt idx="870">
                  <c:v>121.674458138547</c:v>
                </c:pt>
                <c:pt idx="871">
                  <c:v>119.005524861878</c:v>
                </c:pt>
                <c:pt idx="872">
                  <c:v>118.822779430514</c:v>
                </c:pt>
                <c:pt idx="873">
                  <c:v>117.815554611135</c:v>
                </c:pt>
                <c:pt idx="874">
                  <c:v>117.785805354866</c:v>
                </c:pt>
                <c:pt idx="875">
                  <c:v>119.745006374841</c:v>
                </c:pt>
                <c:pt idx="876">
                  <c:v>117.496812579686</c:v>
                </c:pt>
                <c:pt idx="877">
                  <c:v>118.397790055249</c:v>
                </c:pt>
                <c:pt idx="878">
                  <c:v>115.252868678283</c:v>
                </c:pt>
                <c:pt idx="879">
                  <c:v>115.50361240969</c:v>
                </c:pt>
                <c:pt idx="880">
                  <c:v>114.16064598385</c:v>
                </c:pt>
                <c:pt idx="881">
                  <c:v>117.437314067148</c:v>
                </c:pt>
                <c:pt idx="882">
                  <c:v>117.870803229919</c:v>
                </c:pt>
                <c:pt idx="883">
                  <c:v>117.433064173396</c:v>
                </c:pt>
                <c:pt idx="884">
                  <c:v>120.169995750106</c:v>
                </c:pt>
                <c:pt idx="885">
                  <c:v>120.165745856354</c:v>
                </c:pt>
                <c:pt idx="886">
                  <c:v>118.470038249044</c:v>
                </c:pt>
                <c:pt idx="887">
                  <c:v>118.504037399065</c:v>
                </c:pt>
                <c:pt idx="888">
                  <c:v>118.504037399065</c:v>
                </c:pt>
                <c:pt idx="889">
                  <c:v>117.709307267318</c:v>
                </c:pt>
                <c:pt idx="890">
                  <c:v>116.642583935402</c:v>
                </c:pt>
                <c:pt idx="891">
                  <c:v>115.784105397365</c:v>
                </c:pt>
                <c:pt idx="892">
                  <c:v>114.339141521462</c:v>
                </c:pt>
                <c:pt idx="893">
                  <c:v>114.657883552911</c:v>
                </c:pt>
                <c:pt idx="894">
                  <c:v>116.306842328942</c:v>
                </c:pt>
                <c:pt idx="895">
                  <c:v>116.67233319167</c:v>
                </c:pt>
                <c:pt idx="896">
                  <c:v>114.271143221419</c:v>
                </c:pt>
                <c:pt idx="897">
                  <c:v>113.140671483213</c:v>
                </c:pt>
                <c:pt idx="898">
                  <c:v>112.362940926477</c:v>
                </c:pt>
                <c:pt idx="899">
                  <c:v>114.173395665108</c:v>
                </c:pt>
                <c:pt idx="900">
                  <c:v>115.048873778156</c:v>
                </c:pt>
                <c:pt idx="901">
                  <c:v>114.466638334042</c:v>
                </c:pt>
                <c:pt idx="902">
                  <c:v>116.578835529112</c:v>
                </c:pt>
                <c:pt idx="903">
                  <c:v>115.359116022099</c:v>
                </c:pt>
                <c:pt idx="904">
                  <c:v>114.921376965576</c:v>
                </c:pt>
                <c:pt idx="905">
                  <c:v>116.706332341691</c:v>
                </c:pt>
                <c:pt idx="906">
                  <c:v>116.94432639184</c:v>
                </c:pt>
                <c:pt idx="907">
                  <c:v>118.474288142796</c:v>
                </c:pt>
                <c:pt idx="908">
                  <c:v>119.706757331067</c:v>
                </c:pt>
                <c:pt idx="909">
                  <c:v>120.645983850404</c:v>
                </c:pt>
                <c:pt idx="910">
                  <c:v>121.172970675733</c:v>
                </c:pt>
                <c:pt idx="911">
                  <c:v>121.576710582235</c:v>
                </c:pt>
                <c:pt idx="912">
                  <c:v>121.56821079473</c:v>
                </c:pt>
                <c:pt idx="913">
                  <c:v>120.042498937527</c:v>
                </c:pt>
                <c:pt idx="914">
                  <c:v>117.254568635784</c:v>
                </c:pt>
                <c:pt idx="915">
                  <c:v>118.283042923927</c:v>
                </c:pt>
                <c:pt idx="916">
                  <c:v>118.1597960051</c:v>
                </c:pt>
                <c:pt idx="917">
                  <c:v>118.822779430514</c:v>
                </c:pt>
                <c:pt idx="918">
                  <c:v>117.598810029749</c:v>
                </c:pt>
                <c:pt idx="919">
                  <c:v>117.543561410965</c:v>
                </c:pt>
                <c:pt idx="920">
                  <c:v>119.171270718232</c:v>
                </c:pt>
                <c:pt idx="921">
                  <c:v>118.657033574161</c:v>
                </c:pt>
                <c:pt idx="922">
                  <c:v>120.097747556311</c:v>
                </c:pt>
                <c:pt idx="923">
                  <c:v>118.852528686783</c:v>
                </c:pt>
                <c:pt idx="924">
                  <c:v>119.864003399915</c:v>
                </c:pt>
                <c:pt idx="925">
                  <c:v>120.14449638759</c:v>
                </c:pt>
                <c:pt idx="926">
                  <c:v>119.014024649384</c:v>
                </c:pt>
                <c:pt idx="927">
                  <c:v>117.768805779856</c:v>
                </c:pt>
                <c:pt idx="928">
                  <c:v>120</c:v>
                </c:pt>
                <c:pt idx="929">
                  <c:v>117.042073948151</c:v>
                </c:pt>
                <c:pt idx="930">
                  <c:v>113.812154696133</c:v>
                </c:pt>
                <c:pt idx="931">
                  <c:v>111.15172120697</c:v>
                </c:pt>
                <c:pt idx="932">
                  <c:v>107.054823629409</c:v>
                </c:pt>
                <c:pt idx="933">
                  <c:v>103.038674033149</c:v>
                </c:pt>
                <c:pt idx="934">
                  <c:v>99.2435189120272</c:v>
                </c:pt>
                <c:pt idx="935">
                  <c:v>99.1202719932002</c:v>
                </c:pt>
                <c:pt idx="936">
                  <c:v>99.5070123246919</c:v>
                </c:pt>
                <c:pt idx="937">
                  <c:v>97.9090522736932</c:v>
                </c:pt>
                <c:pt idx="938">
                  <c:v>97.9090522736932</c:v>
                </c:pt>
                <c:pt idx="939">
                  <c:v>102.945176370591</c:v>
                </c:pt>
                <c:pt idx="940">
                  <c:v>103.455163620909</c:v>
                </c:pt>
                <c:pt idx="941">
                  <c:v>101.27921801955</c:v>
                </c:pt>
                <c:pt idx="942">
                  <c:v>94.7641308967276</c:v>
                </c:pt>
                <c:pt idx="943">
                  <c:v>93.1364215894603</c:v>
                </c:pt>
                <c:pt idx="944">
                  <c:v>96.9485762855929</c:v>
                </c:pt>
                <c:pt idx="945">
                  <c:v>95.6821079473013</c:v>
                </c:pt>
                <c:pt idx="946">
                  <c:v>96.4810879728007</c:v>
                </c:pt>
                <c:pt idx="947">
                  <c:v>97.3225669358266</c:v>
                </c:pt>
                <c:pt idx="948">
                  <c:v>100.203994900128</c:v>
                </c:pt>
                <c:pt idx="949">
                  <c:v>100.994475138122</c:v>
                </c:pt>
                <c:pt idx="950">
                  <c:v>102.915427114322</c:v>
                </c:pt>
                <c:pt idx="951">
                  <c:v>103.004674883128</c:v>
                </c:pt>
                <c:pt idx="952">
                  <c:v>102.065448363791</c:v>
                </c:pt>
                <c:pt idx="953">
                  <c:v>97.2758181045474</c:v>
                </c:pt>
                <c:pt idx="954">
                  <c:v>96.3238419039524</c:v>
                </c:pt>
                <c:pt idx="955">
                  <c:v>100.348491287718</c:v>
                </c:pt>
                <c:pt idx="956">
                  <c:v>101.347216319592</c:v>
                </c:pt>
                <c:pt idx="957">
                  <c:v>99.1925201869953</c:v>
                </c:pt>
                <c:pt idx="958">
                  <c:v>99.1925201869953</c:v>
                </c:pt>
                <c:pt idx="959">
                  <c:v>99.1925201869953</c:v>
                </c:pt>
                <c:pt idx="960">
                  <c:v>95.686357841054</c:v>
                </c:pt>
                <c:pt idx="961">
                  <c:v>97.1440713982151</c:v>
                </c:pt>
                <c:pt idx="962">
                  <c:v>100.934976625584</c:v>
                </c:pt>
                <c:pt idx="963">
                  <c:v>100.008499787505</c:v>
                </c:pt>
                <c:pt idx="964">
                  <c:v>100.947726306842</c:v>
                </c:pt>
                <c:pt idx="965">
                  <c:v>101.789205269868</c:v>
                </c:pt>
                <c:pt idx="966">
                  <c:v>98.6187845303867</c:v>
                </c:pt>
                <c:pt idx="967">
                  <c:v>92.9111772205695</c:v>
                </c:pt>
                <c:pt idx="968">
                  <c:v>91.0242243943901</c:v>
                </c:pt>
                <c:pt idx="969">
                  <c:v>95.7458563535912</c:v>
                </c:pt>
                <c:pt idx="970">
                  <c:v>95.1211219719507</c:v>
                </c:pt>
                <c:pt idx="971">
                  <c:v>97.9048023799405</c:v>
                </c:pt>
                <c:pt idx="972">
                  <c:v>97.9218019549511</c:v>
                </c:pt>
                <c:pt idx="973">
                  <c:v>97.9218019549511</c:v>
                </c:pt>
                <c:pt idx="974">
                  <c:v>94.3178920526987</c:v>
                </c:pt>
                <c:pt idx="975">
                  <c:v>92.3671908202295</c:v>
                </c:pt>
                <c:pt idx="976">
                  <c:v>95.1721206969826</c:v>
                </c:pt>
                <c:pt idx="977">
                  <c:v>97.8623034424139</c:v>
                </c:pt>
                <c:pt idx="978">
                  <c:v>98.09604759881</c:v>
                </c:pt>
                <c:pt idx="979">
                  <c:v>99.7875053123672</c:v>
                </c:pt>
                <c:pt idx="980">
                  <c:v>100.577985550361</c:v>
                </c:pt>
                <c:pt idx="981">
                  <c:v>101.185720356991</c:v>
                </c:pt>
                <c:pt idx="982">
                  <c:v>101.857203569911</c:v>
                </c:pt>
                <c:pt idx="983">
                  <c:v>103.480662983425</c:v>
                </c:pt>
                <c:pt idx="984">
                  <c:v>101.950701232469</c:v>
                </c:pt>
                <c:pt idx="985">
                  <c:v>102.894177645559</c:v>
                </c:pt>
                <c:pt idx="986">
                  <c:v>100.114747131322</c:v>
                </c:pt>
                <c:pt idx="987">
                  <c:v>102.005949851254</c:v>
                </c:pt>
                <c:pt idx="988">
                  <c:v>105.486612834679</c:v>
                </c:pt>
                <c:pt idx="989">
                  <c:v>105.057373565661</c:v>
                </c:pt>
                <c:pt idx="990">
                  <c:v>105.210369740756</c:v>
                </c:pt>
                <c:pt idx="991">
                  <c:v>106.757331066723</c:v>
                </c:pt>
                <c:pt idx="992">
                  <c:v>107.297067573311</c:v>
                </c:pt>
                <c:pt idx="993">
                  <c:v>106.196345091373</c:v>
                </c:pt>
                <c:pt idx="994">
                  <c:v>106.213344666383</c:v>
                </c:pt>
                <c:pt idx="995">
                  <c:v>105.410114747131</c:v>
                </c:pt>
                <c:pt idx="996">
                  <c:v>103.735656608585</c:v>
                </c:pt>
                <c:pt idx="997">
                  <c:v>107.241818954526</c:v>
                </c:pt>
                <c:pt idx="998">
                  <c:v>106.578835529112</c:v>
                </c:pt>
                <c:pt idx="999">
                  <c:v>105.533361665958</c:v>
                </c:pt>
                <c:pt idx="1000">
                  <c:v>105.92010199745</c:v>
                </c:pt>
                <c:pt idx="1001">
                  <c:v>100.305992350191</c:v>
                </c:pt>
                <c:pt idx="1002">
                  <c:v>103.268168295793</c:v>
                </c:pt>
                <c:pt idx="1003">
                  <c:v>105.512112197195</c:v>
                </c:pt>
                <c:pt idx="1004">
                  <c:v>104.636634084148</c:v>
                </c:pt>
                <c:pt idx="1005">
                  <c:v>102.838929026774</c:v>
                </c:pt>
                <c:pt idx="1006">
                  <c:v>103.95240118997</c:v>
                </c:pt>
                <c:pt idx="1007">
                  <c:v>101.755206119847</c:v>
                </c:pt>
                <c:pt idx="1008">
                  <c:v>100.569485762856</c:v>
                </c:pt>
                <c:pt idx="1009">
                  <c:v>101.062473438164</c:v>
                </c:pt>
                <c:pt idx="1010">
                  <c:v>98.4615384615385</c:v>
                </c:pt>
                <c:pt idx="1011">
                  <c:v>99.171270718232</c:v>
                </c:pt>
                <c:pt idx="1012">
                  <c:v>98.1852953676158</c:v>
                </c:pt>
                <c:pt idx="1013">
                  <c:v>100.548236294093</c:v>
                </c:pt>
                <c:pt idx="1014">
                  <c:v>103.059923501912</c:v>
                </c:pt>
                <c:pt idx="1015">
                  <c:v>102.503187420314</c:v>
                </c:pt>
                <c:pt idx="1016">
                  <c:v>106.893327666808</c:v>
                </c:pt>
                <c:pt idx="1017">
                  <c:v>106.753081172971</c:v>
                </c:pt>
                <c:pt idx="1018">
                  <c:v>107.190820229494</c:v>
                </c:pt>
                <c:pt idx="1019">
                  <c:v>106.026349341266</c:v>
                </c:pt>
                <c:pt idx="1020">
                  <c:v>106.914577135572</c:v>
                </c:pt>
                <c:pt idx="1021">
                  <c:v>106.379090522737</c:v>
                </c:pt>
                <c:pt idx="1022">
                  <c:v>104.092647683808</c:v>
                </c:pt>
                <c:pt idx="1023">
                  <c:v>105.631109222269</c:v>
                </c:pt>
                <c:pt idx="1024">
                  <c:v>103.476413089673</c:v>
                </c:pt>
                <c:pt idx="1025">
                  <c:v>102.996175095623</c:v>
                </c:pt>
                <c:pt idx="1026">
                  <c:v>100.603484912877</c:v>
                </c:pt>
                <c:pt idx="1027">
                  <c:v>101.920951976201</c:v>
                </c:pt>
                <c:pt idx="1028">
                  <c:v>98.4870378240544</c:v>
                </c:pt>
                <c:pt idx="1029">
                  <c:v>99.3752656183595</c:v>
                </c:pt>
                <c:pt idx="1030">
                  <c:v>102.639184020399</c:v>
                </c:pt>
                <c:pt idx="1031">
                  <c:v>102.59243518912</c:v>
                </c:pt>
                <c:pt idx="1032">
                  <c:v>103.790905227369</c:v>
                </c:pt>
                <c:pt idx="1033">
                  <c:v>103.11942201445</c:v>
                </c:pt>
                <c:pt idx="1034">
                  <c:v>102.333191670208</c:v>
                </c:pt>
                <c:pt idx="1035">
                  <c:v>101.211219719507</c:v>
                </c:pt>
                <c:pt idx="1036">
                  <c:v>101.181470463238</c:v>
                </c:pt>
                <c:pt idx="1037">
                  <c:v>101.181470463238</c:v>
                </c:pt>
                <c:pt idx="1038">
                  <c:v>101.444963875903</c:v>
                </c:pt>
                <c:pt idx="1039">
                  <c:v>104.470888227794</c:v>
                </c:pt>
                <c:pt idx="1040">
                  <c:v>103.799405014875</c:v>
                </c:pt>
                <c:pt idx="1041">
                  <c:v>103.510412239694</c:v>
                </c:pt>
                <c:pt idx="1042">
                  <c:v>102.23969400765</c:v>
                </c:pt>
                <c:pt idx="1043">
                  <c:v>101.155971100722</c:v>
                </c:pt>
                <c:pt idx="1044">
                  <c:v>102.715682107947</c:v>
                </c:pt>
                <c:pt idx="1045">
                  <c:v>102.350191245219</c:v>
                </c:pt>
                <c:pt idx="1046">
                  <c:v>103.467913302167</c:v>
                </c:pt>
                <c:pt idx="1047">
                  <c:v>104.241393965151</c:v>
                </c:pt>
                <c:pt idx="1048">
                  <c:v>103.314917127072</c:v>
                </c:pt>
                <c:pt idx="1049">
                  <c:v>105.316617084573</c:v>
                </c:pt>
                <c:pt idx="1050">
                  <c:v>105.320866978326</c:v>
                </c:pt>
                <c:pt idx="1051">
                  <c:v>106.787080322992</c:v>
                </c:pt>
                <c:pt idx="1052">
                  <c:v>109.05652358691</c:v>
                </c:pt>
                <c:pt idx="1053">
                  <c:v>109.05652358691</c:v>
                </c:pt>
                <c:pt idx="1054">
                  <c:v>109.05652358691</c:v>
                </c:pt>
                <c:pt idx="1055">
                  <c:v>109.281767955801</c:v>
                </c:pt>
                <c:pt idx="1056">
                  <c:v>109.443263918402</c:v>
                </c:pt>
                <c:pt idx="1057">
                  <c:v>109.923501912452</c:v>
                </c:pt>
                <c:pt idx="1058">
                  <c:v>108.461538461538</c:v>
                </c:pt>
                <c:pt idx="1059">
                  <c:v>109.179770505737</c:v>
                </c:pt>
                <c:pt idx="1060">
                  <c:v>109.24776880578</c:v>
                </c:pt>
                <c:pt idx="1061">
                  <c:v>110.645983850404</c:v>
                </c:pt>
                <c:pt idx="1062">
                  <c:v>109.87250318742</c:v>
                </c:pt>
                <c:pt idx="1063">
                  <c:v>110.042498937527</c:v>
                </c:pt>
                <c:pt idx="1064">
                  <c:v>110.412239694008</c:v>
                </c:pt>
                <c:pt idx="1065">
                  <c:v>111.746706332342</c:v>
                </c:pt>
                <c:pt idx="1066">
                  <c:v>112.409689757756</c:v>
                </c:pt>
                <c:pt idx="1067">
                  <c:v>110.994475138122</c:v>
                </c:pt>
                <c:pt idx="1068">
                  <c:v>111.665958351041</c:v>
                </c:pt>
                <c:pt idx="1069">
                  <c:v>111.508712282193</c:v>
                </c:pt>
                <c:pt idx="1070">
                  <c:v>112.996175095623</c:v>
                </c:pt>
                <c:pt idx="1071">
                  <c:v>111.300467488313</c:v>
                </c:pt>
                <c:pt idx="1072">
                  <c:v>112.970675733107</c:v>
                </c:pt>
                <c:pt idx="1073">
                  <c:v>113.025924351891</c:v>
                </c:pt>
                <c:pt idx="1074">
                  <c:v>113.000424989375</c:v>
                </c:pt>
                <c:pt idx="1075">
                  <c:v>113.314917127072</c:v>
                </c:pt>
                <c:pt idx="1076">
                  <c:v>112.018699532512</c:v>
                </c:pt>
                <c:pt idx="1077">
                  <c:v>112.707182320442</c:v>
                </c:pt>
                <c:pt idx="1078">
                  <c:v>111.049723756906</c:v>
                </c:pt>
                <c:pt idx="1079">
                  <c:v>111.963450913727</c:v>
                </c:pt>
                <c:pt idx="1080">
                  <c:v>113.527411814705</c:v>
                </c:pt>
                <c:pt idx="1081">
                  <c:v>113.527411814705</c:v>
                </c:pt>
                <c:pt idx="1082">
                  <c:v>113.66340841479</c:v>
                </c:pt>
                <c:pt idx="1083">
                  <c:v>112.515937101572</c:v>
                </c:pt>
                <c:pt idx="1084">
                  <c:v>111.708457288568</c:v>
                </c:pt>
                <c:pt idx="1085">
                  <c:v>110.645983850404</c:v>
                </c:pt>
                <c:pt idx="1086">
                  <c:v>111.708457288568</c:v>
                </c:pt>
                <c:pt idx="1087">
                  <c:v>112.885677858054</c:v>
                </c:pt>
                <c:pt idx="1088">
                  <c:v>112.086697832554</c:v>
                </c:pt>
                <c:pt idx="1089">
                  <c:v>113.429664258394</c:v>
                </c:pt>
                <c:pt idx="1090">
                  <c:v>114.683382915427</c:v>
                </c:pt>
                <c:pt idx="1091">
                  <c:v>114.645133871653</c:v>
                </c:pt>
                <c:pt idx="1092">
                  <c:v>114.011899702507</c:v>
                </c:pt>
                <c:pt idx="1093">
                  <c:v>114.861878453039</c:v>
                </c:pt>
                <c:pt idx="1094">
                  <c:v>114.611134721632</c:v>
                </c:pt>
                <c:pt idx="1095">
                  <c:v>113.80790480238</c:v>
                </c:pt>
                <c:pt idx="1096">
                  <c:v>113.88865278368</c:v>
                </c:pt>
                <c:pt idx="1097">
                  <c:v>113.875903102422</c:v>
                </c:pt>
                <c:pt idx="1098">
                  <c:v>113.646408839779</c:v>
                </c:pt>
                <c:pt idx="1099">
                  <c:v>115.048873778156</c:v>
                </c:pt>
                <c:pt idx="1100">
                  <c:v>114.594135146621</c:v>
                </c:pt>
                <c:pt idx="1101">
                  <c:v>113.527411814705</c:v>
                </c:pt>
                <c:pt idx="1102">
                  <c:v>113.293667658309</c:v>
                </c:pt>
                <c:pt idx="1103">
                  <c:v>114.317892052699</c:v>
                </c:pt>
                <c:pt idx="1104">
                  <c:v>115.79260518487</c:v>
                </c:pt>
                <c:pt idx="1105">
                  <c:v>114.037399065023</c:v>
                </c:pt>
                <c:pt idx="1106">
                  <c:v>114.730131746706</c:v>
                </c:pt>
                <c:pt idx="1107">
                  <c:v>114.734381640459</c:v>
                </c:pt>
                <c:pt idx="1108">
                  <c:v>112.996175095623</c:v>
                </c:pt>
                <c:pt idx="1109">
                  <c:v>112.78368040799</c:v>
                </c:pt>
                <c:pt idx="1110">
                  <c:v>112.78368040799</c:v>
                </c:pt>
                <c:pt idx="1111">
                  <c:v>112.17594560136</c:v>
                </c:pt>
                <c:pt idx="1112">
                  <c:v>113.412664683383</c:v>
                </c:pt>
                <c:pt idx="1113">
                  <c:v>112.405439864003</c:v>
                </c:pt>
                <c:pt idx="1114">
                  <c:v>111.908202294943</c:v>
                </c:pt>
                <c:pt idx="1115">
                  <c:v>113.140671483213</c:v>
                </c:pt>
                <c:pt idx="1116">
                  <c:v>112.868678283043</c:v>
                </c:pt>
                <c:pt idx="1117">
                  <c:v>111.27921801955</c:v>
                </c:pt>
                <c:pt idx="1118">
                  <c:v>111.202719932002</c:v>
                </c:pt>
                <c:pt idx="1119">
                  <c:v>110.820229494263</c:v>
                </c:pt>
                <c:pt idx="1120">
                  <c:v>110.845728856779</c:v>
                </c:pt>
                <c:pt idx="1121">
                  <c:v>111.138971525712</c:v>
                </c:pt>
                <c:pt idx="1122">
                  <c:v>111.954951126222</c:v>
                </c:pt>
                <c:pt idx="1123">
                  <c:v>112.345941351466</c:v>
                </c:pt>
                <c:pt idx="1124">
                  <c:v>112.345941351466</c:v>
                </c:pt>
                <c:pt idx="1125">
                  <c:v>113.306417339567</c:v>
                </c:pt>
                <c:pt idx="1126">
                  <c:v>113.068423289418</c:v>
                </c:pt>
                <c:pt idx="1127">
                  <c:v>112.367190820229</c:v>
                </c:pt>
                <c:pt idx="1128">
                  <c:v>110.382490437739</c:v>
                </c:pt>
                <c:pt idx="1129">
                  <c:v>110.973225669358</c:v>
                </c:pt>
                <c:pt idx="1130">
                  <c:v>109.983000424989</c:v>
                </c:pt>
                <c:pt idx="1131">
                  <c:v>109.60050998725</c:v>
                </c:pt>
                <c:pt idx="1132">
                  <c:v>107.947301317467</c:v>
                </c:pt>
                <c:pt idx="1133">
                  <c:v>107.994050148746</c:v>
                </c:pt>
                <c:pt idx="1134">
                  <c:v>107.233319167021</c:v>
                </c:pt>
                <c:pt idx="1135">
                  <c:v>103.667658308542</c:v>
                </c:pt>
                <c:pt idx="1136">
                  <c:v>103.901402464938</c:v>
                </c:pt>
                <c:pt idx="1137">
                  <c:v>100.233744156396</c:v>
                </c:pt>
                <c:pt idx="1138">
                  <c:v>101.410964725882</c:v>
                </c:pt>
                <c:pt idx="1139">
                  <c:v>103.127921801955</c:v>
                </c:pt>
                <c:pt idx="1140">
                  <c:v>101.895452613685</c:v>
                </c:pt>
                <c:pt idx="1141">
                  <c:v>102.214194645134</c:v>
                </c:pt>
                <c:pt idx="1142">
                  <c:v>102.677433064173</c:v>
                </c:pt>
                <c:pt idx="1143">
                  <c:v>104.232894177646</c:v>
                </c:pt>
                <c:pt idx="1144">
                  <c:v>103.986400339992</c:v>
                </c:pt>
                <c:pt idx="1145">
                  <c:v>103.718657033574</c:v>
                </c:pt>
                <c:pt idx="1146">
                  <c:v>103.26391840204</c:v>
                </c:pt>
                <c:pt idx="1147">
                  <c:v>100.424989375266</c:v>
                </c:pt>
                <c:pt idx="1148">
                  <c:v>101.483212919677</c:v>
                </c:pt>
                <c:pt idx="1149">
                  <c:v>101.483212919677</c:v>
                </c:pt>
                <c:pt idx="1150">
                  <c:v>104.339141521462</c:v>
                </c:pt>
                <c:pt idx="1151">
                  <c:v>103.565660858479</c:v>
                </c:pt>
                <c:pt idx="1152">
                  <c:v>105.524861878453</c:v>
                </c:pt>
                <c:pt idx="1153">
                  <c:v>104.730131746706</c:v>
                </c:pt>
                <c:pt idx="1154">
                  <c:v>105.006374840629</c:v>
                </c:pt>
                <c:pt idx="1155">
                  <c:v>105.660858478538</c:v>
                </c:pt>
                <c:pt idx="1156">
                  <c:v>104.789630259244</c:v>
                </c:pt>
                <c:pt idx="1157">
                  <c:v>106.829579260518</c:v>
                </c:pt>
                <c:pt idx="1158">
                  <c:v>106.804079898003</c:v>
                </c:pt>
                <c:pt idx="1159">
                  <c:v>107.48831279218</c:v>
                </c:pt>
                <c:pt idx="1160">
                  <c:v>106.442838929027</c:v>
                </c:pt>
                <c:pt idx="1161">
                  <c:v>103.761155971101</c:v>
                </c:pt>
                <c:pt idx="1162">
                  <c:v>102.316192095198</c:v>
                </c:pt>
                <c:pt idx="1163">
                  <c:v>101.861453463663</c:v>
                </c:pt>
                <c:pt idx="1164">
                  <c:v>101.933701657459</c:v>
                </c:pt>
                <c:pt idx="1165">
                  <c:v>101.988950276243</c:v>
                </c:pt>
                <c:pt idx="1166">
                  <c:v>104.07989800255</c:v>
                </c:pt>
                <c:pt idx="1167">
                  <c:v>103.892902677433</c:v>
                </c:pt>
                <c:pt idx="1168">
                  <c:v>104.887377815555</c:v>
                </c:pt>
                <c:pt idx="1169">
                  <c:v>105.29536761581</c:v>
                </c:pt>
                <c:pt idx="1170">
                  <c:v>105.257118572036</c:v>
                </c:pt>
                <c:pt idx="1171">
                  <c:v>104.152146196345</c:v>
                </c:pt>
                <c:pt idx="1172">
                  <c:v>102.732681682958</c:v>
                </c:pt>
                <c:pt idx="1173">
                  <c:v>102.371440713982</c:v>
                </c:pt>
                <c:pt idx="1174">
                  <c:v>102.141946451339</c:v>
                </c:pt>
                <c:pt idx="1175">
                  <c:v>99.72800679983</c:v>
                </c:pt>
                <c:pt idx="1176">
                  <c:v>101.474713132172</c:v>
                </c:pt>
                <c:pt idx="1177">
                  <c:v>101.738206544836</c:v>
                </c:pt>
                <c:pt idx="1178">
                  <c:v>102.078198045049</c:v>
                </c:pt>
                <c:pt idx="1179">
                  <c:v>100.475988100297</c:v>
                </c:pt>
                <c:pt idx="1180">
                  <c:v>102.184445388865</c:v>
                </c:pt>
                <c:pt idx="1181">
                  <c:v>102.146196345091</c:v>
                </c:pt>
                <c:pt idx="1182">
                  <c:v>100.19124521887</c:v>
                </c:pt>
                <c:pt idx="1183">
                  <c:v>100.573735656609</c:v>
                </c:pt>
                <c:pt idx="1184">
                  <c:v>99.2307692307692</c:v>
                </c:pt>
                <c:pt idx="1185">
                  <c:v>100.012749681258</c:v>
                </c:pt>
                <c:pt idx="1186">
                  <c:v>102.945176370591</c:v>
                </c:pt>
                <c:pt idx="1187">
                  <c:v>103.943901402465</c:v>
                </c:pt>
                <c:pt idx="1188">
                  <c:v>106.281342966426</c:v>
                </c:pt>
                <c:pt idx="1189">
                  <c:v>106.077348066298</c:v>
                </c:pt>
                <c:pt idx="1190">
                  <c:v>105.354866128347</c:v>
                </c:pt>
                <c:pt idx="1191">
                  <c:v>104.041648958776</c:v>
                </c:pt>
                <c:pt idx="1192">
                  <c:v>106.4003399915</c:v>
                </c:pt>
                <c:pt idx="1193">
                  <c:v>106.413089672758</c:v>
                </c:pt>
                <c:pt idx="1194">
                  <c:v>107.454313642159</c:v>
                </c:pt>
                <c:pt idx="1195">
                  <c:v>109.681257968551</c:v>
                </c:pt>
                <c:pt idx="1196">
                  <c:v>110.033999150021</c:v>
                </c:pt>
                <c:pt idx="1197">
                  <c:v>109.073523161921</c:v>
                </c:pt>
                <c:pt idx="1198">
                  <c:v>110.54398640034</c:v>
                </c:pt>
                <c:pt idx="1199">
                  <c:v>110.54398640034</c:v>
                </c:pt>
                <c:pt idx="1200">
                  <c:v>110.531236719082</c:v>
                </c:pt>
                <c:pt idx="1201">
                  <c:v>109.732256693583</c:v>
                </c:pt>
                <c:pt idx="1202">
                  <c:v>109.660008499787</c:v>
                </c:pt>
                <c:pt idx="1203">
                  <c:v>109.434764130897</c:v>
                </c:pt>
                <c:pt idx="1204">
                  <c:v>108.886527836804</c:v>
                </c:pt>
                <c:pt idx="1205">
                  <c:v>109.341266468338</c:v>
                </c:pt>
                <c:pt idx="1206">
                  <c:v>107.832554186145</c:v>
                </c:pt>
                <c:pt idx="1207">
                  <c:v>107.42456438589</c:v>
                </c:pt>
                <c:pt idx="1208">
                  <c:v>107.339566510837</c:v>
                </c:pt>
                <c:pt idx="1209">
                  <c:v>108.040798980026</c:v>
                </c:pt>
                <c:pt idx="1210">
                  <c:v>106.65533361666</c:v>
                </c:pt>
                <c:pt idx="1211">
                  <c:v>106.485337866553</c:v>
                </c:pt>
                <c:pt idx="1212">
                  <c:v>106.770080747981</c:v>
                </c:pt>
                <c:pt idx="1213">
                  <c:v>106.485337866553</c:v>
                </c:pt>
                <c:pt idx="1214">
                  <c:v>104.441138971526</c:v>
                </c:pt>
                <c:pt idx="1215">
                  <c:v>104.883127921802</c:v>
                </c:pt>
                <c:pt idx="1216">
                  <c:v>107.955801104972</c:v>
                </c:pt>
                <c:pt idx="1217">
                  <c:v>107.683807904802</c:v>
                </c:pt>
                <c:pt idx="1218">
                  <c:v>107.40756481088</c:v>
                </c:pt>
                <c:pt idx="1219">
                  <c:v>109.201019974501</c:v>
                </c:pt>
                <c:pt idx="1220">
                  <c:v>109.167020824479</c:v>
                </c:pt>
                <c:pt idx="1221">
                  <c:v>112.630684232894</c:v>
                </c:pt>
                <c:pt idx="1222">
                  <c:v>112.184445388865</c:v>
                </c:pt>
                <c:pt idx="1223">
                  <c:v>112.30344241394</c:v>
                </c:pt>
                <c:pt idx="1224">
                  <c:v>112.38419039524</c:v>
                </c:pt>
                <c:pt idx="1225">
                  <c:v>111.291967700807</c:v>
                </c:pt>
                <c:pt idx="1226">
                  <c:v>111.946451338717</c:v>
                </c:pt>
                <c:pt idx="1227">
                  <c:v>112.010199745006</c:v>
                </c:pt>
                <c:pt idx="1228">
                  <c:v>111.35996600085</c:v>
                </c:pt>
                <c:pt idx="1229">
                  <c:v>110.675733106672</c:v>
                </c:pt>
                <c:pt idx="1230">
                  <c:v>111.185720356991</c:v>
                </c:pt>
                <c:pt idx="1231">
                  <c:v>111.555461113472</c:v>
                </c:pt>
                <c:pt idx="1232">
                  <c:v>111.555461113472</c:v>
                </c:pt>
                <c:pt idx="1233">
                  <c:v>111.55121121972</c:v>
                </c:pt>
                <c:pt idx="1234">
                  <c:v>111.55121121972</c:v>
                </c:pt>
                <c:pt idx="1235">
                  <c:v>111.313217169571</c:v>
                </c:pt>
                <c:pt idx="1236">
                  <c:v>111.376965575861</c:v>
                </c:pt>
                <c:pt idx="1237">
                  <c:v>110.54398640034</c:v>
                </c:pt>
                <c:pt idx="1238">
                  <c:v>110.35274118147</c:v>
                </c:pt>
                <c:pt idx="1239">
                  <c:v>108.436039099023</c:v>
                </c:pt>
                <c:pt idx="1240">
                  <c:v>107.454313642159</c:v>
                </c:pt>
                <c:pt idx="1241">
                  <c:v>107.284317892053</c:v>
                </c:pt>
                <c:pt idx="1242">
                  <c:v>106.859328516787</c:v>
                </c:pt>
                <c:pt idx="1243">
                  <c:v>107.938801529962</c:v>
                </c:pt>
                <c:pt idx="1244">
                  <c:v>108.822779430514</c:v>
                </c:pt>
                <c:pt idx="1245">
                  <c:v>109.337016574586</c:v>
                </c:pt>
                <c:pt idx="1246">
                  <c:v>108.283042923927</c:v>
                </c:pt>
                <c:pt idx="1247">
                  <c:v>108.040798980026</c:v>
                </c:pt>
                <c:pt idx="1248">
                  <c:v>107.037824054399</c:v>
                </c:pt>
                <c:pt idx="1249">
                  <c:v>106.162345941351</c:v>
                </c:pt>
                <c:pt idx="1250">
                  <c:v>106.978325541861</c:v>
                </c:pt>
                <c:pt idx="1251">
                  <c:v>105.048873778156</c:v>
                </c:pt>
                <c:pt idx="1252">
                  <c:v>105.252868678283</c:v>
                </c:pt>
                <c:pt idx="1253">
                  <c:v>105.618359541011</c:v>
                </c:pt>
                <c:pt idx="1254">
                  <c:v>106.323841903952</c:v>
                </c:pt>
                <c:pt idx="1255">
                  <c:v>105.325116872078</c:v>
                </c:pt>
                <c:pt idx="1256">
                  <c:v>106.689332766681</c:v>
                </c:pt>
                <c:pt idx="1257">
                  <c:v>106.034849128772</c:v>
                </c:pt>
                <c:pt idx="1258">
                  <c:v>107.224819379516</c:v>
                </c:pt>
                <c:pt idx="1259">
                  <c:v>107.819804504887</c:v>
                </c:pt>
                <c:pt idx="1260">
                  <c:v>106.302592435189</c:v>
                </c:pt>
                <c:pt idx="1261">
                  <c:v>105.690607734807</c:v>
                </c:pt>
                <c:pt idx="1262">
                  <c:v>105.473863153421</c:v>
                </c:pt>
                <c:pt idx="1263">
                  <c:v>104.929876753081</c:v>
                </c:pt>
                <c:pt idx="1264">
                  <c:v>105.31236719082</c:v>
                </c:pt>
                <c:pt idx="1265">
                  <c:v>103.969400764981</c:v>
                </c:pt>
                <c:pt idx="1266">
                  <c:v>103.463663408415</c:v>
                </c:pt>
                <c:pt idx="1267">
                  <c:v>104.470888227794</c:v>
                </c:pt>
                <c:pt idx="1268">
                  <c:v>105.278368040799</c:v>
                </c:pt>
                <c:pt idx="1269">
                  <c:v>104.980875478113</c:v>
                </c:pt>
                <c:pt idx="1270">
                  <c:v>106.039099022524</c:v>
                </c:pt>
                <c:pt idx="1271">
                  <c:v>106.859328516787</c:v>
                </c:pt>
                <c:pt idx="1272">
                  <c:v>106.557586060348</c:v>
                </c:pt>
                <c:pt idx="1273">
                  <c:v>107.69655758606</c:v>
                </c:pt>
                <c:pt idx="1274">
                  <c:v>106.978325541861</c:v>
                </c:pt>
                <c:pt idx="1275">
                  <c:v>108.257543561411</c:v>
                </c:pt>
                <c:pt idx="1276">
                  <c:v>108.053548661283</c:v>
                </c:pt>
                <c:pt idx="1277">
                  <c:v>108.614534636634</c:v>
                </c:pt>
                <c:pt idx="1278">
                  <c:v>108.300042498938</c:v>
                </c:pt>
                <c:pt idx="1279">
                  <c:v>109.065023374416</c:v>
                </c:pt>
                <c:pt idx="1280">
                  <c:v>109.337016574586</c:v>
                </c:pt>
                <c:pt idx="1281">
                  <c:v>109.978750531237</c:v>
                </c:pt>
                <c:pt idx="1282">
                  <c:v>110.084997875053</c:v>
                </c:pt>
                <c:pt idx="1283">
                  <c:v>110.548236294093</c:v>
                </c:pt>
                <c:pt idx="1284">
                  <c:v>111.206969825754</c:v>
                </c:pt>
                <c:pt idx="1285">
                  <c:v>112.957926051849</c:v>
                </c:pt>
                <c:pt idx="1286">
                  <c:v>112.435189120272</c:v>
                </c:pt>
                <c:pt idx="1287">
                  <c:v>111.670208244794</c:v>
                </c:pt>
                <c:pt idx="1288">
                  <c:v>112.294942626434</c:v>
                </c:pt>
                <c:pt idx="1289">
                  <c:v>112.294942626434</c:v>
                </c:pt>
                <c:pt idx="1290">
                  <c:v>112.52868678283</c:v>
                </c:pt>
                <c:pt idx="1291">
                  <c:v>111.300467488313</c:v>
                </c:pt>
                <c:pt idx="1292">
                  <c:v>111.393965150871</c:v>
                </c:pt>
                <c:pt idx="1293">
                  <c:v>111.334466638334</c:v>
                </c:pt>
                <c:pt idx="1294">
                  <c:v>111.636209094773</c:v>
                </c:pt>
                <c:pt idx="1295">
                  <c:v>112.163195920102</c:v>
                </c:pt>
                <c:pt idx="1296">
                  <c:v>112.163195920102</c:v>
                </c:pt>
                <c:pt idx="1297">
                  <c:v>114.390140246494</c:v>
                </c:pt>
                <c:pt idx="1298">
                  <c:v>113.693157671058</c:v>
                </c:pt>
                <c:pt idx="1299">
                  <c:v>113.106672333192</c:v>
                </c:pt>
                <c:pt idx="1300">
                  <c:v>113.034424139397</c:v>
                </c:pt>
                <c:pt idx="1301">
                  <c:v>112.17594560136</c:v>
                </c:pt>
                <c:pt idx="1302">
                  <c:v>111.729706757331</c:v>
                </c:pt>
                <c:pt idx="1303">
                  <c:v>112.600934976626</c:v>
                </c:pt>
                <c:pt idx="1304">
                  <c:v>111.908202294943</c:v>
                </c:pt>
                <c:pt idx="1305">
                  <c:v>112.537186570336</c:v>
                </c:pt>
                <c:pt idx="1306">
                  <c:v>111.104972375691</c:v>
                </c:pt>
                <c:pt idx="1307">
                  <c:v>110.705482362941</c:v>
                </c:pt>
                <c:pt idx="1308">
                  <c:v>110.539736506587</c:v>
                </c:pt>
                <c:pt idx="1309">
                  <c:v>111.223969400765</c:v>
                </c:pt>
                <c:pt idx="1310">
                  <c:v>111.049723756906</c:v>
                </c:pt>
                <c:pt idx="1311">
                  <c:v>111.733956651084</c:v>
                </c:pt>
                <c:pt idx="1312">
                  <c:v>110.964725881853</c:v>
                </c:pt>
                <c:pt idx="1313">
                  <c:v>109.961750956226</c:v>
                </c:pt>
                <c:pt idx="1314">
                  <c:v>108.822779430514</c:v>
                </c:pt>
                <c:pt idx="1315">
                  <c:v>108.227794305142</c:v>
                </c:pt>
                <c:pt idx="1316">
                  <c:v>109.315767105822</c:v>
                </c:pt>
                <c:pt idx="1317">
                  <c:v>109.847003824904</c:v>
                </c:pt>
                <c:pt idx="1318">
                  <c:v>109.677008074798</c:v>
                </c:pt>
                <c:pt idx="1319">
                  <c:v>109.494262643434</c:v>
                </c:pt>
                <c:pt idx="1320">
                  <c:v>109.175520611985</c:v>
                </c:pt>
                <c:pt idx="1321">
                  <c:v>108.295792605185</c:v>
                </c:pt>
                <c:pt idx="1322">
                  <c:v>108.079048023799</c:v>
                </c:pt>
                <c:pt idx="1323">
                  <c:v>107.947301317467</c:v>
                </c:pt>
                <c:pt idx="1324">
                  <c:v>109.260518487038</c:v>
                </c:pt>
                <c:pt idx="1325">
                  <c:v>109.260518487038</c:v>
                </c:pt>
                <c:pt idx="1326">
                  <c:v>109.073523161921</c:v>
                </c:pt>
                <c:pt idx="1327">
                  <c:v>110.888227794305</c:v>
                </c:pt>
                <c:pt idx="1328">
                  <c:v>111.109222269443</c:v>
                </c:pt>
                <c:pt idx="1329">
                  <c:v>111.181470463238</c:v>
                </c:pt>
                <c:pt idx="1330">
                  <c:v>111.189970250744</c:v>
                </c:pt>
                <c:pt idx="1331">
                  <c:v>111.415214619635</c:v>
                </c:pt>
                <c:pt idx="1332">
                  <c:v>113.926901827454</c:v>
                </c:pt>
                <c:pt idx="1333">
                  <c:v>113.40841478963</c:v>
                </c:pt>
                <c:pt idx="1334">
                  <c:v>113.53591160221</c:v>
                </c:pt>
                <c:pt idx="1335">
                  <c:v>113.051423714407</c:v>
                </c:pt>
                <c:pt idx="1336">
                  <c:v>112.486187845304</c:v>
                </c:pt>
                <c:pt idx="1337">
                  <c:v>112.6391840204</c:v>
                </c:pt>
                <c:pt idx="1338">
                  <c:v>113.901402464938</c:v>
                </c:pt>
                <c:pt idx="1339">
                  <c:v>113.901402464938</c:v>
                </c:pt>
                <c:pt idx="1340">
                  <c:v>113.106672333192</c:v>
                </c:pt>
                <c:pt idx="1341">
                  <c:v>113.276668083298</c:v>
                </c:pt>
                <c:pt idx="1342">
                  <c:v>113.578410539737</c:v>
                </c:pt>
                <c:pt idx="1343">
                  <c:v>112.52868678283</c:v>
                </c:pt>
                <c:pt idx="1344">
                  <c:v>112.439439014025</c:v>
                </c:pt>
                <c:pt idx="1345">
                  <c:v>112.260943476413</c:v>
                </c:pt>
                <c:pt idx="1346">
                  <c:v>111.529961750956</c:v>
                </c:pt>
                <c:pt idx="1347">
                  <c:v>111.912452188695</c:v>
                </c:pt>
                <c:pt idx="1348">
                  <c:v>111.929451763706</c:v>
                </c:pt>
                <c:pt idx="1349">
                  <c:v>110.854228644284</c:v>
                </c:pt>
                <c:pt idx="1350">
                  <c:v>109.774755631109</c:v>
                </c:pt>
                <c:pt idx="1351">
                  <c:v>110.407989800255</c:v>
                </c:pt>
                <c:pt idx="1352">
                  <c:v>109.239269018275</c:v>
                </c:pt>
                <c:pt idx="1353">
                  <c:v>108.72078198045</c:v>
                </c:pt>
                <c:pt idx="1354">
                  <c:v>108.51253718657</c:v>
                </c:pt>
                <c:pt idx="1355">
                  <c:v>110.318742031449</c:v>
                </c:pt>
                <c:pt idx="1356">
                  <c:v>110.726731831704</c:v>
                </c:pt>
                <c:pt idx="1357">
                  <c:v>111.287717807055</c:v>
                </c:pt>
                <c:pt idx="1358">
                  <c:v>111.287717807055</c:v>
                </c:pt>
                <c:pt idx="1359">
                  <c:v>111.937951551211</c:v>
                </c:pt>
                <c:pt idx="1360">
                  <c:v>111.461963450914</c:v>
                </c:pt>
                <c:pt idx="1361">
                  <c:v>110.832979175521</c:v>
                </c:pt>
                <c:pt idx="1362">
                  <c:v>110.650233744156</c:v>
                </c:pt>
                <c:pt idx="1363">
                  <c:v>109.243518912027</c:v>
                </c:pt>
                <c:pt idx="1364">
                  <c:v>107.42456438589</c:v>
                </c:pt>
                <c:pt idx="1365">
                  <c:v>107.263068423289</c:v>
                </c:pt>
                <c:pt idx="1366">
                  <c:v>107.322566935827</c:v>
                </c:pt>
                <c:pt idx="1367">
                  <c:v>108.091797705057</c:v>
                </c:pt>
                <c:pt idx="1368">
                  <c:v>108.873778155546</c:v>
                </c:pt>
                <c:pt idx="1369">
                  <c:v>107.097322566936</c:v>
                </c:pt>
                <c:pt idx="1370">
                  <c:v>106.889077773056</c:v>
                </c:pt>
                <c:pt idx="1371">
                  <c:v>107.003824904377</c:v>
                </c:pt>
                <c:pt idx="1372">
                  <c:v>106.889077773056</c:v>
                </c:pt>
                <c:pt idx="1373">
                  <c:v>105.333616659584</c:v>
                </c:pt>
                <c:pt idx="1374">
                  <c:v>105.724606884828</c:v>
                </c:pt>
                <c:pt idx="1375">
                  <c:v>106.867828304292</c:v>
                </c:pt>
                <c:pt idx="1376">
                  <c:v>106.251593710157</c:v>
                </c:pt>
                <c:pt idx="1377">
                  <c:v>107.097322566936</c:v>
                </c:pt>
                <c:pt idx="1378">
                  <c:v>108.155546111347</c:v>
                </c:pt>
                <c:pt idx="1379">
                  <c:v>107.539311517212</c:v>
                </c:pt>
                <c:pt idx="1380">
                  <c:v>107.203569910752</c:v>
                </c:pt>
                <c:pt idx="1381">
                  <c:v>108.678283042924</c:v>
                </c:pt>
                <c:pt idx="1382">
                  <c:v>108.678283042924</c:v>
                </c:pt>
                <c:pt idx="1383">
                  <c:v>108.338291542711</c:v>
                </c:pt>
                <c:pt idx="1384">
                  <c:v>108.805779855504</c:v>
                </c:pt>
                <c:pt idx="1385">
                  <c:v>108.457288567786</c:v>
                </c:pt>
                <c:pt idx="1386">
                  <c:v>107.879303017425</c:v>
                </c:pt>
                <c:pt idx="1387">
                  <c:v>107.955801104972</c:v>
                </c:pt>
                <c:pt idx="1388">
                  <c:v>109.447513812155</c:v>
                </c:pt>
                <c:pt idx="1389">
                  <c:v>107.403314917127</c:v>
                </c:pt>
                <c:pt idx="1390">
                  <c:v>107.645558861028</c:v>
                </c:pt>
                <c:pt idx="1391">
                  <c:v>108.920526986825</c:v>
                </c:pt>
                <c:pt idx="1392">
                  <c:v>109.052273693158</c:v>
                </c:pt>
                <c:pt idx="1393">
                  <c:v>110.067998300042</c:v>
                </c:pt>
                <c:pt idx="1394">
                  <c:v>110.067998300042</c:v>
                </c:pt>
                <c:pt idx="1395">
                  <c:v>109.902252443689</c:v>
                </c:pt>
                <c:pt idx="1396">
                  <c:v>109.723756906077</c:v>
                </c:pt>
                <c:pt idx="1397">
                  <c:v>110.577985550361</c:v>
                </c:pt>
                <c:pt idx="1398">
                  <c:v>109.077773055674</c:v>
                </c:pt>
                <c:pt idx="1399">
                  <c:v>109.358266043349</c:v>
                </c:pt>
                <c:pt idx="1400">
                  <c:v>109.72800679983</c:v>
                </c:pt>
                <c:pt idx="1401">
                  <c:v>109.898002549936</c:v>
                </c:pt>
                <c:pt idx="1402">
                  <c:v>110.888227794305</c:v>
                </c:pt>
                <c:pt idx="1403">
                  <c:v>111.011474713132</c:v>
                </c:pt>
                <c:pt idx="1404">
                  <c:v>111.121971950701</c:v>
                </c:pt>
                <c:pt idx="1405">
                  <c:v>110.620484487888</c:v>
                </c:pt>
                <c:pt idx="1406">
                  <c:v>110.726731831704</c:v>
                </c:pt>
                <c:pt idx="1407">
                  <c:v>109.014024649384</c:v>
                </c:pt>
                <c:pt idx="1408">
                  <c:v>109.014024649384</c:v>
                </c:pt>
                <c:pt idx="1409">
                  <c:v>106.757331066723</c:v>
                </c:pt>
                <c:pt idx="1410">
                  <c:v>107.182320441989</c:v>
                </c:pt>
                <c:pt idx="1411">
                  <c:v>106.328091797705</c:v>
                </c:pt>
                <c:pt idx="1412">
                  <c:v>105.609859753506</c:v>
                </c:pt>
                <c:pt idx="1413">
                  <c:v>103.905652358691</c:v>
                </c:pt>
                <c:pt idx="1414">
                  <c:v>104.275393115172</c:v>
                </c:pt>
                <c:pt idx="1415">
                  <c:v>104.024649383765</c:v>
                </c:pt>
                <c:pt idx="1416">
                  <c:v>105.027624309392</c:v>
                </c:pt>
                <c:pt idx="1417">
                  <c:v>104.309392265193</c:v>
                </c:pt>
                <c:pt idx="1418">
                  <c:v>102.107947301317</c:v>
                </c:pt>
                <c:pt idx="1419">
                  <c:v>100.539736506587</c:v>
                </c:pt>
                <c:pt idx="1420">
                  <c:v>99.2222694432639</c:v>
                </c:pt>
                <c:pt idx="1421">
                  <c:v>98.4912877178071</c:v>
                </c:pt>
                <c:pt idx="1422">
                  <c:v>98.393540161496</c:v>
                </c:pt>
                <c:pt idx="1423">
                  <c:v>101.42371440714</c:v>
                </c:pt>
                <c:pt idx="1424">
                  <c:v>102.962175945601</c:v>
                </c:pt>
                <c:pt idx="1425">
                  <c:v>102.443688907777</c:v>
                </c:pt>
                <c:pt idx="1426">
                  <c:v>102.337441563961</c:v>
                </c:pt>
                <c:pt idx="1427">
                  <c:v>100.565235869103</c:v>
                </c:pt>
                <c:pt idx="1428">
                  <c:v>101.385465363366</c:v>
                </c:pt>
                <c:pt idx="1429">
                  <c:v>100.841478963026</c:v>
                </c:pt>
                <c:pt idx="1430">
                  <c:v>99.9235019124522</c:v>
                </c:pt>
                <c:pt idx="1431">
                  <c:v>100.696982575436</c:v>
                </c:pt>
                <c:pt idx="1432">
                  <c:v>100.395240118997</c:v>
                </c:pt>
                <c:pt idx="1433">
                  <c:v>103.646408839779</c:v>
                </c:pt>
                <c:pt idx="1434">
                  <c:v>103.153421164471</c:v>
                </c:pt>
                <c:pt idx="1435">
                  <c:v>103.455163620909</c:v>
                </c:pt>
                <c:pt idx="1436">
                  <c:v>102.855928601785</c:v>
                </c:pt>
                <c:pt idx="1437">
                  <c:v>104.045898852529</c:v>
                </c:pt>
                <c:pt idx="1438">
                  <c:v>103.238419039524</c:v>
                </c:pt>
                <c:pt idx="1439">
                  <c:v>102.860178495538</c:v>
                </c:pt>
                <c:pt idx="1440">
                  <c:v>103.348916277093</c:v>
                </c:pt>
                <c:pt idx="1441">
                  <c:v>104.815129621759</c:v>
                </c:pt>
                <c:pt idx="1442">
                  <c:v>105.329366765831</c:v>
                </c:pt>
                <c:pt idx="1443">
                  <c:v>105.274118147046</c:v>
                </c:pt>
                <c:pt idx="1444">
                  <c:v>105.31236719082</c:v>
                </c:pt>
                <c:pt idx="1445">
                  <c:v>104.772630684233</c:v>
                </c:pt>
                <c:pt idx="1446">
                  <c:v>105.728856778581</c:v>
                </c:pt>
                <c:pt idx="1447">
                  <c:v>105.393115172121</c:v>
                </c:pt>
                <c:pt idx="1448">
                  <c:v>105.77560560986</c:v>
                </c:pt>
                <c:pt idx="1449">
                  <c:v>105.962600934977</c:v>
                </c:pt>
                <c:pt idx="1450">
                  <c:v>105.50361240969</c:v>
                </c:pt>
                <c:pt idx="1451">
                  <c:v>104.887377815555</c:v>
                </c:pt>
                <c:pt idx="1452">
                  <c:v>103.166170845729</c:v>
                </c:pt>
                <c:pt idx="1453">
                  <c:v>103.438164045899</c:v>
                </c:pt>
                <c:pt idx="1454">
                  <c:v>103.32766680833</c:v>
                </c:pt>
                <c:pt idx="1455">
                  <c:v>103.603909902252</c:v>
                </c:pt>
                <c:pt idx="1456">
                  <c:v>105.482362940926</c:v>
                </c:pt>
                <c:pt idx="1457">
                  <c:v>106.170845728857</c:v>
                </c:pt>
                <c:pt idx="1458">
                  <c:v>106.170845728857</c:v>
                </c:pt>
                <c:pt idx="1459">
                  <c:v>105.92010199745</c:v>
                </c:pt>
                <c:pt idx="1460">
                  <c:v>105.77560560986</c:v>
                </c:pt>
                <c:pt idx="1461">
                  <c:v>104.177645558861</c:v>
                </c:pt>
                <c:pt idx="1462">
                  <c:v>103.05567360816</c:v>
                </c:pt>
                <c:pt idx="1463">
                  <c:v>102.154696132597</c:v>
                </c:pt>
                <c:pt idx="1464">
                  <c:v>103.429664258394</c:v>
                </c:pt>
                <c:pt idx="1465">
                  <c:v>104.424139396515</c:v>
                </c:pt>
                <c:pt idx="1466">
                  <c:v>104.424139396515</c:v>
                </c:pt>
                <c:pt idx="1467">
                  <c:v>104.407139821504</c:v>
                </c:pt>
                <c:pt idx="1468">
                  <c:v>105.762855928602</c:v>
                </c:pt>
                <c:pt idx="1469">
                  <c:v>106.986825329367</c:v>
                </c:pt>
                <c:pt idx="1470">
                  <c:v>106.727581810455</c:v>
                </c:pt>
                <c:pt idx="1471">
                  <c:v>107.118572035699</c:v>
                </c:pt>
                <c:pt idx="1472">
                  <c:v>107.161070973226</c:v>
                </c:pt>
                <c:pt idx="1473">
                  <c:v>108.210794730132</c:v>
                </c:pt>
                <c:pt idx="1474">
                  <c:v>108.478538036549</c:v>
                </c:pt>
                <c:pt idx="1475">
                  <c:v>109.698257543561</c:v>
                </c:pt>
                <c:pt idx="1476">
                  <c:v>111.00722481938</c:v>
                </c:pt>
                <c:pt idx="1477">
                  <c:v>111.508712282193</c:v>
                </c:pt>
                <c:pt idx="1478">
                  <c:v>111.483212919677</c:v>
                </c:pt>
                <c:pt idx="1479">
                  <c:v>110.849978750531</c:v>
                </c:pt>
                <c:pt idx="1480">
                  <c:v>112.137696557586</c:v>
                </c:pt>
                <c:pt idx="1481">
                  <c:v>111.585210369741</c:v>
                </c:pt>
                <c:pt idx="1482">
                  <c:v>111.585210369741</c:v>
                </c:pt>
                <c:pt idx="1483">
                  <c:v>111.585210369741</c:v>
                </c:pt>
                <c:pt idx="1484">
                  <c:v>111.585210369741</c:v>
                </c:pt>
                <c:pt idx="1485">
                  <c:v>111.780705482363</c:v>
                </c:pt>
                <c:pt idx="1486">
                  <c:v>111.699957501062</c:v>
                </c:pt>
                <c:pt idx="1487">
                  <c:v>111.113472163196</c:v>
                </c:pt>
                <c:pt idx="1488">
                  <c:v>111.636209094773</c:v>
                </c:pt>
                <c:pt idx="1489">
                  <c:v>111.746706332342</c:v>
                </c:pt>
                <c:pt idx="1490">
                  <c:v>110.883977900552</c:v>
                </c:pt>
                <c:pt idx="1491">
                  <c:v>111.126221844454</c:v>
                </c:pt>
                <c:pt idx="1492">
                  <c:v>111.291967700807</c:v>
                </c:pt>
                <c:pt idx="1493">
                  <c:v>111.291967700807</c:v>
                </c:pt>
                <c:pt idx="1494">
                  <c:v>111.253718657034</c:v>
                </c:pt>
                <c:pt idx="1495">
                  <c:v>111.283467913302</c:v>
                </c:pt>
                <c:pt idx="1496">
                  <c:v>111.831704207395</c:v>
                </c:pt>
                <c:pt idx="1497">
                  <c:v>111.831704207395</c:v>
                </c:pt>
                <c:pt idx="1498">
                  <c:v>111.729706757331</c:v>
                </c:pt>
                <c:pt idx="1499">
                  <c:v>113.195920101997</c:v>
                </c:pt>
                <c:pt idx="1500">
                  <c:v>112.966425839354</c:v>
                </c:pt>
                <c:pt idx="1501">
                  <c:v>114.330641733957</c:v>
                </c:pt>
                <c:pt idx="1502">
                  <c:v>114.003399915002</c:v>
                </c:pt>
                <c:pt idx="1503">
                  <c:v>114.572885677858</c:v>
                </c:pt>
                <c:pt idx="1504">
                  <c:v>115.274118147046</c:v>
                </c:pt>
                <c:pt idx="1505">
                  <c:v>115.265618359541</c:v>
                </c:pt>
                <c:pt idx="1506">
                  <c:v>115.218869528262</c:v>
                </c:pt>
                <c:pt idx="1507">
                  <c:v>113.909902252444</c:v>
                </c:pt>
                <c:pt idx="1508">
                  <c:v>114.475138121547</c:v>
                </c:pt>
                <c:pt idx="1509">
                  <c:v>113.688907777306</c:v>
                </c:pt>
                <c:pt idx="1510">
                  <c:v>114.636634084148</c:v>
                </c:pt>
                <c:pt idx="1511">
                  <c:v>114.866128346791</c:v>
                </c:pt>
                <c:pt idx="1512">
                  <c:v>115.359116022099</c:v>
                </c:pt>
                <c:pt idx="1513">
                  <c:v>113.433914152146</c:v>
                </c:pt>
                <c:pt idx="1514">
                  <c:v>114.164895877603</c:v>
                </c:pt>
                <c:pt idx="1515">
                  <c:v>113.297917552061</c:v>
                </c:pt>
                <c:pt idx="1516">
                  <c:v>112.605184870378</c:v>
                </c:pt>
                <c:pt idx="1517">
                  <c:v>112.460688482788</c:v>
                </c:pt>
                <c:pt idx="1518">
                  <c:v>111.916702082448</c:v>
                </c:pt>
                <c:pt idx="1519">
                  <c:v>110.722481937952</c:v>
                </c:pt>
                <c:pt idx="1520">
                  <c:v>110.560985975351</c:v>
                </c:pt>
                <c:pt idx="1521">
                  <c:v>111.691457713557</c:v>
                </c:pt>
                <c:pt idx="1522">
                  <c:v>109.66425839354</c:v>
                </c:pt>
                <c:pt idx="1523">
                  <c:v>109.834254143646</c:v>
                </c:pt>
                <c:pt idx="1524">
                  <c:v>112.282192945176</c:v>
                </c:pt>
                <c:pt idx="1525">
                  <c:v>112.634934126647</c:v>
                </c:pt>
                <c:pt idx="1526">
                  <c:v>113.816404589885</c:v>
                </c:pt>
                <c:pt idx="1527">
                  <c:v>112.885677858054</c:v>
                </c:pt>
                <c:pt idx="1528">
                  <c:v>111.432214194645</c:v>
                </c:pt>
                <c:pt idx="1529">
                  <c:v>112.137696557586</c:v>
                </c:pt>
                <c:pt idx="1530">
                  <c:v>112.711432214195</c:v>
                </c:pt>
                <c:pt idx="1531">
                  <c:v>113.157671058224</c:v>
                </c:pt>
                <c:pt idx="1532">
                  <c:v>113.53591160221</c:v>
                </c:pt>
                <c:pt idx="1533">
                  <c:v>114.619634509137</c:v>
                </c:pt>
                <c:pt idx="1534">
                  <c:v>114.564385890353</c:v>
                </c:pt>
                <c:pt idx="1535">
                  <c:v>113.718657033574</c:v>
                </c:pt>
                <c:pt idx="1536">
                  <c:v>112.554186145346</c:v>
                </c:pt>
                <c:pt idx="1537">
                  <c:v>111.126221844454</c:v>
                </c:pt>
                <c:pt idx="1538">
                  <c:v>110.964725881853</c:v>
                </c:pt>
                <c:pt idx="1539">
                  <c:v>110.798980025499</c:v>
                </c:pt>
                <c:pt idx="1540">
                  <c:v>112.069698257544</c:v>
                </c:pt>
                <c:pt idx="1541">
                  <c:v>111.636209094773</c:v>
                </c:pt>
                <c:pt idx="1542">
                  <c:v>110.730981725457</c:v>
                </c:pt>
                <c:pt idx="1543">
                  <c:v>110.093497662558</c:v>
                </c:pt>
                <c:pt idx="1544">
                  <c:v>109.66425839354</c:v>
                </c:pt>
                <c:pt idx="1545">
                  <c:v>109.604759881003</c:v>
                </c:pt>
                <c:pt idx="1546">
                  <c:v>109.953251168721</c:v>
                </c:pt>
                <c:pt idx="1547">
                  <c:v>110.488737781555</c:v>
                </c:pt>
                <c:pt idx="1548">
                  <c:v>110.582235444114</c:v>
                </c:pt>
                <c:pt idx="1549">
                  <c:v>111.036974075648</c:v>
                </c:pt>
                <c:pt idx="1550">
                  <c:v>111.874203144921</c:v>
                </c:pt>
                <c:pt idx="1551">
                  <c:v>112.018699532512</c:v>
                </c:pt>
                <c:pt idx="1552">
                  <c:v>111.835954101147</c:v>
                </c:pt>
                <c:pt idx="1553">
                  <c:v>111.908202294943</c:v>
                </c:pt>
                <c:pt idx="1554">
                  <c:v>112.299192520187</c:v>
                </c:pt>
                <c:pt idx="1555">
                  <c:v>112.299192520187</c:v>
                </c:pt>
                <c:pt idx="1556">
                  <c:v>109.494262643434</c:v>
                </c:pt>
                <c:pt idx="1557">
                  <c:v>108.151296217595</c:v>
                </c:pt>
                <c:pt idx="1558">
                  <c:v>108.546536336592</c:v>
                </c:pt>
                <c:pt idx="1559">
                  <c:v>108.788780280493</c:v>
                </c:pt>
                <c:pt idx="1560">
                  <c:v>108.695282617935</c:v>
                </c:pt>
                <c:pt idx="1561">
                  <c:v>107.790055248619</c:v>
                </c:pt>
                <c:pt idx="1562">
                  <c:v>107.301317467063</c:v>
                </c:pt>
                <c:pt idx="1563">
                  <c:v>107.981300467488</c:v>
                </c:pt>
                <c:pt idx="1564">
                  <c:v>107.934551636209</c:v>
                </c:pt>
                <c:pt idx="1565">
                  <c:v>108.257543561411</c:v>
                </c:pt>
                <c:pt idx="1566">
                  <c:v>108.525286867828</c:v>
                </c:pt>
                <c:pt idx="1567">
                  <c:v>107.717807054824</c:v>
                </c:pt>
                <c:pt idx="1568">
                  <c:v>108.291542711432</c:v>
                </c:pt>
                <c:pt idx="1569">
                  <c:v>108.941776455589</c:v>
                </c:pt>
                <c:pt idx="1570">
                  <c:v>109.256268593285</c:v>
                </c:pt>
                <c:pt idx="1571">
                  <c:v>107.836804079898</c:v>
                </c:pt>
                <c:pt idx="1572">
                  <c:v>107.475563110922</c:v>
                </c:pt>
                <c:pt idx="1573">
                  <c:v>105.801104972376</c:v>
                </c:pt>
                <c:pt idx="1574">
                  <c:v>106.209094772631</c:v>
                </c:pt>
                <c:pt idx="1575">
                  <c:v>107.475563110922</c:v>
                </c:pt>
                <c:pt idx="1576">
                  <c:v>107.475563110922</c:v>
                </c:pt>
                <c:pt idx="1577">
                  <c:v>107.475563110922</c:v>
                </c:pt>
                <c:pt idx="1578">
                  <c:v>106.251593710157</c:v>
                </c:pt>
                <c:pt idx="1579">
                  <c:v>104.249893752656</c:v>
                </c:pt>
                <c:pt idx="1580">
                  <c:v>104.564385890353</c:v>
                </c:pt>
                <c:pt idx="1581">
                  <c:v>105.635359116022</c:v>
                </c:pt>
                <c:pt idx="1582">
                  <c:v>106.46408839779</c:v>
                </c:pt>
                <c:pt idx="1583">
                  <c:v>106.447088822779</c:v>
                </c:pt>
                <c:pt idx="1584">
                  <c:v>107.042073948151</c:v>
                </c:pt>
                <c:pt idx="1585">
                  <c:v>107.229069273268</c:v>
                </c:pt>
                <c:pt idx="1586">
                  <c:v>106.659583510412</c:v>
                </c:pt>
                <c:pt idx="1587">
                  <c:v>107.411814704632</c:v>
                </c:pt>
                <c:pt idx="1588">
                  <c:v>107.794305142371</c:v>
                </c:pt>
                <c:pt idx="1589">
                  <c:v>107.802804929877</c:v>
                </c:pt>
                <c:pt idx="1590">
                  <c:v>107.48831279218</c:v>
                </c:pt>
                <c:pt idx="1591">
                  <c:v>106.651083722907</c:v>
                </c:pt>
                <c:pt idx="1592">
                  <c:v>108.465788355291</c:v>
                </c:pt>
                <c:pt idx="1593">
                  <c:v>107.95155121122</c:v>
                </c:pt>
                <c:pt idx="1594">
                  <c:v>108.899277518062</c:v>
                </c:pt>
                <c:pt idx="1595">
                  <c:v>109.354016149596</c:v>
                </c:pt>
                <c:pt idx="1596">
                  <c:v>109.766255843604</c:v>
                </c:pt>
                <c:pt idx="1597">
                  <c:v>109.821504462388</c:v>
                </c:pt>
                <c:pt idx="1598">
                  <c:v>108.920526986825</c:v>
                </c:pt>
                <c:pt idx="1599">
                  <c:v>108.278793030174</c:v>
                </c:pt>
                <c:pt idx="1600">
                  <c:v>109.349766255844</c:v>
                </c:pt>
                <c:pt idx="1601">
                  <c:v>109.490012749681</c:v>
                </c:pt>
                <c:pt idx="1602">
                  <c:v>109.371015724607</c:v>
                </c:pt>
                <c:pt idx="1603">
                  <c:v>108.151296217595</c:v>
                </c:pt>
                <c:pt idx="1604">
                  <c:v>108.580535486613</c:v>
                </c:pt>
                <c:pt idx="1605">
                  <c:v>106.719082022949</c:v>
                </c:pt>
                <c:pt idx="1606">
                  <c:v>106.710582235444</c:v>
                </c:pt>
                <c:pt idx="1607">
                  <c:v>105.830854228644</c:v>
                </c:pt>
                <c:pt idx="1608">
                  <c:v>106.311092222694</c:v>
                </c:pt>
                <c:pt idx="1609">
                  <c:v>107.042073948151</c:v>
                </c:pt>
                <c:pt idx="1610">
                  <c:v>106.808329791755</c:v>
                </c:pt>
                <c:pt idx="1611">
                  <c:v>105.686357841054</c:v>
                </c:pt>
                <c:pt idx="1612">
                  <c:v>106.536336591585</c:v>
                </c:pt>
                <c:pt idx="1613">
                  <c:v>107.229069273268</c:v>
                </c:pt>
                <c:pt idx="1614">
                  <c:v>106.910327241819</c:v>
                </c:pt>
                <c:pt idx="1615">
                  <c:v>108.406289842754</c:v>
                </c:pt>
                <c:pt idx="1616">
                  <c:v>109.332766680833</c:v>
                </c:pt>
                <c:pt idx="1617">
                  <c:v>109.409264768381</c:v>
                </c:pt>
                <c:pt idx="1618">
                  <c:v>109.694007649809</c:v>
                </c:pt>
                <c:pt idx="1619">
                  <c:v>110.050998725032</c:v>
                </c:pt>
                <c:pt idx="1620">
                  <c:v>110.369740756481</c:v>
                </c:pt>
                <c:pt idx="1621">
                  <c:v>110.216744581385</c:v>
                </c:pt>
                <c:pt idx="1622">
                  <c:v>110.27199320017</c:v>
                </c:pt>
                <c:pt idx="1623">
                  <c:v>110.450488737782</c:v>
                </c:pt>
                <c:pt idx="1624">
                  <c:v>110.696982575436</c:v>
                </c:pt>
                <c:pt idx="1625">
                  <c:v>111.011474713132</c:v>
                </c:pt>
                <c:pt idx="1626">
                  <c:v>111.521461963451</c:v>
                </c:pt>
                <c:pt idx="1627">
                  <c:v>110.722481937952</c:v>
                </c:pt>
                <c:pt idx="1628">
                  <c:v>110.713982150446</c:v>
                </c:pt>
                <c:pt idx="1629">
                  <c:v>110.386740331492</c:v>
                </c:pt>
                <c:pt idx="1630">
                  <c:v>110.424989375266</c:v>
                </c:pt>
                <c:pt idx="1631">
                  <c:v>110.35274118147</c:v>
                </c:pt>
                <c:pt idx="1632">
                  <c:v>111.143221419465</c:v>
                </c:pt>
                <c:pt idx="1633">
                  <c:v>110.8797280068</c:v>
                </c:pt>
                <c:pt idx="1634">
                  <c:v>111.155971100722</c:v>
                </c:pt>
                <c:pt idx="1635">
                  <c:v>111.00722481938</c:v>
                </c:pt>
                <c:pt idx="1636">
                  <c:v>110.956226094348</c:v>
                </c:pt>
                <c:pt idx="1637">
                  <c:v>109.400764980875</c:v>
                </c:pt>
                <c:pt idx="1638">
                  <c:v>109.137271568211</c:v>
                </c:pt>
                <c:pt idx="1639">
                  <c:v>108.712282192945</c:v>
                </c:pt>
                <c:pt idx="1640">
                  <c:v>108.51253718657</c:v>
                </c:pt>
                <c:pt idx="1641">
                  <c:v>108.51253718657</c:v>
                </c:pt>
                <c:pt idx="1642">
                  <c:v>108.402039949001</c:v>
                </c:pt>
                <c:pt idx="1643">
                  <c:v>108.402039949001</c:v>
                </c:pt>
                <c:pt idx="1644">
                  <c:v>108.402039949001</c:v>
                </c:pt>
                <c:pt idx="1645">
                  <c:v>107.246068848279</c:v>
                </c:pt>
                <c:pt idx="1646">
                  <c:v>107.879303017425</c:v>
                </c:pt>
                <c:pt idx="1647">
                  <c:v>108.079048023799</c:v>
                </c:pt>
                <c:pt idx="1648">
                  <c:v>108.712282192945</c:v>
                </c:pt>
                <c:pt idx="1649">
                  <c:v>109.817254568636</c:v>
                </c:pt>
                <c:pt idx="1650">
                  <c:v>111.529961750956</c:v>
                </c:pt>
                <c:pt idx="1651">
                  <c:v>111.517212069698</c:v>
                </c:pt>
                <c:pt idx="1652">
                  <c:v>111.7594560136</c:v>
                </c:pt>
                <c:pt idx="1653">
                  <c:v>111.950701232469</c:v>
                </c:pt>
                <c:pt idx="1654">
                  <c:v>111.789205269868</c:v>
                </c:pt>
                <c:pt idx="1655">
                  <c:v>111.517212069698</c:v>
                </c:pt>
                <c:pt idx="1656">
                  <c:v>111.912452188695</c:v>
                </c:pt>
                <c:pt idx="1657">
                  <c:v>111.950701232469</c:v>
                </c:pt>
                <c:pt idx="1658">
                  <c:v>111.48746281343</c:v>
                </c:pt>
                <c:pt idx="1659">
                  <c:v>110.650233744156</c:v>
                </c:pt>
                <c:pt idx="1660">
                  <c:v>111.77645558861</c:v>
                </c:pt>
                <c:pt idx="1661">
                  <c:v>111.589460263493</c:v>
                </c:pt>
                <c:pt idx="1662">
                  <c:v>110.471738206545</c:v>
                </c:pt>
                <c:pt idx="1663">
                  <c:v>111.092222694433</c:v>
                </c:pt>
                <c:pt idx="1664">
                  <c:v>111.44071398215</c:v>
                </c:pt>
                <c:pt idx="1665">
                  <c:v>111.44071398215</c:v>
                </c:pt>
                <c:pt idx="1666">
                  <c:v>110.73523161921</c:v>
                </c:pt>
                <c:pt idx="1667">
                  <c:v>110.73523161921</c:v>
                </c:pt>
                <c:pt idx="1668">
                  <c:v>110.361240968976</c:v>
                </c:pt>
                <c:pt idx="1669">
                  <c:v>111.619209519762</c:v>
                </c:pt>
                <c:pt idx="1670">
                  <c:v>111.610709732257</c:v>
                </c:pt>
                <c:pt idx="1671">
                  <c:v>111.351466213345</c:v>
                </c:pt>
                <c:pt idx="1672">
                  <c:v>109.966000849979</c:v>
                </c:pt>
                <c:pt idx="1673">
                  <c:v>110.254993625159</c:v>
                </c:pt>
                <c:pt idx="1674">
                  <c:v>110.679983000425</c:v>
                </c:pt>
                <c:pt idx="1675">
                  <c:v>109.944751381215</c:v>
                </c:pt>
                <c:pt idx="1676">
                  <c:v>110</c:v>
                </c:pt>
                <c:pt idx="1677">
                  <c:v>108.504037399065</c:v>
                </c:pt>
                <c:pt idx="1678">
                  <c:v>109.124521886953</c:v>
                </c:pt>
                <c:pt idx="1679">
                  <c:v>110.390990225244</c:v>
                </c:pt>
                <c:pt idx="1680">
                  <c:v>109.715257118572</c:v>
                </c:pt>
                <c:pt idx="1681">
                  <c:v>110.509987250319</c:v>
                </c:pt>
                <c:pt idx="1682">
                  <c:v>109.978750531237</c:v>
                </c:pt>
                <c:pt idx="1683">
                  <c:v>110.73523161921</c:v>
                </c:pt>
                <c:pt idx="1684">
                  <c:v>110.386740331492</c:v>
                </c:pt>
                <c:pt idx="1685">
                  <c:v>111.364215894603</c:v>
                </c:pt>
                <c:pt idx="1686">
                  <c:v>110.977475563111</c:v>
                </c:pt>
                <c:pt idx="1687">
                  <c:v>110.764980875478</c:v>
                </c:pt>
                <c:pt idx="1688">
                  <c:v>110.475988100297</c:v>
                </c:pt>
                <c:pt idx="1689">
                  <c:v>110.467488312792</c:v>
                </c:pt>
                <c:pt idx="1690">
                  <c:v>110.016999575011</c:v>
                </c:pt>
                <c:pt idx="1691">
                  <c:v>110.14449638759</c:v>
                </c:pt>
                <c:pt idx="1692">
                  <c:v>109.10327241819</c:v>
                </c:pt>
                <c:pt idx="1693">
                  <c:v>109.337016574586</c:v>
                </c:pt>
                <c:pt idx="1694">
                  <c:v>110.667233319167</c:v>
                </c:pt>
                <c:pt idx="1695">
                  <c:v>110.845728856779</c:v>
                </c:pt>
                <c:pt idx="1696">
                  <c:v>111.317467063323</c:v>
                </c:pt>
                <c:pt idx="1697">
                  <c:v>111.202719932002</c:v>
                </c:pt>
                <c:pt idx="1698">
                  <c:v>111.138971525712</c:v>
                </c:pt>
                <c:pt idx="1699">
                  <c:v>111.71270718232</c:v>
                </c:pt>
                <c:pt idx="1700">
                  <c:v>111.585210369741</c:v>
                </c:pt>
                <c:pt idx="1701">
                  <c:v>111.653208669783</c:v>
                </c:pt>
                <c:pt idx="1702">
                  <c:v>111.971950701232</c:v>
                </c:pt>
                <c:pt idx="1703">
                  <c:v>112.84742881428</c:v>
                </c:pt>
                <c:pt idx="1704">
                  <c:v>113.901402464938</c:v>
                </c:pt>
                <c:pt idx="1705">
                  <c:v>115.244368890778</c:v>
                </c:pt>
                <c:pt idx="1706">
                  <c:v>114.611134721632</c:v>
                </c:pt>
                <c:pt idx="1707">
                  <c:v>114.135146621334</c:v>
                </c:pt>
                <c:pt idx="1708">
                  <c:v>114.598385040374</c:v>
                </c:pt>
                <c:pt idx="1709">
                  <c:v>113.739906502337</c:v>
                </c:pt>
                <c:pt idx="1710">
                  <c:v>113.302167445814</c:v>
                </c:pt>
                <c:pt idx="1711">
                  <c:v>112.894177645559</c:v>
                </c:pt>
                <c:pt idx="1712">
                  <c:v>111.355716107097</c:v>
                </c:pt>
                <c:pt idx="1713">
                  <c:v>111.908202294943</c:v>
                </c:pt>
                <c:pt idx="1714">
                  <c:v>111.916702082448</c:v>
                </c:pt>
                <c:pt idx="1715">
                  <c:v>113.008924776881</c:v>
                </c:pt>
                <c:pt idx="1716">
                  <c:v>112.996175095623</c:v>
                </c:pt>
                <c:pt idx="1717">
                  <c:v>112.996175095623</c:v>
                </c:pt>
                <c:pt idx="1718">
                  <c:v>112.299192520187</c:v>
                </c:pt>
                <c:pt idx="1719">
                  <c:v>113.310667233319</c:v>
                </c:pt>
                <c:pt idx="1720">
                  <c:v>113.382915427114</c:v>
                </c:pt>
                <c:pt idx="1721">
                  <c:v>111.572460688483</c:v>
                </c:pt>
                <c:pt idx="1722">
                  <c:v>112.307692307692</c:v>
                </c:pt>
                <c:pt idx="1723">
                  <c:v>112.392690182745</c:v>
                </c:pt>
                <c:pt idx="1724">
                  <c:v>112.681682957926</c:v>
                </c:pt>
                <c:pt idx="1725">
                  <c:v>112.996175095623</c:v>
                </c:pt>
                <c:pt idx="1726">
                  <c:v>113.127921801955</c:v>
                </c:pt>
                <c:pt idx="1727">
                  <c:v>112.796430089248</c:v>
                </c:pt>
                <c:pt idx="1728">
                  <c:v>112.736931576711</c:v>
                </c:pt>
                <c:pt idx="1729">
                  <c:v>111.606459838504</c:v>
                </c:pt>
                <c:pt idx="1730">
                  <c:v>111.461963450914</c:v>
                </c:pt>
                <c:pt idx="1731">
                  <c:v>111.852953676158</c:v>
                </c:pt>
                <c:pt idx="1732">
                  <c:v>111.385465363366</c:v>
                </c:pt>
                <c:pt idx="1733">
                  <c:v>111.385465363366</c:v>
                </c:pt>
                <c:pt idx="1734">
                  <c:v>111.385465363366</c:v>
                </c:pt>
                <c:pt idx="1735">
                  <c:v>111.385465363366</c:v>
                </c:pt>
                <c:pt idx="1736">
                  <c:v>110.412239694008</c:v>
                </c:pt>
                <c:pt idx="1737">
                  <c:v>111.08797280068</c:v>
                </c:pt>
                <c:pt idx="1738">
                  <c:v>110.73523161921</c:v>
                </c:pt>
                <c:pt idx="1739">
                  <c:v>111.113472163196</c:v>
                </c:pt>
                <c:pt idx="1740">
                  <c:v>112.201444963876</c:v>
                </c:pt>
                <c:pt idx="1741">
                  <c:v>111.228219294518</c:v>
                </c:pt>
                <c:pt idx="1742">
                  <c:v>111.478963025924</c:v>
                </c:pt>
                <c:pt idx="1743">
                  <c:v>110.560985975351</c:v>
                </c:pt>
                <c:pt idx="1744">
                  <c:v>109.85550361241</c:v>
                </c:pt>
                <c:pt idx="1745">
                  <c:v>110.021249468763</c:v>
                </c:pt>
                <c:pt idx="1746">
                  <c:v>109.842753931152</c:v>
                </c:pt>
                <c:pt idx="1747">
                  <c:v>109.787505312367</c:v>
                </c:pt>
                <c:pt idx="1748">
                  <c:v>109.626009349766</c:v>
                </c:pt>
                <c:pt idx="1749">
                  <c:v>109.124521886953</c:v>
                </c:pt>
                <c:pt idx="1750">
                  <c:v>107.441563960901</c:v>
                </c:pt>
                <c:pt idx="1751">
                  <c:v>106.272843178921</c:v>
                </c:pt>
                <c:pt idx="1752">
                  <c:v>106.272843178921</c:v>
                </c:pt>
                <c:pt idx="1753">
                  <c:v>105.903102422439</c:v>
                </c:pt>
                <c:pt idx="1754">
                  <c:v>106.217594560136</c:v>
                </c:pt>
                <c:pt idx="1755">
                  <c:v>105.550361240969</c:v>
                </c:pt>
                <c:pt idx="1756">
                  <c:v>105.550361240969</c:v>
                </c:pt>
                <c:pt idx="1757">
                  <c:v>104.147896302592</c:v>
                </c:pt>
                <c:pt idx="1758">
                  <c:v>103.773905652359</c:v>
                </c:pt>
                <c:pt idx="1759">
                  <c:v>103.897152571186</c:v>
                </c:pt>
                <c:pt idx="1760">
                  <c:v>103.642158946026</c:v>
                </c:pt>
                <c:pt idx="1761">
                  <c:v>103.183170420739</c:v>
                </c:pt>
                <c:pt idx="1762">
                  <c:v>101.929451763706</c:v>
                </c:pt>
                <c:pt idx="1763">
                  <c:v>103.654908627284</c:v>
                </c:pt>
                <c:pt idx="1764">
                  <c:v>102.626434339142</c:v>
                </c:pt>
                <c:pt idx="1765">
                  <c:v>103.748406289843</c:v>
                </c:pt>
                <c:pt idx="1766">
                  <c:v>103.433914152146</c:v>
                </c:pt>
                <c:pt idx="1767">
                  <c:v>103.234169145771</c:v>
                </c:pt>
                <c:pt idx="1768">
                  <c:v>103.650658733532</c:v>
                </c:pt>
                <c:pt idx="1769">
                  <c:v>103.399915002125</c:v>
                </c:pt>
                <c:pt idx="1770">
                  <c:v>105.669358266043</c:v>
                </c:pt>
                <c:pt idx="1771">
                  <c:v>105.754356141096</c:v>
                </c:pt>
                <c:pt idx="1772">
                  <c:v>106.438589035274</c:v>
                </c:pt>
                <c:pt idx="1773">
                  <c:v>105.690607734807</c:v>
                </c:pt>
                <c:pt idx="1774">
                  <c:v>104.764130896728</c:v>
                </c:pt>
                <c:pt idx="1775">
                  <c:v>104.487887802805</c:v>
                </c:pt>
                <c:pt idx="1776">
                  <c:v>105.053123671908</c:v>
                </c:pt>
                <c:pt idx="1777">
                  <c:v>105.138121546961</c:v>
                </c:pt>
                <c:pt idx="1778">
                  <c:v>106.519337016575</c:v>
                </c:pt>
                <c:pt idx="1779">
                  <c:v>106.438589035274</c:v>
                </c:pt>
                <c:pt idx="1780">
                  <c:v>106.782830429239</c:v>
                </c:pt>
                <c:pt idx="1781">
                  <c:v>106.294092647684</c:v>
                </c:pt>
                <c:pt idx="1782">
                  <c:v>105.473863153421</c:v>
                </c:pt>
                <c:pt idx="1783">
                  <c:v>105.524861878453</c:v>
                </c:pt>
                <c:pt idx="1784">
                  <c:v>106.523586910327</c:v>
                </c:pt>
                <c:pt idx="1785">
                  <c:v>106.387590310242</c:v>
                </c:pt>
                <c:pt idx="1786">
                  <c:v>105.805354866128</c:v>
                </c:pt>
                <c:pt idx="1787">
                  <c:v>106.204844878878</c:v>
                </c:pt>
                <c:pt idx="1788">
                  <c:v>107.241818954526</c:v>
                </c:pt>
                <c:pt idx="1789">
                  <c:v>106.978325541861</c:v>
                </c:pt>
                <c:pt idx="1790">
                  <c:v>107.097322566936</c:v>
                </c:pt>
                <c:pt idx="1791">
                  <c:v>107.649808754781</c:v>
                </c:pt>
                <c:pt idx="1792">
                  <c:v>107.819804504887</c:v>
                </c:pt>
                <c:pt idx="1793">
                  <c:v>106.923076923077</c:v>
                </c:pt>
                <c:pt idx="1794">
                  <c:v>106.846578835529</c:v>
                </c:pt>
                <c:pt idx="1795">
                  <c:v>106.948576285593</c:v>
                </c:pt>
                <c:pt idx="1796">
                  <c:v>107.972800679983</c:v>
                </c:pt>
                <c:pt idx="1797">
                  <c:v>108.049298767531</c:v>
                </c:pt>
                <c:pt idx="1798">
                  <c:v>107.82405439864</c:v>
                </c:pt>
                <c:pt idx="1799">
                  <c:v>107.611559711007</c:v>
                </c:pt>
                <c:pt idx="1800">
                  <c:v>105.971100722482</c:v>
                </c:pt>
                <c:pt idx="1801">
                  <c:v>104.35189120272</c:v>
                </c:pt>
                <c:pt idx="1802">
                  <c:v>104.734381640459</c:v>
                </c:pt>
                <c:pt idx="1803">
                  <c:v>104.662133446664</c:v>
                </c:pt>
                <c:pt idx="1804">
                  <c:v>103.880152996175</c:v>
                </c:pt>
                <c:pt idx="1805">
                  <c:v>103.578410539736</c:v>
                </c:pt>
                <c:pt idx="1806">
                  <c:v>103.620909477263</c:v>
                </c:pt>
                <c:pt idx="1807">
                  <c:v>105.380365490863</c:v>
                </c:pt>
                <c:pt idx="1808">
                  <c:v>106.119847003825</c:v>
                </c:pt>
                <c:pt idx="1809">
                  <c:v>105.847853803655</c:v>
                </c:pt>
                <c:pt idx="1810">
                  <c:v>106.277093072673</c:v>
                </c:pt>
                <c:pt idx="1811">
                  <c:v>106.268593285168</c:v>
                </c:pt>
                <c:pt idx="1812">
                  <c:v>104.674883127922</c:v>
                </c:pt>
                <c:pt idx="1813">
                  <c:v>103.718657033574</c:v>
                </c:pt>
                <c:pt idx="1814">
                  <c:v>103.718657033574</c:v>
                </c:pt>
                <c:pt idx="1815">
                  <c:v>104.033149171271</c:v>
                </c:pt>
                <c:pt idx="1816">
                  <c:v>103.80790480238</c:v>
                </c:pt>
                <c:pt idx="1817">
                  <c:v>101.96770080748</c:v>
                </c:pt>
                <c:pt idx="1818">
                  <c:v>102.222694432639</c:v>
                </c:pt>
                <c:pt idx="1819">
                  <c:v>103.671908202295</c:v>
                </c:pt>
                <c:pt idx="1820">
                  <c:v>104.568635784105</c:v>
                </c:pt>
                <c:pt idx="1821">
                  <c:v>104.419889502762</c:v>
                </c:pt>
                <c:pt idx="1822">
                  <c:v>104.670633234169</c:v>
                </c:pt>
                <c:pt idx="1823">
                  <c:v>104.543136421589</c:v>
                </c:pt>
                <c:pt idx="1824">
                  <c:v>104.445388865278</c:v>
                </c:pt>
                <c:pt idx="1825">
                  <c:v>102.940926476838</c:v>
                </c:pt>
                <c:pt idx="1826">
                  <c:v>104.028899277518</c:v>
                </c:pt>
                <c:pt idx="1827">
                  <c:v>105.074373140671</c:v>
                </c:pt>
                <c:pt idx="1828">
                  <c:v>105.64810879728</c:v>
                </c:pt>
                <c:pt idx="1829">
                  <c:v>105.597110072248</c:v>
                </c:pt>
                <c:pt idx="1830">
                  <c:v>106.38334041649</c:v>
                </c:pt>
                <c:pt idx="1831">
                  <c:v>106.306842328942</c:v>
                </c:pt>
                <c:pt idx="1832">
                  <c:v>107.182320441989</c:v>
                </c:pt>
                <c:pt idx="1833">
                  <c:v>107.186570335742</c:v>
                </c:pt>
                <c:pt idx="1834">
                  <c:v>106.442838929027</c:v>
                </c:pt>
                <c:pt idx="1835">
                  <c:v>106.196345091373</c:v>
                </c:pt>
                <c:pt idx="1836">
                  <c:v>106.506587335317</c:v>
                </c:pt>
                <c:pt idx="1837">
                  <c:v>106.408839779006</c:v>
                </c:pt>
                <c:pt idx="1838">
                  <c:v>106.92732681683</c:v>
                </c:pt>
                <c:pt idx="1839">
                  <c:v>106.153846153846</c:v>
                </c:pt>
                <c:pt idx="1840">
                  <c:v>106.315342116447</c:v>
                </c:pt>
                <c:pt idx="1841">
                  <c:v>105.932851678708</c:v>
                </c:pt>
                <c:pt idx="1842">
                  <c:v>105.252868678283</c:v>
                </c:pt>
                <c:pt idx="1843">
                  <c:v>105.56736081598</c:v>
                </c:pt>
                <c:pt idx="1844">
                  <c:v>105.274118147046</c:v>
                </c:pt>
                <c:pt idx="1845">
                  <c:v>106.145346366341</c:v>
                </c:pt>
                <c:pt idx="1846">
                  <c:v>106.166595835104</c:v>
                </c:pt>
                <c:pt idx="1847">
                  <c:v>106.404589885253</c:v>
                </c:pt>
                <c:pt idx="1848">
                  <c:v>106.404589885253</c:v>
                </c:pt>
                <c:pt idx="1849">
                  <c:v>106.404589885253</c:v>
                </c:pt>
                <c:pt idx="1850">
                  <c:v>106.404589885253</c:v>
                </c:pt>
                <c:pt idx="1851">
                  <c:v>106.587335316617</c:v>
                </c:pt>
                <c:pt idx="1852">
                  <c:v>106.791330216745</c:v>
                </c:pt>
                <c:pt idx="1853">
                  <c:v>107.505312367191</c:v>
                </c:pt>
                <c:pt idx="1854">
                  <c:v>107.492562685933</c:v>
                </c:pt>
                <c:pt idx="1855">
                  <c:v>106.867828304292</c:v>
                </c:pt>
                <c:pt idx="1856">
                  <c:v>107.798555036124</c:v>
                </c:pt>
                <c:pt idx="1857">
                  <c:v>108.1597960051</c:v>
                </c:pt>
                <c:pt idx="1858">
                  <c:v>108.079048023799</c:v>
                </c:pt>
                <c:pt idx="1859">
                  <c:v>108.01529961751</c:v>
                </c:pt>
                <c:pt idx="1860">
                  <c:v>108.780280492988</c:v>
                </c:pt>
                <c:pt idx="1861">
                  <c:v>107.42456438589</c:v>
                </c:pt>
                <c:pt idx="1862">
                  <c:v>106.991075223119</c:v>
                </c:pt>
                <c:pt idx="1863">
                  <c:v>107.165320866978</c:v>
                </c:pt>
                <c:pt idx="1864">
                  <c:v>106.366340841479</c:v>
                </c:pt>
                <c:pt idx="1865">
                  <c:v>107.173820654484</c:v>
                </c:pt>
                <c:pt idx="1866">
                  <c:v>107.284317892053</c:v>
                </c:pt>
                <c:pt idx="1867">
                  <c:v>109.723756906077</c:v>
                </c:pt>
                <c:pt idx="1868">
                  <c:v>109.740756481088</c:v>
                </c:pt>
                <c:pt idx="1869">
                  <c:v>110.067998300042</c:v>
                </c:pt>
                <c:pt idx="1870">
                  <c:v>109.944751381215</c:v>
                </c:pt>
                <c:pt idx="1871">
                  <c:v>110.050998725032</c:v>
                </c:pt>
                <c:pt idx="1872">
                  <c:v>110.140246493838</c:v>
                </c:pt>
                <c:pt idx="1873">
                  <c:v>110.046748831279</c:v>
                </c:pt>
                <c:pt idx="1874">
                  <c:v>108.793030174246</c:v>
                </c:pt>
                <c:pt idx="1875">
                  <c:v>108.601784955376</c:v>
                </c:pt>
                <c:pt idx="1876">
                  <c:v>108.839779005525</c:v>
                </c:pt>
                <c:pt idx="1877">
                  <c:v>109.341266468338</c:v>
                </c:pt>
                <c:pt idx="1878">
                  <c:v>108.359541011475</c:v>
                </c:pt>
                <c:pt idx="1879">
                  <c:v>108.36804079898</c:v>
                </c:pt>
                <c:pt idx="1880">
                  <c:v>109.116022099448</c:v>
                </c:pt>
                <c:pt idx="1881">
                  <c:v>109.192520186995</c:v>
                </c:pt>
                <c:pt idx="1882">
                  <c:v>109.171270718232</c:v>
                </c:pt>
                <c:pt idx="1883">
                  <c:v>109.864003399915</c:v>
                </c:pt>
                <c:pt idx="1884">
                  <c:v>109.787505312367</c:v>
                </c:pt>
                <c:pt idx="1885">
                  <c:v>111.325966850829</c:v>
                </c:pt>
                <c:pt idx="1886">
                  <c:v>111.976200594985</c:v>
                </c:pt>
                <c:pt idx="1887">
                  <c:v>112.86442838929</c:v>
                </c:pt>
                <c:pt idx="1888">
                  <c:v>112.949426264343</c:v>
                </c:pt>
                <c:pt idx="1889">
                  <c:v>114.088397790055</c:v>
                </c:pt>
                <c:pt idx="1890">
                  <c:v>114.01614959626</c:v>
                </c:pt>
                <c:pt idx="1891">
                  <c:v>114.130896727582</c:v>
                </c:pt>
                <c:pt idx="1892">
                  <c:v>113.969400764981</c:v>
                </c:pt>
                <c:pt idx="1893">
                  <c:v>114.169145771356</c:v>
                </c:pt>
                <c:pt idx="1894">
                  <c:v>115.847853803655</c:v>
                </c:pt>
                <c:pt idx="1895">
                  <c:v>115.193370165746</c:v>
                </c:pt>
                <c:pt idx="1896">
                  <c:v>114.76838079048</c:v>
                </c:pt>
                <c:pt idx="1897">
                  <c:v>114.130896727582</c:v>
                </c:pt>
                <c:pt idx="1898">
                  <c:v>113.909902252444</c:v>
                </c:pt>
                <c:pt idx="1899">
                  <c:v>113.225669358266</c:v>
                </c:pt>
                <c:pt idx="1900">
                  <c:v>113.225669358266</c:v>
                </c:pt>
                <c:pt idx="1901">
                  <c:v>113.612409689758</c:v>
                </c:pt>
                <c:pt idx="1902">
                  <c:v>113.612409689758</c:v>
                </c:pt>
                <c:pt idx="1903">
                  <c:v>112.209944751381</c:v>
                </c:pt>
                <c:pt idx="1904">
                  <c:v>111.546961325967</c:v>
                </c:pt>
                <c:pt idx="1905">
                  <c:v>110.841478963026</c:v>
                </c:pt>
                <c:pt idx="1906">
                  <c:v>111.130471738207</c:v>
                </c:pt>
                <c:pt idx="1907">
                  <c:v>111.100722481938</c:v>
                </c:pt>
                <c:pt idx="1908">
                  <c:v>111.878453038674</c:v>
                </c:pt>
                <c:pt idx="1909">
                  <c:v>112.065448363791</c:v>
                </c:pt>
                <c:pt idx="1910">
                  <c:v>111.062473438164</c:v>
                </c:pt>
                <c:pt idx="1911">
                  <c:v>111.334466638334</c:v>
                </c:pt>
                <c:pt idx="1912">
                  <c:v>111.738206544836</c:v>
                </c:pt>
                <c:pt idx="1913">
                  <c:v>112.775180620484</c:v>
                </c:pt>
                <c:pt idx="1914">
                  <c:v>111.627709307267</c:v>
                </c:pt>
                <c:pt idx="1915">
                  <c:v>113.059923501912</c:v>
                </c:pt>
                <c:pt idx="1916">
                  <c:v>112.796430089248</c:v>
                </c:pt>
                <c:pt idx="1917">
                  <c:v>110.565235869103</c:v>
                </c:pt>
                <c:pt idx="1918">
                  <c:v>110.522736931577</c:v>
                </c:pt>
                <c:pt idx="1919">
                  <c:v>110.662983425414</c:v>
                </c:pt>
                <c:pt idx="1920">
                  <c:v>109.961750956226</c:v>
                </c:pt>
                <c:pt idx="1921">
                  <c:v>108.920526986825</c:v>
                </c:pt>
                <c:pt idx="1922">
                  <c:v>107.994050148746</c:v>
                </c:pt>
                <c:pt idx="1923">
                  <c:v>108.572035699108</c:v>
                </c:pt>
                <c:pt idx="1924">
                  <c:v>108.346791330217</c:v>
                </c:pt>
                <c:pt idx="1925">
                  <c:v>108.036549086273</c:v>
                </c:pt>
                <c:pt idx="1926">
                  <c:v>107.739056523587</c:v>
                </c:pt>
                <c:pt idx="1927">
                  <c:v>107.144071398215</c:v>
                </c:pt>
                <c:pt idx="1928">
                  <c:v>107.233319167021</c:v>
                </c:pt>
                <c:pt idx="1929">
                  <c:v>106.952826179346</c:v>
                </c:pt>
                <c:pt idx="1930">
                  <c:v>106.561835954101</c:v>
                </c:pt>
                <c:pt idx="1931">
                  <c:v>105.605609859754</c:v>
                </c:pt>
                <c:pt idx="1932">
                  <c:v>105.85635359116</c:v>
                </c:pt>
                <c:pt idx="1933">
                  <c:v>106.107097322567</c:v>
                </c:pt>
                <c:pt idx="1934">
                  <c:v>106.179345516362</c:v>
                </c:pt>
                <c:pt idx="1935">
                  <c:v>106.668083297918</c:v>
                </c:pt>
                <c:pt idx="1936">
                  <c:v>108.168295792605</c:v>
                </c:pt>
                <c:pt idx="1937">
                  <c:v>108.346791330217</c:v>
                </c:pt>
                <c:pt idx="1938">
                  <c:v>107.862303442414</c:v>
                </c:pt>
                <c:pt idx="1939">
                  <c:v>108.151296217595</c:v>
                </c:pt>
                <c:pt idx="1940">
                  <c:v>106.782830429239</c:v>
                </c:pt>
                <c:pt idx="1941">
                  <c:v>107.212069698258</c:v>
                </c:pt>
                <c:pt idx="1942">
                  <c:v>108.402039949001</c:v>
                </c:pt>
                <c:pt idx="1943">
                  <c:v>108.584785380366</c:v>
                </c:pt>
                <c:pt idx="1944">
                  <c:v>108.227794305142</c:v>
                </c:pt>
                <c:pt idx="1945">
                  <c:v>105.524861878453</c:v>
                </c:pt>
                <c:pt idx="1946">
                  <c:v>105.418614534637</c:v>
                </c:pt>
                <c:pt idx="1947">
                  <c:v>104.096897577561</c:v>
                </c:pt>
                <c:pt idx="1948">
                  <c:v>104.874628134297</c:v>
                </c:pt>
                <c:pt idx="1949">
                  <c:v>104.900127496813</c:v>
                </c:pt>
                <c:pt idx="1950">
                  <c:v>106.179345516362</c:v>
                </c:pt>
                <c:pt idx="1951">
                  <c:v>105.669358266043</c:v>
                </c:pt>
                <c:pt idx="1952">
                  <c:v>106.098597535062</c:v>
                </c:pt>
                <c:pt idx="1953">
                  <c:v>106.872078198045</c:v>
                </c:pt>
                <c:pt idx="1954">
                  <c:v>106.345091372716</c:v>
                </c:pt>
                <c:pt idx="1955">
                  <c:v>105.784105397365</c:v>
                </c:pt>
                <c:pt idx="1956">
                  <c:v>106.396090097748</c:v>
                </c:pt>
                <c:pt idx="1957">
                  <c:v>105.346366340841</c:v>
                </c:pt>
                <c:pt idx="1958">
                  <c:v>105.10412239694</c:v>
                </c:pt>
                <c:pt idx="1959">
                  <c:v>104.084147896303</c:v>
                </c:pt>
                <c:pt idx="1960">
                  <c:v>104.113897152571</c:v>
                </c:pt>
                <c:pt idx="1961">
                  <c:v>104.211644708882</c:v>
                </c:pt>
                <c:pt idx="1962">
                  <c:v>104.534636634084</c:v>
                </c:pt>
                <c:pt idx="1963">
                  <c:v>103.531661708457</c:v>
                </c:pt>
                <c:pt idx="1964">
                  <c:v>103.824904377391</c:v>
                </c:pt>
                <c:pt idx="1965">
                  <c:v>102.626434339142</c:v>
                </c:pt>
                <c:pt idx="1966">
                  <c:v>103.506162345941</c:v>
                </c:pt>
                <c:pt idx="1967">
                  <c:v>103.323416914577</c:v>
                </c:pt>
                <c:pt idx="1968">
                  <c:v>102.014449638759</c:v>
                </c:pt>
                <c:pt idx="1969">
                  <c:v>101.908202294943</c:v>
                </c:pt>
                <c:pt idx="1970">
                  <c:v>101.648958776031</c:v>
                </c:pt>
                <c:pt idx="1971">
                  <c:v>101.109222269443</c:v>
                </c:pt>
                <c:pt idx="1972">
                  <c:v>100.824479388015</c:v>
                </c:pt>
                <c:pt idx="1973">
                  <c:v>100.858478538037</c:v>
                </c:pt>
                <c:pt idx="1974">
                  <c:v>100.858478538037</c:v>
                </c:pt>
                <c:pt idx="1975">
                  <c:v>100.029749256269</c:v>
                </c:pt>
                <c:pt idx="1976">
                  <c:v>99.9575010624734</c:v>
                </c:pt>
                <c:pt idx="1977">
                  <c:v>99.5622609434764</c:v>
                </c:pt>
                <c:pt idx="1978">
                  <c:v>98.4232894177645</c:v>
                </c:pt>
                <c:pt idx="1979">
                  <c:v>96.5320866978326</c:v>
                </c:pt>
                <c:pt idx="1980">
                  <c:v>94.1478963025924</c:v>
                </c:pt>
                <c:pt idx="1981">
                  <c:v>94.8023799405015</c:v>
                </c:pt>
                <c:pt idx="1982">
                  <c:v>96.774330641734</c:v>
                </c:pt>
                <c:pt idx="1983">
                  <c:v>97.2970675733107</c:v>
                </c:pt>
                <c:pt idx="1984">
                  <c:v>98.7462813429664</c:v>
                </c:pt>
                <c:pt idx="1985">
                  <c:v>98.937526561836</c:v>
                </c:pt>
                <c:pt idx="1986">
                  <c:v>97.5563110922227</c:v>
                </c:pt>
                <c:pt idx="1987">
                  <c:v>97.7093072673183</c:v>
                </c:pt>
                <c:pt idx="1988">
                  <c:v>97.9175520611985</c:v>
                </c:pt>
                <c:pt idx="1989">
                  <c:v>96.8550786230344</c:v>
                </c:pt>
                <c:pt idx="1990">
                  <c:v>96.6043348916277</c:v>
                </c:pt>
                <c:pt idx="1991">
                  <c:v>96.7955801104972</c:v>
                </c:pt>
                <c:pt idx="1992">
                  <c:v>99.6175095622609</c:v>
                </c:pt>
                <c:pt idx="1993">
                  <c:v>100.798980025499</c:v>
                </c:pt>
                <c:pt idx="1994">
                  <c:v>99.3370165745856</c:v>
                </c:pt>
                <c:pt idx="1995">
                  <c:v>99.048023799405</c:v>
                </c:pt>
                <c:pt idx="1996">
                  <c:v>99.2732681682958</c:v>
                </c:pt>
                <c:pt idx="1997">
                  <c:v>101.478963025924</c:v>
                </c:pt>
                <c:pt idx="1998">
                  <c:v>101.69570760731</c:v>
                </c:pt>
                <c:pt idx="1999">
                  <c:v>102.473438164046</c:v>
                </c:pt>
                <c:pt idx="2000">
                  <c:v>100.603484912877</c:v>
                </c:pt>
                <c:pt idx="2001">
                  <c:v>101.436464088398</c:v>
                </c:pt>
                <c:pt idx="2002">
                  <c:v>99.5580110497238</c:v>
                </c:pt>
                <c:pt idx="2003">
                  <c:v>99.5580110497238</c:v>
                </c:pt>
                <c:pt idx="2004">
                  <c:v>99.3582660433489</c:v>
                </c:pt>
                <c:pt idx="2005">
                  <c:v>99.3582660433489</c:v>
                </c:pt>
                <c:pt idx="2006">
                  <c:v>99.3582660433489</c:v>
                </c:pt>
                <c:pt idx="2007">
                  <c:v>100.599235019125</c:v>
                </c:pt>
                <c:pt idx="2008">
                  <c:v>101.410964725882</c:v>
                </c:pt>
                <c:pt idx="2009">
                  <c:v>100.786230344241</c:v>
                </c:pt>
                <c:pt idx="2010">
                  <c:v>101.138971525712</c:v>
                </c:pt>
                <c:pt idx="2011">
                  <c:v>102.073948151296</c:v>
                </c:pt>
                <c:pt idx="2012">
                  <c:v>103.493412664683</c:v>
                </c:pt>
                <c:pt idx="2013">
                  <c:v>104.555886102847</c:v>
                </c:pt>
                <c:pt idx="2014">
                  <c:v>104.555886102847</c:v>
                </c:pt>
                <c:pt idx="2015">
                  <c:v>104.755631109222</c:v>
                </c:pt>
                <c:pt idx="2016">
                  <c:v>104.564385890353</c:v>
                </c:pt>
                <c:pt idx="2017">
                  <c:v>104.096897577561</c:v>
                </c:pt>
                <c:pt idx="2018">
                  <c:v>105.350616234594</c:v>
                </c:pt>
                <c:pt idx="2019">
                  <c:v>105.129621759456</c:v>
                </c:pt>
                <c:pt idx="2020">
                  <c:v>105.172120696983</c:v>
                </c:pt>
                <c:pt idx="2021">
                  <c:v>105.622609434764</c:v>
                </c:pt>
                <c:pt idx="2022">
                  <c:v>105.928601784955</c:v>
                </c:pt>
                <c:pt idx="2023">
                  <c:v>105.065873353166</c:v>
                </c:pt>
                <c:pt idx="2024">
                  <c:v>105.996600084998</c:v>
                </c:pt>
                <c:pt idx="2025">
                  <c:v>106.4003399915</c:v>
                </c:pt>
                <c:pt idx="2026">
                  <c:v>106.264343391415</c:v>
                </c:pt>
                <c:pt idx="2027">
                  <c:v>106.158096047599</c:v>
                </c:pt>
                <c:pt idx="2028">
                  <c:v>105.79260518487</c:v>
                </c:pt>
                <c:pt idx="2029">
                  <c:v>105.996600084998</c:v>
                </c:pt>
                <c:pt idx="2030">
                  <c:v>106.502337441564</c:v>
                </c:pt>
                <c:pt idx="2031">
                  <c:v>107.148321291968</c:v>
                </c:pt>
                <c:pt idx="2032">
                  <c:v>107.237569060773</c:v>
                </c:pt>
                <c:pt idx="2033">
                  <c:v>107.00807479813</c:v>
                </c:pt>
                <c:pt idx="2034">
                  <c:v>106.353591160221</c:v>
                </c:pt>
                <c:pt idx="2035">
                  <c:v>105.911602209945</c:v>
                </c:pt>
                <c:pt idx="2036">
                  <c:v>104.487887802805</c:v>
                </c:pt>
                <c:pt idx="2037">
                  <c:v>104.487887802805</c:v>
                </c:pt>
                <c:pt idx="2038">
                  <c:v>104.181895452614</c:v>
                </c:pt>
                <c:pt idx="2039">
                  <c:v>103.149171270718</c:v>
                </c:pt>
                <c:pt idx="2040">
                  <c:v>101.517212069698</c:v>
                </c:pt>
                <c:pt idx="2041">
                  <c:v>102.532936676583</c:v>
                </c:pt>
                <c:pt idx="2042">
                  <c:v>102.609434764131</c:v>
                </c:pt>
                <c:pt idx="2043">
                  <c:v>104.033149171271</c:v>
                </c:pt>
                <c:pt idx="2044">
                  <c:v>104.037399065023</c:v>
                </c:pt>
                <c:pt idx="2045">
                  <c:v>104.513387165321</c:v>
                </c:pt>
                <c:pt idx="2046">
                  <c:v>105.189120271993</c:v>
                </c:pt>
                <c:pt idx="2047">
                  <c:v>104.793880152996</c:v>
                </c:pt>
                <c:pt idx="2048">
                  <c:v>106.005099872503</c:v>
                </c:pt>
                <c:pt idx="2049">
                  <c:v>105.852103697408</c:v>
                </c:pt>
                <c:pt idx="2050">
                  <c:v>103.799405014875</c:v>
                </c:pt>
                <c:pt idx="2051">
                  <c:v>105.694857628559</c:v>
                </c:pt>
                <c:pt idx="2052">
                  <c:v>104.802379940501</c:v>
                </c:pt>
                <c:pt idx="2053">
                  <c:v>103.986400339992</c:v>
                </c:pt>
                <c:pt idx="2054">
                  <c:v>102.911177220569</c:v>
                </c:pt>
                <c:pt idx="2055">
                  <c:v>102.286442838929</c:v>
                </c:pt>
                <c:pt idx="2056">
                  <c:v>101.670208244794</c:v>
                </c:pt>
                <c:pt idx="2057">
                  <c:v>101.742456438589</c:v>
                </c:pt>
                <c:pt idx="2058">
                  <c:v>102.252443688908</c:v>
                </c:pt>
                <c:pt idx="2059">
                  <c:v>102.146196345091</c:v>
                </c:pt>
                <c:pt idx="2060">
                  <c:v>101.219719507012</c:v>
                </c:pt>
                <c:pt idx="2061">
                  <c:v>101.48746281343</c:v>
                </c:pt>
                <c:pt idx="2062">
                  <c:v>103.480662983425</c:v>
                </c:pt>
                <c:pt idx="2063">
                  <c:v>103.769655758606</c:v>
                </c:pt>
                <c:pt idx="2064">
                  <c:v>103.272418189545</c:v>
                </c:pt>
                <c:pt idx="2065">
                  <c:v>103.595410114747</c:v>
                </c:pt>
                <c:pt idx="2066">
                  <c:v>104.326391840204</c:v>
                </c:pt>
                <c:pt idx="2067">
                  <c:v>104.772630684233</c:v>
                </c:pt>
                <c:pt idx="2068">
                  <c:v>104.262643433914</c:v>
                </c:pt>
                <c:pt idx="2069">
                  <c:v>102.758181045474</c:v>
                </c:pt>
                <c:pt idx="2070">
                  <c:v>102.515937101572</c:v>
                </c:pt>
                <c:pt idx="2071">
                  <c:v>102.158946026349</c:v>
                </c:pt>
                <c:pt idx="2072">
                  <c:v>102.158946026349</c:v>
                </c:pt>
                <c:pt idx="2073">
                  <c:v>99.715257118572</c:v>
                </c:pt>
                <c:pt idx="2074">
                  <c:v>100.35274118147</c:v>
                </c:pt>
                <c:pt idx="2075">
                  <c:v>99.7025074373141</c:v>
                </c:pt>
                <c:pt idx="2076">
                  <c:v>98.5677858053549</c:v>
                </c:pt>
                <c:pt idx="2077">
                  <c:v>99.3115172120697</c:v>
                </c:pt>
                <c:pt idx="2078">
                  <c:v>98.1002974925627</c:v>
                </c:pt>
                <c:pt idx="2079">
                  <c:v>97.9813004674883</c:v>
                </c:pt>
                <c:pt idx="2080">
                  <c:v>99.2435189120272</c:v>
                </c:pt>
                <c:pt idx="2081">
                  <c:v>98.3340416489588</c:v>
                </c:pt>
                <c:pt idx="2082">
                  <c:v>97.2290692732682</c:v>
                </c:pt>
                <c:pt idx="2083">
                  <c:v>97.1483212919677</c:v>
                </c:pt>
                <c:pt idx="2084">
                  <c:v>97.7815554611135</c:v>
                </c:pt>
                <c:pt idx="2085">
                  <c:v>95.4271143221419</c:v>
                </c:pt>
                <c:pt idx="2086">
                  <c:v>95.116872078198</c:v>
                </c:pt>
                <c:pt idx="2087">
                  <c:v>97.2333191670208</c:v>
                </c:pt>
                <c:pt idx="2088">
                  <c:v>97.836804079898</c:v>
                </c:pt>
                <c:pt idx="2089">
                  <c:v>96.5533361665958</c:v>
                </c:pt>
                <c:pt idx="2090">
                  <c:v>98.1555461113472</c:v>
                </c:pt>
                <c:pt idx="2091">
                  <c:v>98.3892902677433</c:v>
                </c:pt>
                <c:pt idx="2092">
                  <c:v>98.64003399915</c:v>
                </c:pt>
                <c:pt idx="2093">
                  <c:v>99.307267318317</c:v>
                </c:pt>
                <c:pt idx="2094">
                  <c:v>98.2150446238844</c:v>
                </c:pt>
                <c:pt idx="2095">
                  <c:v>97.3098172545686</c:v>
                </c:pt>
                <c:pt idx="2096">
                  <c:v>98.9842753931152</c:v>
                </c:pt>
                <c:pt idx="2097">
                  <c:v>99.1500212494688</c:v>
                </c:pt>
                <c:pt idx="2098">
                  <c:v>99.1500212494688</c:v>
                </c:pt>
                <c:pt idx="2099">
                  <c:v>99.1500212494688</c:v>
                </c:pt>
                <c:pt idx="2100">
                  <c:v>99.1500212494688</c:v>
                </c:pt>
                <c:pt idx="2101">
                  <c:v>96.3450913727157</c:v>
                </c:pt>
                <c:pt idx="2102">
                  <c:v>95.6141096472588</c:v>
                </c:pt>
                <c:pt idx="2103">
                  <c:v>97.0675733106672</c:v>
                </c:pt>
                <c:pt idx="2104">
                  <c:v>98.393540161496</c:v>
                </c:pt>
                <c:pt idx="2105">
                  <c:v>98.5720356991075</c:v>
                </c:pt>
                <c:pt idx="2106">
                  <c:v>99.7620059498513</c:v>
                </c:pt>
                <c:pt idx="2107">
                  <c:v>99.987250318742</c:v>
                </c:pt>
                <c:pt idx="2108">
                  <c:v>99.851253718657</c:v>
                </c:pt>
                <c:pt idx="2109">
                  <c:v>99.8852528686783</c:v>
                </c:pt>
                <c:pt idx="2110">
                  <c:v>99.8342541436464</c:v>
                </c:pt>
                <c:pt idx="2111">
                  <c:v>100.029749256269</c:v>
                </c:pt>
                <c:pt idx="2112">
                  <c:v>99.9660008499787</c:v>
                </c:pt>
                <c:pt idx="2113">
                  <c:v>99.715257118572</c:v>
                </c:pt>
                <c:pt idx="2114">
                  <c:v>99.715257118572</c:v>
                </c:pt>
                <c:pt idx="2115">
                  <c:v>101.415214619635</c:v>
                </c:pt>
                <c:pt idx="2116">
                  <c:v>102.035699107522</c:v>
                </c:pt>
                <c:pt idx="2117">
                  <c:v>101.886952826179</c:v>
                </c:pt>
                <c:pt idx="2118">
                  <c:v>102.086697832554</c:v>
                </c:pt>
                <c:pt idx="2119">
                  <c:v>101.334466638334</c:v>
                </c:pt>
                <c:pt idx="2120">
                  <c:v>101.627709307267</c:v>
                </c:pt>
                <c:pt idx="2121">
                  <c:v>102.605184870378</c:v>
                </c:pt>
                <c:pt idx="2122">
                  <c:v>102.834679133022</c:v>
                </c:pt>
                <c:pt idx="2123">
                  <c:v>102.911177220569</c:v>
                </c:pt>
                <c:pt idx="2124">
                  <c:v>102.775180620484</c:v>
                </c:pt>
                <c:pt idx="2125">
                  <c:v>102.996175095623</c:v>
                </c:pt>
                <c:pt idx="2126">
                  <c:v>103.735656608585</c:v>
                </c:pt>
                <c:pt idx="2127">
                  <c:v>103.965150871228</c:v>
                </c:pt>
                <c:pt idx="2128">
                  <c:v>103.816404589885</c:v>
                </c:pt>
                <c:pt idx="2129">
                  <c:v>104.296642583935</c:v>
                </c:pt>
                <c:pt idx="2130">
                  <c:v>104.220144496388</c:v>
                </c:pt>
                <c:pt idx="2131">
                  <c:v>103.731406714832</c:v>
                </c:pt>
                <c:pt idx="2132">
                  <c:v>103.608159796005</c:v>
                </c:pt>
                <c:pt idx="2133">
                  <c:v>103.676158096048</c:v>
                </c:pt>
                <c:pt idx="2134">
                  <c:v>104.347641308967</c:v>
                </c:pt>
                <c:pt idx="2135">
                  <c:v>104.776880577986</c:v>
                </c:pt>
                <c:pt idx="2136">
                  <c:v>104.487887802805</c:v>
                </c:pt>
                <c:pt idx="2137">
                  <c:v>103.000424989375</c:v>
                </c:pt>
                <c:pt idx="2138">
                  <c:v>103.293667658309</c:v>
                </c:pt>
                <c:pt idx="2139">
                  <c:v>102.243943901402</c:v>
                </c:pt>
                <c:pt idx="2140">
                  <c:v>102.843178920527</c:v>
                </c:pt>
                <c:pt idx="2141">
                  <c:v>102.970675733107</c:v>
                </c:pt>
                <c:pt idx="2142">
                  <c:v>102.749681257969</c:v>
                </c:pt>
                <c:pt idx="2143">
                  <c:v>102.872928176796</c:v>
                </c:pt>
                <c:pt idx="2144">
                  <c:v>103.574160645984</c:v>
                </c:pt>
                <c:pt idx="2145">
                  <c:v>103.574160645984</c:v>
                </c:pt>
                <c:pt idx="2146">
                  <c:v>105.77560560986</c:v>
                </c:pt>
                <c:pt idx="2147">
                  <c:v>105.622609434764</c:v>
                </c:pt>
                <c:pt idx="2148">
                  <c:v>105.397365065873</c:v>
                </c:pt>
                <c:pt idx="2149">
                  <c:v>105.346366340841</c:v>
                </c:pt>
                <c:pt idx="2150">
                  <c:v>105.082872928177</c:v>
                </c:pt>
                <c:pt idx="2151">
                  <c:v>105.988100297493</c:v>
                </c:pt>
                <c:pt idx="2152">
                  <c:v>105.533361665958</c:v>
                </c:pt>
                <c:pt idx="2153">
                  <c:v>105.452613684658</c:v>
                </c:pt>
                <c:pt idx="2154">
                  <c:v>105.788355291118</c:v>
                </c:pt>
                <c:pt idx="2155">
                  <c:v>105.690607734807</c:v>
                </c:pt>
                <c:pt idx="2156">
                  <c:v>104.662133446664</c:v>
                </c:pt>
                <c:pt idx="2157">
                  <c:v>104.20739481513</c:v>
                </c:pt>
                <c:pt idx="2158">
                  <c:v>103.47216319592</c:v>
                </c:pt>
                <c:pt idx="2159">
                  <c:v>103.820654483638</c:v>
                </c:pt>
                <c:pt idx="2160">
                  <c:v>103.404164895878</c:v>
                </c:pt>
                <c:pt idx="2161">
                  <c:v>103.404164895878</c:v>
                </c:pt>
                <c:pt idx="2162">
                  <c:v>103.404164895878</c:v>
                </c:pt>
                <c:pt idx="2163">
                  <c:v>102.945176370591</c:v>
                </c:pt>
                <c:pt idx="2164">
                  <c:v>103.561410964726</c:v>
                </c:pt>
                <c:pt idx="2165">
                  <c:v>103.302167445814</c:v>
                </c:pt>
                <c:pt idx="2166">
                  <c:v>102.99192520187</c:v>
                </c:pt>
                <c:pt idx="2167">
                  <c:v>102.252443688908</c:v>
                </c:pt>
                <c:pt idx="2168">
                  <c:v>102.345941351466</c:v>
                </c:pt>
                <c:pt idx="2169">
                  <c:v>102.435189120272</c:v>
                </c:pt>
                <c:pt idx="2170">
                  <c:v>101.920951976201</c:v>
                </c:pt>
                <c:pt idx="2171">
                  <c:v>101.589460263493</c:v>
                </c:pt>
                <c:pt idx="2172">
                  <c:v>101.461963450914</c:v>
                </c:pt>
                <c:pt idx="2173">
                  <c:v>101.933701657459</c:v>
                </c:pt>
                <c:pt idx="2174">
                  <c:v>100.998725031874</c:v>
                </c:pt>
                <c:pt idx="2175">
                  <c:v>102.38419039524</c:v>
                </c:pt>
                <c:pt idx="2176">
                  <c:v>102.243943901402</c:v>
                </c:pt>
                <c:pt idx="2177">
                  <c:v>102.78368040799</c:v>
                </c:pt>
                <c:pt idx="2178">
                  <c:v>102.732681682958</c:v>
                </c:pt>
                <c:pt idx="2179">
                  <c:v>103.540161495963</c:v>
                </c:pt>
                <c:pt idx="2180">
                  <c:v>103.518912027199</c:v>
                </c:pt>
                <c:pt idx="2181">
                  <c:v>103.773905652359</c:v>
                </c:pt>
                <c:pt idx="2182">
                  <c:v>103.863153421164</c:v>
                </c:pt>
                <c:pt idx="2183">
                  <c:v>103.863153421164</c:v>
                </c:pt>
                <c:pt idx="2184">
                  <c:v>105.333616659584</c:v>
                </c:pt>
                <c:pt idx="2185">
                  <c:v>106.264343391415</c:v>
                </c:pt>
                <c:pt idx="2186">
                  <c:v>106.328091797705</c:v>
                </c:pt>
                <c:pt idx="2187">
                  <c:v>105.805354866128</c:v>
                </c:pt>
                <c:pt idx="2188">
                  <c:v>103.718657033574</c:v>
                </c:pt>
                <c:pt idx="2189">
                  <c:v>103.421164470888</c:v>
                </c:pt>
                <c:pt idx="2190">
                  <c:v>103.399915002125</c:v>
                </c:pt>
                <c:pt idx="2191">
                  <c:v>102.681682957926</c:v>
                </c:pt>
                <c:pt idx="2192">
                  <c:v>102.690182745431</c:v>
                </c:pt>
                <c:pt idx="2193">
                  <c:v>104.194645133872</c:v>
                </c:pt>
                <c:pt idx="2194">
                  <c:v>104.266893327667</c:v>
                </c:pt>
                <c:pt idx="2195">
                  <c:v>104.866128346791</c:v>
                </c:pt>
                <c:pt idx="2196">
                  <c:v>104.679133021674</c:v>
                </c:pt>
                <c:pt idx="2197">
                  <c:v>101.661708457289</c:v>
                </c:pt>
                <c:pt idx="2198">
                  <c:v>101.691457713557</c:v>
                </c:pt>
                <c:pt idx="2199">
                  <c:v>102.03144921377</c:v>
                </c:pt>
                <c:pt idx="2200">
                  <c:v>102.983425414365</c:v>
                </c:pt>
                <c:pt idx="2201">
                  <c:v>103.756906077348</c:v>
                </c:pt>
                <c:pt idx="2202">
                  <c:v>104.76838079048</c:v>
                </c:pt>
                <c:pt idx="2203">
                  <c:v>105.235869103272</c:v>
                </c:pt>
                <c:pt idx="2204">
                  <c:v>104.934126646834</c:v>
                </c:pt>
                <c:pt idx="2205">
                  <c:v>102.787930301742</c:v>
                </c:pt>
                <c:pt idx="2206">
                  <c:v>103.95240118997</c:v>
                </c:pt>
                <c:pt idx="2207">
                  <c:v>103.455163620909</c:v>
                </c:pt>
                <c:pt idx="2208">
                  <c:v>104.968125796855</c:v>
                </c:pt>
                <c:pt idx="2209">
                  <c:v>105.031874203145</c:v>
                </c:pt>
                <c:pt idx="2210">
                  <c:v>105.928601784955</c:v>
                </c:pt>
                <c:pt idx="2211">
                  <c:v>106.162345941351</c:v>
                </c:pt>
                <c:pt idx="2212">
                  <c:v>106.680832979176</c:v>
                </c:pt>
                <c:pt idx="2213">
                  <c:v>106.893327666808</c:v>
                </c:pt>
                <c:pt idx="2214">
                  <c:v>106.659583510412</c:v>
                </c:pt>
                <c:pt idx="2215">
                  <c:v>106.52783680408</c:v>
                </c:pt>
                <c:pt idx="2216">
                  <c:v>106.434339141521</c:v>
                </c:pt>
                <c:pt idx="2217">
                  <c:v>106.264343391415</c:v>
                </c:pt>
                <c:pt idx="2218">
                  <c:v>106.523586910327</c:v>
                </c:pt>
                <c:pt idx="2219">
                  <c:v>107.403314917127</c:v>
                </c:pt>
                <c:pt idx="2220">
                  <c:v>107.40756481088</c:v>
                </c:pt>
                <c:pt idx="2221">
                  <c:v>107.037824054399</c:v>
                </c:pt>
                <c:pt idx="2222">
                  <c:v>106.876328091798</c:v>
                </c:pt>
                <c:pt idx="2223">
                  <c:v>107.866553336167</c:v>
                </c:pt>
                <c:pt idx="2224">
                  <c:v>107.067573310667</c:v>
                </c:pt>
                <c:pt idx="2225">
                  <c:v>105.673608159796</c:v>
                </c:pt>
                <c:pt idx="2226">
                  <c:v>105.924351891203</c:v>
                </c:pt>
                <c:pt idx="2227">
                  <c:v>107.250318742031</c:v>
                </c:pt>
                <c:pt idx="2228">
                  <c:v>107.994050148746</c:v>
                </c:pt>
                <c:pt idx="2229">
                  <c:v>108.733531661708</c:v>
                </c:pt>
                <c:pt idx="2230">
                  <c:v>108.555036124097</c:v>
                </c:pt>
                <c:pt idx="2231">
                  <c:v>108.873778155546</c:v>
                </c:pt>
                <c:pt idx="2232">
                  <c:v>108.869528261793</c:v>
                </c:pt>
                <c:pt idx="2233">
                  <c:v>108.869528261793</c:v>
                </c:pt>
                <c:pt idx="2234">
                  <c:v>108.861028474288</c:v>
                </c:pt>
                <c:pt idx="2235">
                  <c:v>108.814279643009</c:v>
                </c:pt>
                <c:pt idx="2236">
                  <c:v>109.694007649809</c:v>
                </c:pt>
                <c:pt idx="2237">
                  <c:v>109.940501487463</c:v>
                </c:pt>
                <c:pt idx="2238">
                  <c:v>109.337016574586</c:v>
                </c:pt>
                <c:pt idx="2239">
                  <c:v>109.825754356141</c:v>
                </c:pt>
                <c:pt idx="2240">
                  <c:v>109.349766255844</c:v>
                </c:pt>
                <c:pt idx="2241">
                  <c:v>109.332766680833</c:v>
                </c:pt>
                <c:pt idx="2242">
                  <c:v>108.895027624309</c:v>
                </c:pt>
                <c:pt idx="2243">
                  <c:v>109.005524861878</c:v>
                </c:pt>
                <c:pt idx="2244">
                  <c:v>109.430514237144</c:v>
                </c:pt>
                <c:pt idx="2245">
                  <c:v>109.167020824479</c:v>
                </c:pt>
                <c:pt idx="2246">
                  <c:v>108.810029749256</c:v>
                </c:pt>
                <c:pt idx="2247">
                  <c:v>109.009774755631</c:v>
                </c:pt>
                <c:pt idx="2248">
                  <c:v>110.344241393965</c:v>
                </c:pt>
                <c:pt idx="2249">
                  <c:v>110.892477688058</c:v>
                </c:pt>
                <c:pt idx="2250">
                  <c:v>110.628984275393</c:v>
                </c:pt>
                <c:pt idx="2251">
                  <c:v>110.862728431789</c:v>
                </c:pt>
                <c:pt idx="2252">
                  <c:v>109.354016149596</c:v>
                </c:pt>
                <c:pt idx="2253">
                  <c:v>106.472588185295</c:v>
                </c:pt>
                <c:pt idx="2254">
                  <c:v>106.999575010625</c:v>
                </c:pt>
                <c:pt idx="2255">
                  <c:v>106.999575010625</c:v>
                </c:pt>
                <c:pt idx="2256">
                  <c:v>106.999575010625</c:v>
                </c:pt>
                <c:pt idx="2257">
                  <c:v>106.999575010625</c:v>
                </c:pt>
                <c:pt idx="2258">
                  <c:v>107.917552061198</c:v>
                </c:pt>
                <c:pt idx="2259">
                  <c:v>108.410539736507</c:v>
                </c:pt>
                <c:pt idx="2260">
                  <c:v>109.018274543136</c:v>
                </c:pt>
                <c:pt idx="2261">
                  <c:v>109.79175520612</c:v>
                </c:pt>
                <c:pt idx="2262">
                  <c:v>109.804504887378</c:v>
                </c:pt>
                <c:pt idx="2263">
                  <c:v>109.426264343391</c:v>
                </c:pt>
                <c:pt idx="2264">
                  <c:v>110.314492137697</c:v>
                </c:pt>
                <c:pt idx="2265">
                  <c:v>109.736506587335</c:v>
                </c:pt>
                <c:pt idx="2266">
                  <c:v>110.645983850404</c:v>
                </c:pt>
                <c:pt idx="2267">
                  <c:v>109.430514237144</c:v>
                </c:pt>
                <c:pt idx="2268">
                  <c:v>109.430514237144</c:v>
                </c:pt>
                <c:pt idx="2269">
                  <c:v>110.148746281343</c:v>
                </c:pt>
                <c:pt idx="2270">
                  <c:v>110.067998300042</c:v>
                </c:pt>
                <c:pt idx="2271">
                  <c:v>110.977475563111</c:v>
                </c:pt>
                <c:pt idx="2272">
                  <c:v>110.522736931577</c:v>
                </c:pt>
                <c:pt idx="2273">
                  <c:v>110.628984275393</c:v>
                </c:pt>
                <c:pt idx="2274">
                  <c:v>108.861028474288</c:v>
                </c:pt>
                <c:pt idx="2275">
                  <c:v>108.882277943051</c:v>
                </c:pt>
                <c:pt idx="2276">
                  <c:v>107.917552061198</c:v>
                </c:pt>
                <c:pt idx="2277">
                  <c:v>108.410539736507</c:v>
                </c:pt>
                <c:pt idx="2278">
                  <c:v>108.878028049299</c:v>
                </c:pt>
                <c:pt idx="2279">
                  <c:v>109.638759031024</c:v>
                </c:pt>
                <c:pt idx="2280">
                  <c:v>109.736506587335</c:v>
                </c:pt>
                <c:pt idx="2281">
                  <c:v>109.821504462388</c:v>
                </c:pt>
                <c:pt idx="2282">
                  <c:v>109.332766680833</c:v>
                </c:pt>
                <c:pt idx="2283">
                  <c:v>110.276243093923</c:v>
                </c:pt>
                <c:pt idx="2284">
                  <c:v>109.889502762431</c:v>
                </c:pt>
                <c:pt idx="2285">
                  <c:v>108.593285167871</c:v>
                </c:pt>
                <c:pt idx="2286">
                  <c:v>109.077773055674</c:v>
                </c:pt>
                <c:pt idx="2287">
                  <c:v>109.022524436889</c:v>
                </c:pt>
                <c:pt idx="2288">
                  <c:v>108.76753081173</c:v>
                </c:pt>
                <c:pt idx="2289">
                  <c:v>108.793030174246</c:v>
                </c:pt>
                <c:pt idx="2290">
                  <c:v>107.450063748406</c:v>
                </c:pt>
                <c:pt idx="2291">
                  <c:v>107.479813004675</c:v>
                </c:pt>
                <c:pt idx="2292">
                  <c:v>107.339566510837</c:v>
                </c:pt>
                <c:pt idx="2293">
                  <c:v>108.202294942626</c:v>
                </c:pt>
                <c:pt idx="2294">
                  <c:v>108.482787930302</c:v>
                </c:pt>
                <c:pt idx="2295">
                  <c:v>106.107097322567</c:v>
                </c:pt>
                <c:pt idx="2296">
                  <c:v>108.504037399065</c:v>
                </c:pt>
                <c:pt idx="2297">
                  <c:v>107.093072673183</c:v>
                </c:pt>
                <c:pt idx="2298">
                  <c:v>106.251593710157</c:v>
                </c:pt>
                <c:pt idx="2299">
                  <c:v>105.907352316192</c:v>
                </c:pt>
                <c:pt idx="2300">
                  <c:v>106.38334041649</c:v>
                </c:pt>
                <c:pt idx="2301">
                  <c:v>106.442838929027</c:v>
                </c:pt>
                <c:pt idx="2302">
                  <c:v>106.33659158521</c:v>
                </c:pt>
                <c:pt idx="2303">
                  <c:v>106.039099022524</c:v>
                </c:pt>
                <c:pt idx="2304">
                  <c:v>107.254568635784</c:v>
                </c:pt>
                <c:pt idx="2305">
                  <c:v>107.802804929877</c:v>
                </c:pt>
                <c:pt idx="2306">
                  <c:v>107.110072248194</c:v>
                </c:pt>
                <c:pt idx="2307">
                  <c:v>107.207819804505</c:v>
                </c:pt>
                <c:pt idx="2308">
                  <c:v>107.505312367191</c:v>
                </c:pt>
                <c:pt idx="2309">
                  <c:v>107.484062898428</c:v>
                </c:pt>
                <c:pt idx="2310">
                  <c:v>108.057798555036</c:v>
                </c:pt>
                <c:pt idx="2311">
                  <c:v>108.151296217595</c:v>
                </c:pt>
                <c:pt idx="2312">
                  <c:v>107.47131321717</c:v>
                </c:pt>
                <c:pt idx="2313">
                  <c:v>107.156821079473</c:v>
                </c:pt>
                <c:pt idx="2314">
                  <c:v>108.64003399915</c:v>
                </c:pt>
                <c:pt idx="2315">
                  <c:v>108.941776455589</c:v>
                </c:pt>
                <c:pt idx="2316">
                  <c:v>111.347216319592</c:v>
                </c:pt>
                <c:pt idx="2317">
                  <c:v>110.883977900552</c:v>
                </c:pt>
                <c:pt idx="2318">
                  <c:v>110.803229919252</c:v>
                </c:pt>
                <c:pt idx="2319">
                  <c:v>111.189970250744</c:v>
                </c:pt>
                <c:pt idx="2320">
                  <c:v>111.347216319592</c:v>
                </c:pt>
                <c:pt idx="2321">
                  <c:v>111.113472163196</c:v>
                </c:pt>
                <c:pt idx="2322">
                  <c:v>111.585210369741</c:v>
                </c:pt>
                <c:pt idx="2323">
                  <c:v>111.317467063323</c:v>
                </c:pt>
                <c:pt idx="2324">
                  <c:v>111.597960050999</c:v>
                </c:pt>
                <c:pt idx="2325">
                  <c:v>111.389715257119</c:v>
                </c:pt>
                <c:pt idx="2326">
                  <c:v>111.334466638334</c:v>
                </c:pt>
                <c:pt idx="2327">
                  <c:v>111.181470463238</c:v>
                </c:pt>
                <c:pt idx="2328">
                  <c:v>111.304717382065</c:v>
                </c:pt>
                <c:pt idx="2329">
                  <c:v>111.555461113472</c:v>
                </c:pt>
                <c:pt idx="2330">
                  <c:v>110.369740756481</c:v>
                </c:pt>
                <c:pt idx="2331">
                  <c:v>110.501487462813</c:v>
                </c:pt>
                <c:pt idx="2332">
                  <c:v>110.501487462813</c:v>
                </c:pt>
                <c:pt idx="2333">
                  <c:v>110.650233744156</c:v>
                </c:pt>
                <c:pt idx="2334">
                  <c:v>111.7594560136</c:v>
                </c:pt>
                <c:pt idx="2335">
                  <c:v>111.823204419889</c:v>
                </c:pt>
                <c:pt idx="2336">
                  <c:v>111.338716532087</c:v>
                </c:pt>
                <c:pt idx="2337">
                  <c:v>111.857203569911</c:v>
                </c:pt>
                <c:pt idx="2338">
                  <c:v>112.086697832554</c:v>
                </c:pt>
                <c:pt idx="2339">
                  <c:v>112.082447938802</c:v>
                </c:pt>
                <c:pt idx="2340">
                  <c:v>113.960900977476</c:v>
                </c:pt>
                <c:pt idx="2341">
                  <c:v>114.725881852954</c:v>
                </c:pt>
                <c:pt idx="2342">
                  <c:v>113.858903527412</c:v>
                </c:pt>
                <c:pt idx="2343">
                  <c:v>113.110922226944</c:v>
                </c:pt>
                <c:pt idx="2344">
                  <c:v>113.629409264768</c:v>
                </c:pt>
                <c:pt idx="2345">
                  <c:v>113.506162345941</c:v>
                </c:pt>
                <c:pt idx="2346">
                  <c:v>113.769655758606</c:v>
                </c:pt>
                <c:pt idx="2347">
                  <c:v>113.268168295793</c:v>
                </c:pt>
                <c:pt idx="2348">
                  <c:v>113.523161920952</c:v>
                </c:pt>
                <c:pt idx="2349">
                  <c:v>113.5996600085</c:v>
                </c:pt>
                <c:pt idx="2350">
                  <c:v>113.960900977476</c:v>
                </c:pt>
                <c:pt idx="2351">
                  <c:v>114.951126221844</c:v>
                </c:pt>
                <c:pt idx="2352">
                  <c:v>114.951126221844</c:v>
                </c:pt>
                <c:pt idx="2353">
                  <c:v>114.951126221844</c:v>
                </c:pt>
                <c:pt idx="2354">
                  <c:v>113.93540161496</c:v>
                </c:pt>
                <c:pt idx="2355">
                  <c:v>114.5601359966</c:v>
                </c:pt>
                <c:pt idx="2356">
                  <c:v>114.105397365066</c:v>
                </c:pt>
                <c:pt idx="2357">
                  <c:v>114.258393540162</c:v>
                </c:pt>
                <c:pt idx="2358">
                  <c:v>114.530386740331</c:v>
                </c:pt>
                <c:pt idx="2359">
                  <c:v>114.309392265193</c:v>
                </c:pt>
                <c:pt idx="2360">
                  <c:v>113.778155546111</c:v>
                </c:pt>
                <c:pt idx="2361">
                  <c:v>113.765405864853</c:v>
                </c:pt>
                <c:pt idx="2362">
                  <c:v>114.177645558861</c:v>
                </c:pt>
                <c:pt idx="2363">
                  <c:v>114.241393965151</c:v>
                </c:pt>
                <c:pt idx="2364">
                  <c:v>113.854653633659</c:v>
                </c:pt>
                <c:pt idx="2365">
                  <c:v>114.241393965151</c:v>
                </c:pt>
                <c:pt idx="2366">
                  <c:v>114.292392690183</c:v>
                </c:pt>
                <c:pt idx="2367">
                  <c:v>114.254143646409</c:v>
                </c:pt>
                <c:pt idx="2368">
                  <c:v>114.632384190395</c:v>
                </c:pt>
                <c:pt idx="2369">
                  <c:v>115.643858903527</c:v>
                </c:pt>
                <c:pt idx="2370">
                  <c:v>115.958351041224</c:v>
                </c:pt>
                <c:pt idx="2371">
                  <c:v>115.975350616235</c:v>
                </c:pt>
                <c:pt idx="2372">
                  <c:v>114.908627284318</c:v>
                </c:pt>
                <c:pt idx="2373">
                  <c:v>114.309392265193</c:v>
                </c:pt>
                <c:pt idx="2374">
                  <c:v>114.772630684233</c:v>
                </c:pt>
                <c:pt idx="2375">
                  <c:v>114.772630684233</c:v>
                </c:pt>
                <c:pt idx="2376">
                  <c:v>115.873353166171</c:v>
                </c:pt>
                <c:pt idx="2377">
                  <c:v>114.649383765406</c:v>
                </c:pt>
                <c:pt idx="2378">
                  <c:v>114.921376965576</c:v>
                </c:pt>
                <c:pt idx="2379">
                  <c:v>115.541861453464</c:v>
                </c:pt>
                <c:pt idx="2380">
                  <c:v>115.720356991075</c:v>
                </c:pt>
                <c:pt idx="2381">
                  <c:v>115.435614109647</c:v>
                </c:pt>
                <c:pt idx="2382">
                  <c:v>115.720356991075</c:v>
                </c:pt>
                <c:pt idx="2383">
                  <c:v>117.046323841904</c:v>
                </c:pt>
                <c:pt idx="2384">
                  <c:v>118.100297492563</c:v>
                </c:pt>
                <c:pt idx="2385">
                  <c:v>118.100297492563</c:v>
                </c:pt>
                <c:pt idx="2386">
                  <c:v>119.043773905652</c:v>
                </c:pt>
                <c:pt idx="2387">
                  <c:v>119.787505312367</c:v>
                </c:pt>
                <c:pt idx="2388">
                  <c:v>119.315767105822</c:v>
                </c:pt>
                <c:pt idx="2389">
                  <c:v>120.628984275393</c:v>
                </c:pt>
                <c:pt idx="2390">
                  <c:v>120.114747131322</c:v>
                </c:pt>
                <c:pt idx="2391">
                  <c:v>120.19124521887</c:v>
                </c:pt>
                <c:pt idx="2392">
                  <c:v>119.978750531237</c:v>
                </c:pt>
                <c:pt idx="2393">
                  <c:v>119.150021249469</c:v>
                </c:pt>
                <c:pt idx="2394">
                  <c:v>119.528261793455</c:v>
                </c:pt>
                <c:pt idx="2395">
                  <c:v>119.787505312367</c:v>
                </c:pt>
                <c:pt idx="2396">
                  <c:v>119.702507437314</c:v>
                </c:pt>
                <c:pt idx="2397">
                  <c:v>119.269018274543</c:v>
                </c:pt>
                <c:pt idx="2398">
                  <c:v>119.677008074798</c:v>
                </c:pt>
                <c:pt idx="2399">
                  <c:v>119.388015299618</c:v>
                </c:pt>
                <c:pt idx="2400">
                  <c:v>119.31151721207</c:v>
                </c:pt>
                <c:pt idx="2401">
                  <c:v>118.771780705482</c:v>
                </c:pt>
                <c:pt idx="2402">
                  <c:v>118.57628559286</c:v>
                </c:pt>
                <c:pt idx="2403">
                  <c:v>117.811304717382</c:v>
                </c:pt>
                <c:pt idx="2404">
                  <c:v>117.080322991925</c:v>
                </c:pt>
                <c:pt idx="2405">
                  <c:v>117.386315342116</c:v>
                </c:pt>
                <c:pt idx="2406">
                  <c:v>118.623034424139</c:v>
                </c:pt>
                <c:pt idx="2407">
                  <c:v>117.853803654909</c:v>
                </c:pt>
                <c:pt idx="2408">
                  <c:v>118.189545261369</c:v>
                </c:pt>
                <c:pt idx="2409">
                  <c:v>118.244793880153</c:v>
                </c:pt>
                <c:pt idx="2410">
                  <c:v>117.505312367191</c:v>
                </c:pt>
                <c:pt idx="2411">
                  <c:v>118.045048873778</c:v>
                </c:pt>
                <c:pt idx="2412">
                  <c:v>119.018274543136</c:v>
                </c:pt>
                <c:pt idx="2413">
                  <c:v>119.830004249894</c:v>
                </c:pt>
                <c:pt idx="2414">
                  <c:v>121.29621759456</c:v>
                </c:pt>
                <c:pt idx="2415">
                  <c:v>121.878453038674</c:v>
                </c:pt>
                <c:pt idx="2416">
                  <c:v>122.116447088823</c:v>
                </c:pt>
                <c:pt idx="2417">
                  <c:v>122.061198470038</c:v>
                </c:pt>
                <c:pt idx="2418">
                  <c:v>122.061198470038</c:v>
                </c:pt>
                <c:pt idx="2419">
                  <c:v>123.098172545686</c:v>
                </c:pt>
                <c:pt idx="2420">
                  <c:v>123.098172545686</c:v>
                </c:pt>
                <c:pt idx="2421">
                  <c:v>124.296642583935</c:v>
                </c:pt>
                <c:pt idx="2422">
                  <c:v>124.296642583935</c:v>
                </c:pt>
                <c:pt idx="2423">
                  <c:v>127.437314067148</c:v>
                </c:pt>
                <c:pt idx="2424">
                  <c:v>127.437314067148</c:v>
                </c:pt>
                <c:pt idx="2425">
                  <c:v>125.877603059924</c:v>
                </c:pt>
                <c:pt idx="2426">
                  <c:v>127.390565235869</c:v>
                </c:pt>
                <c:pt idx="2427">
                  <c:v>126.753081172971</c:v>
                </c:pt>
                <c:pt idx="2428">
                  <c:v>127.016574585635</c:v>
                </c:pt>
                <c:pt idx="2429">
                  <c:v>127.356566085848</c:v>
                </c:pt>
                <c:pt idx="2430">
                  <c:v>127.21631959201</c:v>
                </c:pt>
                <c:pt idx="2431">
                  <c:v>126.846578835529</c:v>
                </c:pt>
                <c:pt idx="2432">
                  <c:v>126.680832979176</c:v>
                </c:pt>
                <c:pt idx="2433">
                  <c:v>127.764555886103</c:v>
                </c:pt>
                <c:pt idx="2434">
                  <c:v>128.074798130047</c:v>
                </c:pt>
                <c:pt idx="2435">
                  <c:v>128.22354441139</c:v>
                </c:pt>
                <c:pt idx="2436">
                  <c:v>129.715257118572</c:v>
                </c:pt>
                <c:pt idx="2437">
                  <c:v>130.454738631534</c:v>
                </c:pt>
                <c:pt idx="2438">
                  <c:v>130.267743306417</c:v>
                </c:pt>
                <c:pt idx="2439">
                  <c:v>129.447513812155</c:v>
                </c:pt>
                <c:pt idx="2440">
                  <c:v>129.481512962176</c:v>
                </c:pt>
                <c:pt idx="2441">
                  <c:v>129.209519762006</c:v>
                </c:pt>
                <c:pt idx="2442">
                  <c:v>130.824479388015</c:v>
                </c:pt>
                <c:pt idx="2443">
                  <c:v>130.611984700382</c:v>
                </c:pt>
                <c:pt idx="2444">
                  <c:v>130.611984700382</c:v>
                </c:pt>
                <c:pt idx="2445">
                  <c:v>129.910752231194</c:v>
                </c:pt>
                <c:pt idx="2446">
                  <c:v>130.152996175096</c:v>
                </c:pt>
                <c:pt idx="2447">
                  <c:v>131.483212919677</c:v>
                </c:pt>
                <c:pt idx="2448">
                  <c:v>130.148746281343</c:v>
                </c:pt>
                <c:pt idx="2449">
                  <c:v>130.905227369316</c:v>
                </c:pt>
                <c:pt idx="2450">
                  <c:v>130.875478113047</c:v>
                </c:pt>
                <c:pt idx="2451">
                  <c:v>130.339991500212</c:v>
                </c:pt>
                <c:pt idx="2452">
                  <c:v>130.382490437739</c:v>
                </c:pt>
                <c:pt idx="2453">
                  <c:v>131.155971100722</c:v>
                </c:pt>
                <c:pt idx="2454">
                  <c:v>131.453463663408</c:v>
                </c:pt>
                <c:pt idx="2455">
                  <c:v>130.692732681683</c:v>
                </c:pt>
                <c:pt idx="2456">
                  <c:v>131.521461963451</c:v>
                </c:pt>
                <c:pt idx="2457">
                  <c:v>131.857203569911</c:v>
                </c:pt>
                <c:pt idx="2458">
                  <c:v>132.549936251594</c:v>
                </c:pt>
                <c:pt idx="2459">
                  <c:v>132.647683807905</c:v>
                </c:pt>
                <c:pt idx="2460">
                  <c:v>132.103697407565</c:v>
                </c:pt>
                <c:pt idx="2461">
                  <c:v>132.834679133022</c:v>
                </c:pt>
                <c:pt idx="2462">
                  <c:v>132.494687632809</c:v>
                </c:pt>
                <c:pt idx="2463">
                  <c:v>132.762430939227</c:v>
                </c:pt>
                <c:pt idx="2464">
                  <c:v>131.942201444964</c:v>
                </c:pt>
                <c:pt idx="2465">
                  <c:v>132.498937526562</c:v>
                </c:pt>
                <c:pt idx="2466">
                  <c:v>132.545686357841</c:v>
                </c:pt>
                <c:pt idx="2467">
                  <c:v>132.027199320017</c:v>
                </c:pt>
                <c:pt idx="2468">
                  <c:v>132.367190820229</c:v>
                </c:pt>
                <c:pt idx="2469">
                  <c:v>133.272418189545</c:v>
                </c:pt>
                <c:pt idx="2470">
                  <c:v>133.268168295793</c:v>
                </c:pt>
                <c:pt idx="2471">
                  <c:v>134.445388865278</c:v>
                </c:pt>
                <c:pt idx="2472">
                  <c:v>134.870378240544</c:v>
                </c:pt>
                <c:pt idx="2473">
                  <c:v>135.367615809605</c:v>
                </c:pt>
                <c:pt idx="2474">
                  <c:v>135.422864428389</c:v>
                </c:pt>
                <c:pt idx="2475">
                  <c:v>135.533361665958</c:v>
                </c:pt>
                <c:pt idx="2476">
                  <c:v>136.25584360391</c:v>
                </c:pt>
                <c:pt idx="2477">
                  <c:v>136.757331066723</c:v>
                </c:pt>
                <c:pt idx="2478">
                  <c:v>136.850828729282</c:v>
                </c:pt>
                <c:pt idx="2479">
                  <c:v>136.060348491288</c:v>
                </c:pt>
                <c:pt idx="2480">
                  <c:v>135.767105822354</c:v>
                </c:pt>
                <c:pt idx="2481">
                  <c:v>136.213344666383</c:v>
                </c:pt>
                <c:pt idx="2482">
                  <c:v>133.501912452189</c:v>
                </c:pt>
                <c:pt idx="2483">
                  <c:v>133.701657458564</c:v>
                </c:pt>
                <c:pt idx="2484">
                  <c:v>134.738631534212</c:v>
                </c:pt>
                <c:pt idx="2485">
                  <c:v>135.014874628134</c:v>
                </c:pt>
                <c:pt idx="2486">
                  <c:v>132.7199320017</c:v>
                </c:pt>
                <c:pt idx="2487">
                  <c:v>133.217169570761</c:v>
                </c:pt>
                <c:pt idx="2488">
                  <c:v>133.429664258394</c:v>
                </c:pt>
                <c:pt idx="2489">
                  <c:v>133.191670208245</c:v>
                </c:pt>
                <c:pt idx="2490">
                  <c:v>131.542711432214</c:v>
                </c:pt>
                <c:pt idx="2491">
                  <c:v>131.053973650659</c:v>
                </c:pt>
                <c:pt idx="2492">
                  <c:v>128.652783680408</c:v>
                </c:pt>
                <c:pt idx="2493">
                  <c:v>129.592010199745</c:v>
                </c:pt>
                <c:pt idx="2494">
                  <c:v>129.592010199745</c:v>
                </c:pt>
                <c:pt idx="2495">
                  <c:v>130.539736506587</c:v>
                </c:pt>
                <c:pt idx="2496">
                  <c:v>131.330216744581</c:v>
                </c:pt>
                <c:pt idx="2497">
                  <c:v>131.062473438164</c:v>
                </c:pt>
                <c:pt idx="2498">
                  <c:v>130.956226094348</c:v>
                </c:pt>
                <c:pt idx="2499">
                  <c:v>131.466213344666</c:v>
                </c:pt>
                <c:pt idx="2500">
                  <c:v>131.623459413515</c:v>
                </c:pt>
                <c:pt idx="2501">
                  <c:v>132.056948576286</c:v>
                </c:pt>
                <c:pt idx="2502">
                  <c:v>132.260943476413</c:v>
                </c:pt>
                <c:pt idx="2503">
                  <c:v>131.546961325967</c:v>
                </c:pt>
                <c:pt idx="2504">
                  <c:v>131.16872078198</c:v>
                </c:pt>
                <c:pt idx="2505">
                  <c:v>131.597960050999</c:v>
                </c:pt>
                <c:pt idx="2506">
                  <c:v>131.015724606885</c:v>
                </c:pt>
                <c:pt idx="2507">
                  <c:v>130.803229919252</c:v>
                </c:pt>
                <c:pt idx="2508">
                  <c:v>129.277518062048</c:v>
                </c:pt>
                <c:pt idx="2509">
                  <c:v>129.222269443264</c:v>
                </c:pt>
                <c:pt idx="2510">
                  <c:v>128.84827879303</c:v>
                </c:pt>
                <c:pt idx="2511">
                  <c:v>130.458988525287</c:v>
                </c:pt>
                <c:pt idx="2512">
                  <c:v>130.654483637909</c:v>
                </c:pt>
                <c:pt idx="2513">
                  <c:v>131.674458138547</c:v>
                </c:pt>
                <c:pt idx="2514">
                  <c:v>131.925201869953</c:v>
                </c:pt>
                <c:pt idx="2515">
                  <c:v>131.746706332342</c:v>
                </c:pt>
                <c:pt idx="2516">
                  <c:v>132.817679558011</c:v>
                </c:pt>
                <c:pt idx="2517">
                  <c:v>133.314917127072</c:v>
                </c:pt>
                <c:pt idx="2518">
                  <c:v>135.541861453464</c:v>
                </c:pt>
                <c:pt idx="2519">
                  <c:v>135.363365915852</c:v>
                </c:pt>
                <c:pt idx="2520">
                  <c:v>135.350616234594</c:v>
                </c:pt>
                <c:pt idx="2521">
                  <c:v>135.252868678283</c:v>
                </c:pt>
                <c:pt idx="2522">
                  <c:v>134.598385040374</c:v>
                </c:pt>
                <c:pt idx="2523">
                  <c:v>134.466638334042</c:v>
                </c:pt>
                <c:pt idx="2524">
                  <c:v>133.569910752231</c:v>
                </c:pt>
                <c:pt idx="2525">
                  <c:v>133.370165745856</c:v>
                </c:pt>
                <c:pt idx="2526">
                  <c:v>133.382915427114</c:v>
                </c:pt>
                <c:pt idx="2527">
                  <c:v>134.411389715257</c:v>
                </c:pt>
                <c:pt idx="2528">
                  <c:v>134.411389715257</c:v>
                </c:pt>
                <c:pt idx="2529">
                  <c:v>134.411389715257</c:v>
                </c:pt>
                <c:pt idx="2530">
                  <c:v>134.411389715257</c:v>
                </c:pt>
                <c:pt idx="2531">
                  <c:v>134.411389715257</c:v>
                </c:pt>
                <c:pt idx="2532">
                  <c:v>134.411389715257</c:v>
                </c:pt>
                <c:pt idx="2533">
                  <c:v>134.411389715257</c:v>
                </c:pt>
                <c:pt idx="2534">
                  <c:v>137.054823629409</c:v>
                </c:pt>
                <c:pt idx="2535">
                  <c:v>138.597535061623</c:v>
                </c:pt>
                <c:pt idx="2536">
                  <c:v>139.443263918402</c:v>
                </c:pt>
                <c:pt idx="2537">
                  <c:v>139.1202719932</c:v>
                </c:pt>
                <c:pt idx="2538">
                  <c:v>139.320016999575</c:v>
                </c:pt>
                <c:pt idx="2539">
                  <c:v>139.613259668508</c:v>
                </c:pt>
                <c:pt idx="2540">
                  <c:v>139.566510837229</c:v>
                </c:pt>
                <c:pt idx="2541">
                  <c:v>138.746281342966</c:v>
                </c:pt>
                <c:pt idx="2542">
                  <c:v>139.774755631109</c:v>
                </c:pt>
                <c:pt idx="2543">
                  <c:v>140.012749681258</c:v>
                </c:pt>
                <c:pt idx="2544">
                  <c:v>139.804504887378</c:v>
                </c:pt>
                <c:pt idx="2545">
                  <c:v>139.953251168721</c:v>
                </c:pt>
                <c:pt idx="2546">
                  <c:v>138.967275818105</c:v>
                </c:pt>
                <c:pt idx="2547">
                  <c:v>139.9192520187</c:v>
                </c:pt>
                <c:pt idx="2548">
                  <c:v>140.407989800255</c:v>
                </c:pt>
                <c:pt idx="2549">
                  <c:v>141.763705907352</c:v>
                </c:pt>
                <c:pt idx="2550">
                  <c:v>143.969400764981</c:v>
                </c:pt>
                <c:pt idx="2551">
                  <c:v>143.446663833404</c:v>
                </c:pt>
                <c:pt idx="2552">
                  <c:v>143.999150021249</c:v>
                </c:pt>
                <c:pt idx="2553">
                  <c:v>143.39141521462</c:v>
                </c:pt>
                <c:pt idx="2554">
                  <c:v>143.11942201445</c:v>
                </c:pt>
                <c:pt idx="2555">
                  <c:v>143.561410964726</c:v>
                </c:pt>
                <c:pt idx="2556">
                  <c:v>143.280917977051</c:v>
                </c:pt>
                <c:pt idx="2557">
                  <c:v>142.779430514237</c:v>
                </c:pt>
                <c:pt idx="2558">
                  <c:v>142.086697832554</c:v>
                </c:pt>
                <c:pt idx="2559">
                  <c:v>141.784955376116</c:v>
                </c:pt>
                <c:pt idx="2560">
                  <c:v>141.16872078198</c:v>
                </c:pt>
                <c:pt idx="2561">
                  <c:v>142.099447513812</c:v>
                </c:pt>
                <c:pt idx="2562">
                  <c:v>142.022949426264</c:v>
                </c:pt>
                <c:pt idx="2563">
                  <c:v>141.48746281343</c:v>
                </c:pt>
                <c:pt idx="2564">
                  <c:v>141.738206544836</c:v>
                </c:pt>
                <c:pt idx="2565">
                  <c:v>142.579685507862</c:v>
                </c:pt>
                <c:pt idx="2566">
                  <c:v>142.163195920102</c:v>
                </c:pt>
                <c:pt idx="2567">
                  <c:v>142.558436039099</c:v>
                </c:pt>
                <c:pt idx="2568">
                  <c:v>140.046748831279</c:v>
                </c:pt>
                <c:pt idx="2569">
                  <c:v>140.667233319167</c:v>
                </c:pt>
                <c:pt idx="2570">
                  <c:v>140.535486612835</c:v>
                </c:pt>
                <c:pt idx="2571">
                  <c:v>138.227794305142</c:v>
                </c:pt>
                <c:pt idx="2572">
                  <c:v>138.028049298768</c:v>
                </c:pt>
                <c:pt idx="2573">
                  <c:v>139.723756906077</c:v>
                </c:pt>
                <c:pt idx="2574">
                  <c:v>140.0807479813</c:v>
                </c:pt>
                <c:pt idx="2575">
                  <c:v>137.917552061198</c:v>
                </c:pt>
                <c:pt idx="2576">
                  <c:v>137.522311942201</c:v>
                </c:pt>
                <c:pt idx="2577">
                  <c:v>137.985550361241</c:v>
                </c:pt>
                <c:pt idx="2578">
                  <c:v>138.1597960051</c:v>
                </c:pt>
                <c:pt idx="2579">
                  <c:v>137.726306842329</c:v>
                </c:pt>
                <c:pt idx="2580">
                  <c:v>138.623034424139</c:v>
                </c:pt>
                <c:pt idx="2581">
                  <c:v>138.011049723757</c:v>
                </c:pt>
                <c:pt idx="2582">
                  <c:v>138.644283892903</c:v>
                </c:pt>
                <c:pt idx="2583">
                  <c:v>138.801529961751</c:v>
                </c:pt>
                <c:pt idx="2584">
                  <c:v>138.869528261793</c:v>
                </c:pt>
                <c:pt idx="2585">
                  <c:v>138.457288567786</c:v>
                </c:pt>
                <c:pt idx="2586">
                  <c:v>135.877603059924</c:v>
                </c:pt>
                <c:pt idx="2587">
                  <c:v>136.510837229069</c:v>
                </c:pt>
                <c:pt idx="2588">
                  <c:v>135.524861878453</c:v>
                </c:pt>
                <c:pt idx="2589">
                  <c:v>136.102847428814</c:v>
                </c:pt>
                <c:pt idx="2590">
                  <c:v>138.011049723757</c:v>
                </c:pt>
                <c:pt idx="2591">
                  <c:v>138.011049723757</c:v>
                </c:pt>
              </c:numCache>
            </c:numRef>
          </c:yVal>
          <c:smooth val="0"/>
        </c:ser>
        <c:axId val="73761856"/>
        <c:axId val="37403180"/>
      </c:scatterChart>
      <c:valAx>
        <c:axId val="7376185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403180"/>
        <c:crosses val="autoZero"/>
        <c:crossBetween val="between"/>
      </c:valAx>
      <c:valAx>
        <c:axId val="374031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7618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'일자별 시가총액'!$H$1</c:f>
              <c:strCache>
                <c:ptCount val="1"/>
                <c:pt idx="0">
                  <c:v>지수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2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'일자별 시가총액'!$A$1:$A$366</c:f>
              <c:strCache>
                <c:ptCount val="366"/>
                <c:pt idx="0">
                  <c:v>일자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strCache>
            </c:strRef>
          </c:cat>
          <c:val>
            <c:numRef>
              <c:f>'일자별 시가총액'!$H$2:$H$366</c:f>
              <c:numCache>
                <c:formatCode>General</c:formatCode>
                <c:ptCount val="365"/>
                <c:pt idx="0">
                  <c:v>100</c:v>
                </c:pt>
                <c:pt idx="1">
                  <c:v>99.5561052631579</c:v>
                </c:pt>
                <c:pt idx="2">
                  <c:v>98.8787894736842</c:v>
                </c:pt>
                <c:pt idx="3">
                  <c:v>100.988421052632</c:v>
                </c:pt>
                <c:pt idx="4">
                  <c:v>100.041473684211</c:v>
                </c:pt>
                <c:pt idx="5">
                  <c:v>100.730526315789</c:v>
                </c:pt>
                <c:pt idx="6">
                  <c:v>101.262105263158</c:v>
                </c:pt>
                <c:pt idx="7">
                  <c:v>101.855894736842</c:v>
                </c:pt>
                <c:pt idx="8">
                  <c:v>102.081210526316</c:v>
                </c:pt>
                <c:pt idx="9">
                  <c:v>102.810315789474</c:v>
                </c:pt>
                <c:pt idx="10">
                  <c:v>103.780578947368</c:v>
                </c:pt>
                <c:pt idx="11">
                  <c:v>102.849947368421</c:v>
                </c:pt>
                <c:pt idx="12">
                  <c:v>104.594421052632</c:v>
                </c:pt>
                <c:pt idx="13">
                  <c:v>106.794578947368</c:v>
                </c:pt>
                <c:pt idx="14">
                  <c:v>105.745052631579</c:v>
                </c:pt>
                <c:pt idx="15">
                  <c:v>105.872368421053</c:v>
                </c:pt>
                <c:pt idx="16">
                  <c:v>106.016947368421</c:v>
                </c:pt>
                <c:pt idx="17">
                  <c:v>108.207842105263</c:v>
                </c:pt>
                <c:pt idx="18">
                  <c:v>107.890947368421</c:v>
                </c:pt>
                <c:pt idx="19">
                  <c:v>108.358631578947</c:v>
                </c:pt>
                <c:pt idx="20">
                  <c:v>107.658578947368</c:v>
                </c:pt>
                <c:pt idx="21">
                  <c:v>108.745</c:v>
                </c:pt>
                <c:pt idx="22">
                  <c:v>107.893842105263</c:v>
                </c:pt>
                <c:pt idx="23">
                  <c:v>110.238263157895</c:v>
                </c:pt>
                <c:pt idx="24">
                  <c:v>108.682789473684</c:v>
                </c:pt>
                <c:pt idx="25">
                  <c:v>107.824684210526</c:v>
                </c:pt>
                <c:pt idx="26">
                  <c:v>107.879894736842</c:v>
                </c:pt>
                <c:pt idx="27">
                  <c:v>107.118526315789</c:v>
                </c:pt>
                <c:pt idx="28">
                  <c:v>107.943789473684</c:v>
                </c:pt>
                <c:pt idx="29">
                  <c:v>109.479736842105</c:v>
                </c:pt>
                <c:pt idx="30">
                  <c:v>112.086157894737</c:v>
                </c:pt>
                <c:pt idx="31">
                  <c:v>110.583578947368</c:v>
                </c:pt>
                <c:pt idx="32">
                  <c:v>108.899368421053</c:v>
                </c:pt>
                <c:pt idx="33">
                  <c:v>108.961368421053</c:v>
                </c:pt>
                <c:pt idx="34">
                  <c:v>108.984263157895</c:v>
                </c:pt>
                <c:pt idx="35">
                  <c:v>110.679</c:v>
                </c:pt>
                <c:pt idx="36">
                  <c:v>111.744578947368</c:v>
                </c:pt>
                <c:pt idx="37">
                  <c:v>110.484842105263</c:v>
                </c:pt>
                <c:pt idx="38">
                  <c:v>112.300157894737</c:v>
                </c:pt>
                <c:pt idx="39">
                  <c:v>112.911368421053</c:v>
                </c:pt>
                <c:pt idx="40">
                  <c:v>113.619789473684</c:v>
                </c:pt>
                <c:pt idx="41">
                  <c:v>114.37</c:v>
                </c:pt>
                <c:pt idx="42">
                  <c:v>115.086</c:v>
                </c:pt>
                <c:pt idx="43">
                  <c:v>116.596578947368</c:v>
                </c:pt>
                <c:pt idx="44">
                  <c:v>116.166947368421</c:v>
                </c:pt>
                <c:pt idx="45">
                  <c:v>115.954157894737</c:v>
                </c:pt>
                <c:pt idx="46">
                  <c:v>118.518263157895</c:v>
                </c:pt>
                <c:pt idx="47">
                  <c:v>119.613894736842</c:v>
                </c:pt>
                <c:pt idx="48">
                  <c:v>121.087789473684</c:v>
                </c:pt>
                <c:pt idx="49">
                  <c:v>120.891578947368</c:v>
                </c:pt>
                <c:pt idx="50">
                  <c:v>122.585578947368</c:v>
                </c:pt>
                <c:pt idx="51">
                  <c:v>123.570578947368</c:v>
                </c:pt>
                <c:pt idx="52">
                  <c:v>125.982736842105</c:v>
                </c:pt>
                <c:pt idx="53">
                  <c:v>125.735526315789</c:v>
                </c:pt>
                <c:pt idx="54">
                  <c:v>126.470473684211</c:v>
                </c:pt>
                <c:pt idx="55">
                  <c:v>128.060105263158</c:v>
                </c:pt>
                <c:pt idx="56">
                  <c:v>128.097368421053</c:v>
                </c:pt>
                <c:pt idx="57">
                  <c:v>126.143736842105</c:v>
                </c:pt>
                <c:pt idx="58">
                  <c:v>124.200842105263</c:v>
                </c:pt>
                <c:pt idx="59">
                  <c:v>124.537631578947</c:v>
                </c:pt>
                <c:pt idx="60">
                  <c:v>125.426105263158</c:v>
                </c:pt>
                <c:pt idx="61">
                  <c:v>124.113</c:v>
                </c:pt>
                <c:pt idx="62">
                  <c:v>126.626526315789</c:v>
                </c:pt>
                <c:pt idx="63">
                  <c:v>125.949894736842</c:v>
                </c:pt>
                <c:pt idx="64">
                  <c:v>123.799210526316</c:v>
                </c:pt>
                <c:pt idx="65">
                  <c:v>125.151684210526</c:v>
                </c:pt>
                <c:pt idx="66">
                  <c:v>125.870368421053</c:v>
                </c:pt>
                <c:pt idx="67">
                  <c:v>124.911684210526</c:v>
                </c:pt>
                <c:pt idx="68">
                  <c:v>125.017421052632</c:v>
                </c:pt>
                <c:pt idx="69">
                  <c:v>126.460157894737</c:v>
                </c:pt>
                <c:pt idx="70">
                  <c:v>128.803157894737</c:v>
                </c:pt>
                <c:pt idx="71">
                  <c:v>128.256842105263</c:v>
                </c:pt>
                <c:pt idx="72">
                  <c:v>127.339684210526</c:v>
                </c:pt>
                <c:pt idx="73">
                  <c:v>126.940315789474</c:v>
                </c:pt>
                <c:pt idx="74">
                  <c:v>126.397789473684</c:v>
                </c:pt>
                <c:pt idx="75">
                  <c:v>128.202473684211</c:v>
                </c:pt>
                <c:pt idx="76">
                  <c:v>127.082</c:v>
                </c:pt>
                <c:pt idx="77">
                  <c:v>125.862421052632</c:v>
                </c:pt>
                <c:pt idx="78">
                  <c:v>126.998578947368</c:v>
                </c:pt>
                <c:pt idx="79">
                  <c:v>130.135947368421</c:v>
                </c:pt>
                <c:pt idx="80">
                  <c:v>133.598894736842</c:v>
                </c:pt>
                <c:pt idx="81">
                  <c:v>134.674052631579</c:v>
                </c:pt>
                <c:pt idx="82">
                  <c:v>136.811315789474</c:v>
                </c:pt>
                <c:pt idx="83">
                  <c:v>140.023</c:v>
                </c:pt>
                <c:pt idx="84">
                  <c:v>140.419842105263</c:v>
                </c:pt>
                <c:pt idx="85">
                  <c:v>138.411</c:v>
                </c:pt>
                <c:pt idx="86">
                  <c:v>140.389368421053</c:v>
                </c:pt>
                <c:pt idx="87">
                  <c:v>143.543210526316</c:v>
                </c:pt>
                <c:pt idx="88">
                  <c:v>140.713526315789</c:v>
                </c:pt>
                <c:pt idx="89">
                  <c:v>140.630684210526</c:v>
                </c:pt>
                <c:pt idx="90">
                  <c:v>141.032157894737</c:v>
                </c:pt>
                <c:pt idx="91">
                  <c:v>142.187315789474</c:v>
                </c:pt>
                <c:pt idx="92">
                  <c:v>140.691105263158</c:v>
                </c:pt>
                <c:pt idx="93">
                  <c:v>140.199894736842</c:v>
                </c:pt>
                <c:pt idx="94">
                  <c:v>140.839526315789</c:v>
                </c:pt>
                <c:pt idx="95">
                  <c:v>138.845526315789</c:v>
                </c:pt>
                <c:pt idx="96">
                  <c:v>138.511526315789</c:v>
                </c:pt>
                <c:pt idx="97">
                  <c:v>137.270315789474</c:v>
                </c:pt>
                <c:pt idx="98">
                  <c:v>136.022578947368</c:v>
                </c:pt>
                <c:pt idx="99">
                  <c:v>135.743631578947</c:v>
                </c:pt>
                <c:pt idx="100">
                  <c:v>135.366421052632</c:v>
                </c:pt>
                <c:pt idx="101">
                  <c:v>134.958</c:v>
                </c:pt>
                <c:pt idx="102">
                  <c:v>135.622315789474</c:v>
                </c:pt>
                <c:pt idx="103">
                  <c:v>134.221947368421</c:v>
                </c:pt>
                <c:pt idx="104">
                  <c:v>135.132736842105</c:v>
                </c:pt>
                <c:pt idx="105">
                  <c:v>136.388789473684</c:v>
                </c:pt>
                <c:pt idx="106">
                  <c:v>136.986210526316</c:v>
                </c:pt>
                <c:pt idx="107">
                  <c:v>136.750157894737</c:v>
                </c:pt>
                <c:pt idx="108">
                  <c:v>137.486421052632</c:v>
                </c:pt>
                <c:pt idx="109">
                  <c:v>139.054368421053</c:v>
                </c:pt>
                <c:pt idx="110">
                  <c:v>141.001789473684</c:v>
                </c:pt>
                <c:pt idx="111">
                  <c:v>143.154526315789</c:v>
                </c:pt>
                <c:pt idx="112">
                  <c:v>143.702368421053</c:v>
                </c:pt>
                <c:pt idx="113">
                  <c:v>144.612789473684</c:v>
                </c:pt>
                <c:pt idx="114">
                  <c:v>146.816210526316</c:v>
                </c:pt>
                <c:pt idx="115">
                  <c:v>147.493631578947</c:v>
                </c:pt>
                <c:pt idx="116">
                  <c:v>150.243368421053</c:v>
                </c:pt>
                <c:pt idx="117">
                  <c:v>148.043578947368</c:v>
                </c:pt>
                <c:pt idx="118">
                  <c:v>147.330736842105</c:v>
                </c:pt>
                <c:pt idx="119">
                  <c:v>146.748</c:v>
                </c:pt>
                <c:pt idx="120">
                  <c:v>146.228578947368</c:v>
                </c:pt>
                <c:pt idx="121">
                  <c:v>145.109473684211</c:v>
                </c:pt>
                <c:pt idx="122">
                  <c:v>145.317526315789</c:v>
                </c:pt>
                <c:pt idx="123">
                  <c:v>143.496526315789</c:v>
                </c:pt>
                <c:pt idx="124">
                  <c:v>145.657684210526</c:v>
                </c:pt>
                <c:pt idx="125">
                  <c:v>149.226789473684</c:v>
                </c:pt>
                <c:pt idx="126">
                  <c:v>148.800736842105</c:v>
                </c:pt>
                <c:pt idx="127">
                  <c:v>150.056526315789</c:v>
                </c:pt>
                <c:pt idx="128">
                  <c:v>150.822894736842</c:v>
                </c:pt>
                <c:pt idx="129">
                  <c:v>154.122421052632</c:v>
                </c:pt>
                <c:pt idx="130">
                  <c:v>156.027157894737</c:v>
                </c:pt>
                <c:pt idx="131">
                  <c:v>159.697526315789</c:v>
                </c:pt>
                <c:pt idx="132">
                  <c:v>160.751</c:v>
                </c:pt>
                <c:pt idx="133">
                  <c:v>163.502315789474</c:v>
                </c:pt>
                <c:pt idx="134">
                  <c:v>165.430210526316</c:v>
                </c:pt>
                <c:pt idx="135">
                  <c:v>167.097368421053</c:v>
                </c:pt>
                <c:pt idx="136">
                  <c:v>170.814105263158</c:v>
                </c:pt>
                <c:pt idx="137">
                  <c:v>168.202210526316</c:v>
                </c:pt>
                <c:pt idx="138">
                  <c:v>169.547894736842</c:v>
                </c:pt>
                <c:pt idx="139">
                  <c:v>172.491421052632</c:v>
                </c:pt>
                <c:pt idx="140">
                  <c:v>170.819</c:v>
                </c:pt>
                <c:pt idx="141">
                  <c:v>171.209263157895</c:v>
                </c:pt>
                <c:pt idx="142">
                  <c:v>175.085526315789</c:v>
                </c:pt>
                <c:pt idx="143">
                  <c:v>175.835105263158</c:v>
                </c:pt>
                <c:pt idx="144">
                  <c:v>180.078578947368</c:v>
                </c:pt>
                <c:pt idx="145">
                  <c:v>180.326473684211</c:v>
                </c:pt>
                <c:pt idx="146">
                  <c:v>177.240368421053</c:v>
                </c:pt>
                <c:pt idx="147">
                  <c:v>175.111315789474</c:v>
                </c:pt>
                <c:pt idx="148">
                  <c:v>178.311789473684</c:v>
                </c:pt>
                <c:pt idx="149">
                  <c:v>175.909842105263</c:v>
                </c:pt>
                <c:pt idx="150">
                  <c:v>177.366315789474</c:v>
                </c:pt>
                <c:pt idx="151">
                  <c:v>179.460842105263</c:v>
                </c:pt>
                <c:pt idx="152">
                  <c:v>179.924421052632</c:v>
                </c:pt>
                <c:pt idx="153">
                  <c:v>181.728894736842</c:v>
                </c:pt>
                <c:pt idx="154">
                  <c:v>185.725894736842</c:v>
                </c:pt>
                <c:pt idx="155">
                  <c:v>188.97</c:v>
                </c:pt>
                <c:pt idx="156">
                  <c:v>190.981263157895</c:v>
                </c:pt>
                <c:pt idx="157">
                  <c:v>187.787789473684</c:v>
                </c:pt>
                <c:pt idx="158">
                  <c:v>185.781105263158</c:v>
                </c:pt>
                <c:pt idx="159">
                  <c:v>186.233263157895</c:v>
                </c:pt>
                <c:pt idx="160">
                  <c:v>187.573684210526</c:v>
                </c:pt>
                <c:pt idx="161">
                  <c:v>191.870315789474</c:v>
                </c:pt>
                <c:pt idx="162">
                  <c:v>188.270473684211</c:v>
                </c:pt>
                <c:pt idx="163">
                  <c:v>185.116473684211</c:v>
                </c:pt>
                <c:pt idx="164">
                  <c:v>185.865210526316</c:v>
                </c:pt>
                <c:pt idx="165">
                  <c:v>189.736894736842</c:v>
                </c:pt>
                <c:pt idx="166">
                  <c:v>192.791947368421</c:v>
                </c:pt>
                <c:pt idx="167">
                  <c:v>194.448578947368</c:v>
                </c:pt>
                <c:pt idx="168">
                  <c:v>196.427473684211</c:v>
                </c:pt>
                <c:pt idx="169">
                  <c:v>197.547</c:v>
                </c:pt>
                <c:pt idx="170">
                  <c:v>193.907947368421</c:v>
                </c:pt>
                <c:pt idx="171">
                  <c:v>193.016315789474</c:v>
                </c:pt>
                <c:pt idx="172">
                  <c:v>197.531526315789</c:v>
                </c:pt>
                <c:pt idx="173">
                  <c:v>200.034631578947</c:v>
                </c:pt>
                <c:pt idx="174">
                  <c:v>200.032</c:v>
                </c:pt>
                <c:pt idx="175">
                  <c:v>197.558421052632</c:v>
                </c:pt>
                <c:pt idx="176">
                  <c:v>198.897210526316</c:v>
                </c:pt>
                <c:pt idx="177">
                  <c:v>198.781526315789</c:v>
                </c:pt>
                <c:pt idx="178">
                  <c:v>201.226052631579</c:v>
                </c:pt>
                <c:pt idx="179">
                  <c:v>196.696947368421</c:v>
                </c:pt>
                <c:pt idx="180">
                  <c:v>197.754842105263</c:v>
                </c:pt>
                <c:pt idx="181">
                  <c:v>198.529</c:v>
                </c:pt>
                <c:pt idx="182">
                  <c:v>193.892526315789</c:v>
                </c:pt>
                <c:pt idx="183">
                  <c:v>197.007315789474</c:v>
                </c:pt>
                <c:pt idx="184">
                  <c:v>197.515789473684</c:v>
                </c:pt>
                <c:pt idx="185">
                  <c:v>197.593578947368</c:v>
                </c:pt>
                <c:pt idx="186">
                  <c:v>200.182842105263</c:v>
                </c:pt>
                <c:pt idx="187">
                  <c:v>202.871263157895</c:v>
                </c:pt>
                <c:pt idx="188">
                  <c:v>207.493894736842</c:v>
                </c:pt>
                <c:pt idx="189">
                  <c:v>203.272684210526</c:v>
                </c:pt>
                <c:pt idx="190">
                  <c:v>202.591736842105</c:v>
                </c:pt>
                <c:pt idx="191">
                  <c:v>200.998421052632</c:v>
                </c:pt>
                <c:pt idx="192">
                  <c:v>203.801578947368</c:v>
                </c:pt>
                <c:pt idx="193">
                  <c:v>202.467684210526</c:v>
                </c:pt>
                <c:pt idx="194">
                  <c:v>205.224894736842</c:v>
                </c:pt>
                <c:pt idx="195">
                  <c:v>209.343315789474</c:v>
                </c:pt>
                <c:pt idx="196">
                  <c:v>206.003157894737</c:v>
                </c:pt>
                <c:pt idx="197">
                  <c:v>203.915052631579</c:v>
                </c:pt>
                <c:pt idx="198">
                  <c:v>200.242210526316</c:v>
                </c:pt>
                <c:pt idx="199">
                  <c:v>202.880894736842</c:v>
                </c:pt>
                <c:pt idx="200">
                  <c:v>200.390105263158</c:v>
                </c:pt>
                <c:pt idx="201">
                  <c:v>200.93247368421</c:v>
                </c:pt>
                <c:pt idx="202">
                  <c:v>199.116526315789</c:v>
                </c:pt>
                <c:pt idx="203">
                  <c:v>204.105789473684</c:v>
                </c:pt>
                <c:pt idx="204">
                  <c:v>207.837578947368</c:v>
                </c:pt>
                <c:pt idx="205">
                  <c:v>205.958947368421</c:v>
                </c:pt>
                <c:pt idx="206">
                  <c:v>204.288578947368</c:v>
                </c:pt>
                <c:pt idx="207">
                  <c:v>204.830578947368</c:v>
                </c:pt>
                <c:pt idx="208">
                  <c:v>208.747526315789</c:v>
                </c:pt>
                <c:pt idx="209">
                  <c:v>208.880526315789</c:v>
                </c:pt>
                <c:pt idx="210">
                  <c:v>207.597736842105</c:v>
                </c:pt>
                <c:pt idx="211">
                  <c:v>206.442421052632</c:v>
                </c:pt>
                <c:pt idx="212">
                  <c:v>208.38947368421</c:v>
                </c:pt>
                <c:pt idx="213">
                  <c:v>210.034684210526</c:v>
                </c:pt>
                <c:pt idx="214">
                  <c:v>213.026</c:v>
                </c:pt>
                <c:pt idx="215">
                  <c:v>210.258263157895</c:v>
                </c:pt>
                <c:pt idx="216">
                  <c:v>212.297473684211</c:v>
                </c:pt>
                <c:pt idx="217">
                  <c:v>208.029368421053</c:v>
                </c:pt>
                <c:pt idx="218">
                  <c:v>204.003526315789</c:v>
                </c:pt>
                <c:pt idx="219">
                  <c:v>208.225263157895</c:v>
                </c:pt>
                <c:pt idx="220">
                  <c:v>207.129052631579</c:v>
                </c:pt>
                <c:pt idx="221">
                  <c:v>205.701947368421</c:v>
                </c:pt>
                <c:pt idx="222">
                  <c:v>206.402684210526</c:v>
                </c:pt>
                <c:pt idx="223">
                  <c:v>207.380368421053</c:v>
                </c:pt>
                <c:pt idx="224">
                  <c:v>208.422947368421</c:v>
                </c:pt>
                <c:pt idx="225">
                  <c:v>207.358263157895</c:v>
                </c:pt>
                <c:pt idx="226">
                  <c:v>211.730842105263</c:v>
                </c:pt>
                <c:pt idx="227">
                  <c:v>209.459315789474</c:v>
                </c:pt>
                <c:pt idx="228">
                  <c:v>206.664894736842</c:v>
                </c:pt>
                <c:pt idx="229">
                  <c:v>206.065736842105</c:v>
                </c:pt>
                <c:pt idx="230">
                  <c:v>205.462210526316</c:v>
                </c:pt>
                <c:pt idx="231">
                  <c:v>203.700421052632</c:v>
                </c:pt>
                <c:pt idx="232">
                  <c:v>206.845684210526</c:v>
                </c:pt>
                <c:pt idx="233">
                  <c:v>202.701473684211</c:v>
                </c:pt>
                <c:pt idx="234">
                  <c:v>201.639368421053</c:v>
                </c:pt>
                <c:pt idx="235">
                  <c:v>204.102684210526</c:v>
                </c:pt>
                <c:pt idx="236">
                  <c:v>203.570526315789</c:v>
                </c:pt>
                <c:pt idx="237">
                  <c:v>205.373315789474</c:v>
                </c:pt>
                <c:pt idx="238">
                  <c:v>201.599473684211</c:v>
                </c:pt>
                <c:pt idx="239">
                  <c:v>202.124368421053</c:v>
                </c:pt>
                <c:pt idx="240">
                  <c:v>205.231315789474</c:v>
                </c:pt>
                <c:pt idx="241">
                  <c:v>204.585105263158</c:v>
                </c:pt>
                <c:pt idx="242">
                  <c:v>206.430947368421</c:v>
                </c:pt>
                <c:pt idx="243">
                  <c:v>207.769315789474</c:v>
                </c:pt>
                <c:pt idx="244">
                  <c:v>205.091631578947</c:v>
                </c:pt>
                <c:pt idx="245">
                  <c:v>202.030947368421</c:v>
                </c:pt>
                <c:pt idx="246">
                  <c:v>198.629578947368</c:v>
                </c:pt>
                <c:pt idx="247">
                  <c:v>199.559210526316</c:v>
                </c:pt>
                <c:pt idx="248">
                  <c:v>197.056578947368</c:v>
                </c:pt>
                <c:pt idx="249">
                  <c:v>195.900789473684</c:v>
                </c:pt>
                <c:pt idx="250">
                  <c:v>194.558578947368</c:v>
                </c:pt>
                <c:pt idx="251">
                  <c:v>193.244421052632</c:v>
                </c:pt>
                <c:pt idx="252">
                  <c:v>195.606684210526</c:v>
                </c:pt>
                <c:pt idx="253">
                  <c:v>192.772210526316</c:v>
                </c:pt>
                <c:pt idx="254">
                  <c:v>193.571315789474</c:v>
                </c:pt>
                <c:pt idx="255">
                  <c:v>195.278157894737</c:v>
                </c:pt>
                <c:pt idx="256">
                  <c:v>196.518210526316</c:v>
                </c:pt>
                <c:pt idx="257">
                  <c:v>197.405631578947</c:v>
                </c:pt>
                <c:pt idx="258">
                  <c:v>193.592421052632</c:v>
                </c:pt>
                <c:pt idx="259">
                  <c:v>193.015315789474</c:v>
                </c:pt>
                <c:pt idx="260">
                  <c:v>194.993052631579</c:v>
                </c:pt>
                <c:pt idx="261">
                  <c:v>196.525</c:v>
                </c:pt>
                <c:pt idx="262">
                  <c:v>195.334421052632</c:v>
                </c:pt>
                <c:pt idx="263">
                  <c:v>194.827631578947</c:v>
                </c:pt>
                <c:pt idx="264">
                  <c:v>194.112105263158</c:v>
                </c:pt>
                <c:pt idx="265">
                  <c:v>194.152684210526</c:v>
                </c:pt>
                <c:pt idx="266">
                  <c:v>196.037526315789</c:v>
                </c:pt>
                <c:pt idx="267">
                  <c:v>200.868789473684</c:v>
                </c:pt>
                <c:pt idx="268">
                  <c:v>203.678</c:v>
                </c:pt>
                <c:pt idx="269">
                  <c:v>200.886894736842</c:v>
                </c:pt>
                <c:pt idx="270">
                  <c:v>196.219157894737</c:v>
                </c:pt>
                <c:pt idx="271">
                  <c:v>194.505315789474</c:v>
                </c:pt>
                <c:pt idx="272">
                  <c:v>192.274421052632</c:v>
                </c:pt>
                <c:pt idx="273">
                  <c:v>189.647842105263</c:v>
                </c:pt>
                <c:pt idx="274">
                  <c:v>192.008315789474</c:v>
                </c:pt>
                <c:pt idx="275">
                  <c:v>190.925210526316</c:v>
                </c:pt>
                <c:pt idx="276">
                  <c:v>191.398157894737</c:v>
                </c:pt>
                <c:pt idx="277">
                  <c:v>196.320736842105</c:v>
                </c:pt>
                <c:pt idx="278">
                  <c:v>197.371684210526</c:v>
                </c:pt>
                <c:pt idx="279">
                  <c:v>197.983947368421</c:v>
                </c:pt>
                <c:pt idx="280">
                  <c:v>197.392789473684</c:v>
                </c:pt>
                <c:pt idx="281">
                  <c:v>198.417631578947</c:v>
                </c:pt>
                <c:pt idx="282">
                  <c:v>201.574368421053</c:v>
                </c:pt>
                <c:pt idx="283">
                  <c:v>199.706842105263</c:v>
                </c:pt>
                <c:pt idx="284">
                  <c:v>201.248894736842</c:v>
                </c:pt>
                <c:pt idx="285">
                  <c:v>198.862473684211</c:v>
                </c:pt>
                <c:pt idx="286">
                  <c:v>197.430684210526</c:v>
                </c:pt>
                <c:pt idx="287">
                  <c:v>201.164894736842</c:v>
                </c:pt>
                <c:pt idx="288">
                  <c:v>201.382157894737</c:v>
                </c:pt>
                <c:pt idx="289">
                  <c:v>203.967</c:v>
                </c:pt>
                <c:pt idx="290">
                  <c:v>204.933421052632</c:v>
                </c:pt>
                <c:pt idx="291">
                  <c:v>208.857842105263</c:v>
                </c:pt>
                <c:pt idx="292">
                  <c:v>207.576368421053</c:v>
                </c:pt>
                <c:pt idx="293">
                  <c:v>207.985105263158</c:v>
                </c:pt>
                <c:pt idx="294">
                  <c:v>204.152263157895</c:v>
                </c:pt>
                <c:pt idx="295">
                  <c:v>204.261421052632</c:v>
                </c:pt>
                <c:pt idx="296">
                  <c:v>206.888736842105</c:v>
                </c:pt>
                <c:pt idx="297">
                  <c:v>208.217894736842</c:v>
                </c:pt>
                <c:pt idx="298">
                  <c:v>208.916684210526</c:v>
                </c:pt>
                <c:pt idx="299">
                  <c:v>207.778263157895</c:v>
                </c:pt>
                <c:pt idx="300">
                  <c:v>211.390473684211</c:v>
                </c:pt>
                <c:pt idx="301">
                  <c:v>216.245736842105</c:v>
                </c:pt>
                <c:pt idx="302">
                  <c:v>212.527894736842</c:v>
                </c:pt>
                <c:pt idx="303">
                  <c:v>210.396736842105</c:v>
                </c:pt>
                <c:pt idx="304">
                  <c:v>213.946263157895</c:v>
                </c:pt>
                <c:pt idx="305">
                  <c:v>215.884368421053</c:v>
                </c:pt>
                <c:pt idx="306">
                  <c:v>217.629315789474</c:v>
                </c:pt>
                <c:pt idx="307">
                  <c:v>214.520157894737</c:v>
                </c:pt>
                <c:pt idx="308">
                  <c:v>212.666947368421</c:v>
                </c:pt>
                <c:pt idx="309">
                  <c:v>213.299</c:v>
                </c:pt>
                <c:pt idx="310">
                  <c:v>209.278631578947</c:v>
                </c:pt>
                <c:pt idx="311">
                  <c:v>210.737263157895</c:v>
                </c:pt>
                <c:pt idx="312">
                  <c:v>211.126631578947</c:v>
                </c:pt>
                <c:pt idx="313">
                  <c:v>212.493210526316</c:v>
                </c:pt>
                <c:pt idx="314">
                  <c:v>209.635789473684</c:v>
                </c:pt>
                <c:pt idx="315">
                  <c:v>213.427368421053</c:v>
                </c:pt>
                <c:pt idx="316">
                  <c:v>214.257105263158</c:v>
                </c:pt>
                <c:pt idx="317">
                  <c:v>219.029684210526</c:v>
                </c:pt>
                <c:pt idx="318">
                  <c:v>220.183894736842</c:v>
                </c:pt>
                <c:pt idx="319">
                  <c:v>222.952947368421</c:v>
                </c:pt>
                <c:pt idx="320">
                  <c:v>221.086368421053</c:v>
                </c:pt>
                <c:pt idx="321">
                  <c:v>224.075842105263</c:v>
                </c:pt>
                <c:pt idx="322">
                  <c:v>222.961210526316</c:v>
                </c:pt>
                <c:pt idx="323">
                  <c:v>221.677473684211</c:v>
                </c:pt>
                <c:pt idx="324">
                  <c:v>221.701894736842</c:v>
                </c:pt>
                <c:pt idx="325">
                  <c:v>219.716315789474</c:v>
                </c:pt>
                <c:pt idx="326">
                  <c:v>217.734736842105</c:v>
                </c:pt>
                <c:pt idx="327">
                  <c:v>218.117789473684</c:v>
                </c:pt>
                <c:pt idx="328">
                  <c:v>216.881473684211</c:v>
                </c:pt>
                <c:pt idx="329">
                  <c:v>218.050578947368</c:v>
                </c:pt>
                <c:pt idx="330">
                  <c:v>223.463789473684</c:v>
                </c:pt>
                <c:pt idx="331">
                  <c:v>220.906894736842</c:v>
                </c:pt>
                <c:pt idx="332">
                  <c:v>222.603210526316</c:v>
                </c:pt>
                <c:pt idx="333">
                  <c:v>220.912315789474</c:v>
                </c:pt>
                <c:pt idx="334">
                  <c:v>216.010105263158</c:v>
                </c:pt>
                <c:pt idx="335">
                  <c:v>220.883684210526</c:v>
                </c:pt>
                <c:pt idx="336">
                  <c:v>220.726368421053</c:v>
                </c:pt>
                <c:pt idx="337">
                  <c:v>225.994631578947</c:v>
                </c:pt>
                <c:pt idx="338">
                  <c:v>224.266210526316</c:v>
                </c:pt>
                <c:pt idx="339">
                  <c:v>224.467368421053</c:v>
                </c:pt>
                <c:pt idx="340">
                  <c:v>223.722</c:v>
                </c:pt>
                <c:pt idx="341">
                  <c:v>225.39147368421</c:v>
                </c:pt>
                <c:pt idx="342">
                  <c:v>221.330578947368</c:v>
                </c:pt>
                <c:pt idx="343">
                  <c:v>222.013789473684</c:v>
                </c:pt>
                <c:pt idx="344">
                  <c:v>225.329947368421</c:v>
                </c:pt>
                <c:pt idx="345">
                  <c:v>224.521578947368</c:v>
                </c:pt>
                <c:pt idx="346">
                  <c:v>223.659210526316</c:v>
                </c:pt>
                <c:pt idx="347">
                  <c:v>226.394789473684</c:v>
                </c:pt>
                <c:pt idx="348">
                  <c:v>228.528</c:v>
                </c:pt>
                <c:pt idx="349">
                  <c:v>231.400263157895</c:v>
                </c:pt>
                <c:pt idx="350">
                  <c:v>235.964052631579</c:v>
                </c:pt>
                <c:pt idx="351">
                  <c:v>240.174684210526</c:v>
                </c:pt>
                <c:pt idx="352">
                  <c:v>237.122578947368</c:v>
                </c:pt>
                <c:pt idx="353">
                  <c:v>233.985894736842</c:v>
                </c:pt>
                <c:pt idx="354">
                  <c:v>237.869736842105</c:v>
                </c:pt>
                <c:pt idx="355">
                  <c:v>237.296684210526</c:v>
                </c:pt>
                <c:pt idx="356">
                  <c:v>233.618421052632</c:v>
                </c:pt>
                <c:pt idx="357">
                  <c:v>233.908473684211</c:v>
                </c:pt>
                <c:pt idx="358">
                  <c:v>236.824</c:v>
                </c:pt>
                <c:pt idx="359">
                  <c:v>239.546947368421</c:v>
                </c:pt>
                <c:pt idx="360">
                  <c:v>245.467368421053</c:v>
                </c:pt>
                <c:pt idx="361">
                  <c:v>245.523</c:v>
                </c:pt>
                <c:pt idx="362">
                  <c:v>247.140368421053</c:v>
                </c:pt>
                <c:pt idx="363">
                  <c:v>250.745368421053</c:v>
                </c:pt>
                <c:pt idx="364">
                  <c:v>249.872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223165"/>
        <c:axId val="6447508"/>
      </c:lineChart>
      <c:catAx>
        <c:axId val="8522316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47508"/>
        <c:crosses val="autoZero"/>
        <c:auto val="1"/>
        <c:lblAlgn val="ctr"/>
        <c:lblOffset val="100"/>
        <c:noMultiLvlLbl val="0"/>
      </c:catAx>
      <c:valAx>
        <c:axId val="6447508"/>
        <c:scaling>
          <c:orientation val="minMax"/>
          <c:min val="8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223165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1156320</xdr:colOff>
      <xdr:row>31</xdr:row>
      <xdr:rowOff>104760</xdr:rowOff>
    </xdr:from>
    <xdr:to>
      <xdr:col>19</xdr:col>
      <xdr:colOff>22320</xdr:colOff>
      <xdr:row>55</xdr:row>
      <xdr:rowOff>172440</xdr:rowOff>
    </xdr:to>
    <xdr:graphicFrame>
      <xdr:nvGraphicFramePr>
        <xdr:cNvPr id="0" name=""/>
        <xdr:cNvGraphicFramePr/>
      </xdr:nvGraphicFramePr>
      <xdr:xfrm>
        <a:off x="12355560" y="5572080"/>
        <a:ext cx="7598520" cy="427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9720</xdr:colOff>
      <xdr:row>2</xdr:row>
      <xdr:rowOff>5400</xdr:rowOff>
    </xdr:from>
    <xdr:to>
      <xdr:col>12</xdr:col>
      <xdr:colOff>112680</xdr:colOff>
      <xdr:row>20</xdr:row>
      <xdr:rowOff>90360</xdr:rowOff>
    </xdr:to>
    <xdr:graphicFrame>
      <xdr:nvGraphicFramePr>
        <xdr:cNvPr id="1" name=""/>
        <xdr:cNvGraphicFramePr/>
      </xdr:nvGraphicFramePr>
      <xdr:xfrm>
        <a:off x="9657720" y="38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444600</xdr:colOff>
      <xdr:row>1</xdr:row>
      <xdr:rowOff>129960</xdr:rowOff>
    </xdr:from>
    <xdr:to>
      <xdr:col>15</xdr:col>
      <xdr:colOff>514800</xdr:colOff>
      <xdr:row>20</xdr:row>
      <xdr:rowOff>39600</xdr:rowOff>
    </xdr:to>
    <xdr:graphicFrame>
      <xdr:nvGraphicFramePr>
        <xdr:cNvPr id="2" name=""/>
        <xdr:cNvGraphicFramePr/>
      </xdr:nvGraphicFramePr>
      <xdr:xfrm>
        <a:off x="9232920" y="338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7" activeCellId="0" sqref="O17"/>
    </sheetView>
  </sheetViews>
  <sheetFormatPr defaultColWidth="8.60546875" defaultRowHeight="16.5" zeroHeight="false" outlineLevelRow="0" outlineLevelCol="0"/>
  <cols>
    <col collapsed="false" customWidth="true" hidden="false" outlineLevel="0" max="1" min="1" style="0" width="12.5"/>
    <col collapsed="false" customWidth="true" hidden="false" outlineLevel="0" max="3" min="2" style="0" width="11.13"/>
    <col collapsed="false" customWidth="true" hidden="false" outlineLevel="0" max="4" min="4" style="0" width="11.54"/>
    <col collapsed="false" customWidth="true" hidden="false" outlineLevel="0" max="5" min="5" style="0" width="13.46"/>
    <col collapsed="false" customWidth="true" hidden="false" outlineLevel="0" max="6" min="6" style="0" width="27.64"/>
    <col collapsed="false" customWidth="true" hidden="false" outlineLevel="0" max="7" min="7" style="0" width="18.19"/>
    <col collapsed="false" customWidth="true" hidden="false" outlineLevel="0" max="9" min="8" style="0" width="20.23"/>
    <col collapsed="false" customWidth="true" hidden="false" outlineLevel="0" max="10" min="10" style="0" width="17.17"/>
    <col collapsed="false" customWidth="true" hidden="false" outlineLevel="0" max="12" min="11" style="0" width="18.19"/>
  </cols>
  <sheetData>
    <row r="1" customFormat="false" ht="16.5" hidden="false" customHeight="false" outlineLevel="0" collapsed="false">
      <c r="B1" s="1" t="s">
        <v>0</v>
      </c>
      <c r="C1" s="1" t="s">
        <v>1</v>
      </c>
      <c r="D1" s="0" t="s">
        <v>2</v>
      </c>
      <c r="E1" s="0" t="s">
        <v>3</v>
      </c>
    </row>
    <row r="2" customFormat="false" ht="13.8" hidden="false" customHeight="false" outlineLevel="0" collapsed="false">
      <c r="A2" s="2" t="n">
        <v>39449</v>
      </c>
      <c r="B2" s="0" t="n">
        <v>1447.16</v>
      </c>
      <c r="C2" s="0" t="n">
        <v>235.3</v>
      </c>
      <c r="D2" s="3" t="n">
        <f aca="false">B2*100/B$2</f>
        <v>100</v>
      </c>
      <c r="E2" s="3" t="n">
        <f aca="false">C2*100/C$2</f>
        <v>100</v>
      </c>
      <c r="F2" s="0" t="s">
        <v>4</v>
      </c>
    </row>
    <row r="3" customFormat="false" ht="13.8" hidden="false" customHeight="false" outlineLevel="0" collapsed="false">
      <c r="A3" s="2" t="n">
        <v>39450</v>
      </c>
      <c r="B3" s="0" t="n">
        <v>1447.16</v>
      </c>
      <c r="C3" s="0" t="n">
        <v>234.67</v>
      </c>
      <c r="D3" s="3" t="n">
        <f aca="false">B3*100/B$2</f>
        <v>100</v>
      </c>
      <c r="E3" s="3" t="n">
        <f aca="false">C3*100/C$2</f>
        <v>99.7322566935827</v>
      </c>
      <c r="F3" s="0" t="s">
        <v>5</v>
      </c>
      <c r="G3" s="0" t="s">
        <v>6</v>
      </c>
    </row>
    <row r="4" customFormat="false" ht="13.8" hidden="false" customHeight="false" outlineLevel="0" collapsed="false">
      <c r="A4" s="2" t="n">
        <v>39451</v>
      </c>
      <c r="B4" s="0" t="n">
        <v>1411.63</v>
      </c>
      <c r="C4" s="0" t="n">
        <v>235.77</v>
      </c>
      <c r="D4" s="3" t="n">
        <f aca="false">B4*100/B$2</f>
        <v>97.5448464578899</v>
      </c>
      <c r="E4" s="3" t="n">
        <f aca="false">C4*100/C$2</f>
        <v>100.199745006375</v>
      </c>
    </row>
    <row r="5" customFormat="false" ht="13.8" hidden="false" customHeight="false" outlineLevel="0" collapsed="false">
      <c r="A5" s="2" t="n">
        <v>39454</v>
      </c>
      <c r="B5" s="0" t="n">
        <v>1416.18</v>
      </c>
      <c r="C5" s="0" t="n">
        <v>231</v>
      </c>
      <c r="D5" s="3" t="n">
        <f aca="false">B5*100/B$2</f>
        <v>97.8592553691368</v>
      </c>
      <c r="E5" s="3" t="n">
        <f aca="false">C5*100/C$2</f>
        <v>98.1725456863578</v>
      </c>
      <c r="F5" s="0" t="s">
        <v>7</v>
      </c>
    </row>
    <row r="6" customFormat="false" ht="13.8" hidden="false" customHeight="false" outlineLevel="0" collapsed="false">
      <c r="A6" s="2" t="n">
        <v>39455</v>
      </c>
      <c r="B6" s="0" t="n">
        <v>1390.19</v>
      </c>
      <c r="C6" s="0" t="n">
        <v>230.34</v>
      </c>
      <c r="D6" s="3" t="n">
        <f aca="false">B6*100/B$2</f>
        <v>96.0633240277509</v>
      </c>
      <c r="E6" s="3" t="n">
        <f aca="false">C6*100/C$2</f>
        <v>97.8920526986825</v>
      </c>
      <c r="F6" s="0" t="n">
        <f aca="false" t="array" ref="F6:G10">LINEST($E$2:$E$2593 , $D$2:$D$2593 , 1 , 1)</f>
        <v>0.334040213761291</v>
      </c>
      <c r="G6" s="0" t="n">
        <v>66.4306816821608</v>
      </c>
    </row>
    <row r="7" customFormat="false" ht="13.8" hidden="false" customHeight="false" outlineLevel="0" collapsed="false">
      <c r="A7" s="2" t="n">
        <v>39456</v>
      </c>
      <c r="B7" s="0" t="n">
        <v>1409.13</v>
      </c>
      <c r="C7" s="0" t="n">
        <v>232.53</v>
      </c>
      <c r="D7" s="3" t="n">
        <f aca="false">B7*100/B$2</f>
        <v>97.3720943088532</v>
      </c>
      <c r="E7" s="3" t="n">
        <f aca="false">C7*100/C$2</f>
        <v>98.8227794305142</v>
      </c>
      <c r="F7" s="0" t="n">
        <v>0.00628531505360866</v>
      </c>
      <c r="G7" s="0" t="n">
        <v>0.731135750602497</v>
      </c>
    </row>
    <row r="8" customFormat="false" ht="13.8" hidden="false" customHeight="false" outlineLevel="0" collapsed="false">
      <c r="A8" s="2" t="n">
        <v>39457</v>
      </c>
      <c r="B8" s="0" t="n">
        <v>1420.33</v>
      </c>
      <c r="C8" s="0" t="n">
        <v>229.47</v>
      </c>
      <c r="D8" s="3" t="n">
        <f aca="false">B8*100/B$2</f>
        <v>98.1460239365378</v>
      </c>
      <c r="E8" s="3" t="n">
        <f aca="false">C8*100/C$2</f>
        <v>97.5223119422014</v>
      </c>
      <c r="F8" s="0" t="n">
        <v>0.521655863394714</v>
      </c>
      <c r="G8" s="0" t="n">
        <v>10.6604435538496</v>
      </c>
    </row>
    <row r="9" customFormat="false" ht="13.8" hidden="false" customHeight="false" outlineLevel="0" collapsed="false">
      <c r="A9" s="2" t="n">
        <v>39458</v>
      </c>
      <c r="B9" s="0" t="n">
        <v>1401.02</v>
      </c>
      <c r="C9" s="0" t="n">
        <v>224.41</v>
      </c>
      <c r="D9" s="3" t="n">
        <f aca="false">B9*100/B$2</f>
        <v>96.811686337378</v>
      </c>
      <c r="E9" s="3" t="n">
        <f aca="false">C9*100/C$2</f>
        <v>95.3718657033574</v>
      </c>
      <c r="F9" s="0" t="n">
        <v>2824.51185830502</v>
      </c>
      <c r="G9" s="0" t="n">
        <v>2590</v>
      </c>
    </row>
    <row r="10" customFormat="false" ht="13.8" hidden="false" customHeight="false" outlineLevel="0" collapsed="false">
      <c r="A10" s="2" t="n">
        <v>39461</v>
      </c>
      <c r="B10" s="0" t="n">
        <v>1416.25</v>
      </c>
      <c r="C10" s="0" t="n">
        <v>222.81</v>
      </c>
      <c r="D10" s="3" t="n">
        <f aca="false">B10*100/B$2</f>
        <v>97.8640924293098</v>
      </c>
      <c r="E10" s="3" t="n">
        <f aca="false">C10*100/C$2</f>
        <v>94.6918827029324</v>
      </c>
      <c r="F10" s="0" t="n">
        <v>320991.810469965</v>
      </c>
      <c r="G10" s="0" t="n">
        <v>294340.697020869</v>
      </c>
    </row>
    <row r="11" customFormat="false" ht="13.8" hidden="false" customHeight="false" outlineLevel="0" collapsed="false">
      <c r="A11" s="2" t="n">
        <v>39462</v>
      </c>
      <c r="B11" s="0" t="n">
        <v>1380.95</v>
      </c>
      <c r="C11" s="0" t="n">
        <v>220.91</v>
      </c>
      <c r="D11" s="3" t="n">
        <f aca="false">B11*100/B$2</f>
        <v>95.4248320849111</v>
      </c>
      <c r="E11" s="3" t="n">
        <f aca="false">C11*100/C$2</f>
        <v>93.8844028899277</v>
      </c>
    </row>
    <row r="12" customFormat="false" ht="13.8" hidden="false" customHeight="false" outlineLevel="0" collapsed="false">
      <c r="A12" s="2" t="n">
        <v>39463</v>
      </c>
      <c r="B12" s="0" t="n">
        <v>1373.2</v>
      </c>
      <c r="C12" s="0" t="n">
        <v>215.87</v>
      </c>
      <c r="D12" s="3" t="n">
        <f aca="false">B12*100/B$2</f>
        <v>94.8893004228973</v>
      </c>
      <c r="E12" s="3" t="n">
        <f aca="false">C12*100/C$2</f>
        <v>91.742456438589</v>
      </c>
      <c r="F12" s="0" t="s">
        <v>8</v>
      </c>
    </row>
    <row r="13" customFormat="false" ht="13.8" hidden="false" customHeight="false" outlineLevel="0" collapsed="false">
      <c r="A13" s="2" t="n">
        <v>39464</v>
      </c>
      <c r="B13" s="0" t="n">
        <v>1333.25</v>
      </c>
      <c r="C13" s="0" t="n">
        <v>218.83</v>
      </c>
      <c r="D13" s="3" t="n">
        <f aca="false">B13*100/B$2</f>
        <v>92.1287210812903</v>
      </c>
      <c r="E13" s="3" t="n">
        <f aca="false">C13*100/C$2</f>
        <v>93.0004249893753</v>
      </c>
      <c r="F13" s="0" t="s">
        <v>9</v>
      </c>
      <c r="G13" s="0" t="n">
        <f aca="false">$F$8</f>
        <v>0.521655863394714</v>
      </c>
    </row>
    <row r="14" customFormat="false" ht="13.8" hidden="false" customHeight="false" outlineLevel="0" collapsed="false">
      <c r="A14" s="2" t="n">
        <v>39465</v>
      </c>
      <c r="B14" s="0" t="n">
        <v>1325.19</v>
      </c>
      <c r="C14" s="0" t="n">
        <v>219.87</v>
      </c>
      <c r="D14" s="3" t="n">
        <f aca="false">B14*100/B$2</f>
        <v>91.5717681527958</v>
      </c>
      <c r="E14" s="3" t="n">
        <f aca="false">C14*100/C$2</f>
        <v>93.4424139396515</v>
      </c>
      <c r="F14" s="0" t="s">
        <v>10</v>
      </c>
      <c r="G14" s="0" t="n">
        <f aca="false">$G$8</f>
        <v>10.6604435538496</v>
      </c>
    </row>
    <row r="15" customFormat="false" ht="13.8" hidden="false" customHeight="false" outlineLevel="0" collapsed="false">
      <c r="A15" s="2" t="n">
        <v>39468</v>
      </c>
      <c r="B15" s="0" t="n">
        <v>1325.19</v>
      </c>
      <c r="C15" s="0" t="n">
        <v>213.6</v>
      </c>
      <c r="D15" s="3" t="n">
        <f aca="false">B15*100/B$2</f>
        <v>91.5717681527958</v>
      </c>
      <c r="E15" s="3" t="n">
        <f aca="false">C15*100/C$2</f>
        <v>90.7777305567361</v>
      </c>
      <c r="F15" s="0" t="s">
        <v>11</v>
      </c>
      <c r="G15" s="0" t="n">
        <f aca="false">1</f>
        <v>1</v>
      </c>
    </row>
    <row r="16" customFormat="false" ht="13.8" hidden="false" customHeight="false" outlineLevel="0" collapsed="false">
      <c r="A16" s="2" t="n">
        <v>39469</v>
      </c>
      <c r="B16" s="0" t="n">
        <v>1310.5</v>
      </c>
      <c r="C16" s="0" t="n">
        <v>204.55</v>
      </c>
      <c r="D16" s="3" t="n">
        <f aca="false">B16*100/B$2</f>
        <v>90.556676525056</v>
      </c>
      <c r="E16" s="3" t="n">
        <f aca="false">C16*100/C$2</f>
        <v>86.9315767105822</v>
      </c>
      <c r="F16" s="0" t="s">
        <v>12</v>
      </c>
      <c r="G16" s="0" t="n">
        <f aca="false">2592</f>
        <v>2592</v>
      </c>
    </row>
    <row r="17" customFormat="false" ht="13.8" hidden="false" customHeight="false" outlineLevel="0" collapsed="false">
      <c r="A17" s="2" t="n">
        <v>39470</v>
      </c>
      <c r="B17" s="0" t="n">
        <v>1338.6</v>
      </c>
      <c r="C17" s="0" t="n">
        <v>207.23</v>
      </c>
      <c r="D17" s="3" t="n">
        <f aca="false">B17*100/B$2</f>
        <v>92.4984106802289</v>
      </c>
      <c r="E17" s="3" t="n">
        <f aca="false">C17*100/C$2</f>
        <v>88.0705482362941</v>
      </c>
      <c r="F17" s="0" t="s">
        <v>13</v>
      </c>
      <c r="G17" s="0" t="n">
        <f aca="false">1 - (1 - $F$8)*($G$16 - 1)/($G$16 - $G$15 - 1)</f>
        <v>0.521471174538881</v>
      </c>
    </row>
    <row r="18" customFormat="false" ht="13.8" hidden="false" customHeight="false" outlineLevel="0" collapsed="false">
      <c r="A18" s="2" t="n">
        <v>39471</v>
      </c>
      <c r="B18" s="0" t="n">
        <v>1352.07</v>
      </c>
      <c r="C18" s="0" t="n">
        <v>211.2</v>
      </c>
      <c r="D18" s="3" t="n">
        <f aca="false">B18*100/B$2</f>
        <v>93.4291992592388</v>
      </c>
      <c r="E18" s="3" t="n">
        <f aca="false">C18*100/C$2</f>
        <v>89.7577560560986</v>
      </c>
    </row>
    <row r="19" customFormat="false" ht="13.8" hidden="false" customHeight="false" outlineLevel="0" collapsed="false">
      <c r="A19" s="2" t="n">
        <v>39472</v>
      </c>
      <c r="B19" s="0" t="n">
        <v>1330.61</v>
      </c>
      <c r="C19" s="0" t="n">
        <v>215.06</v>
      </c>
      <c r="D19" s="3" t="n">
        <f aca="false">B19*100/B$2</f>
        <v>91.9462948119075</v>
      </c>
      <c r="E19" s="3" t="n">
        <f aca="false">C19*100/C$2</f>
        <v>91.3982150446239</v>
      </c>
      <c r="F19" s="0" t="s">
        <v>14</v>
      </c>
    </row>
    <row r="20" customFormat="false" ht="13.8" hidden="false" customHeight="false" outlineLevel="0" collapsed="false">
      <c r="A20" s="2" t="n">
        <v>39475</v>
      </c>
      <c r="B20" s="0" t="n">
        <v>1353.96</v>
      </c>
      <c r="C20" s="0" t="n">
        <v>206.52</v>
      </c>
      <c r="D20" s="3" t="n">
        <f aca="false">B20*100/B$2</f>
        <v>93.5597998839106</v>
      </c>
      <c r="E20" s="3" t="n">
        <f aca="false">C20*100/C$2</f>
        <v>87.7688057798555</v>
      </c>
      <c r="G20" s="0" t="s">
        <v>15</v>
      </c>
      <c r="H20" s="0" t="s">
        <v>16</v>
      </c>
      <c r="I20" s="0" t="s">
        <v>17</v>
      </c>
      <c r="J20" s="0" t="s">
        <v>18</v>
      </c>
      <c r="K20" s="0" t="s">
        <v>19</v>
      </c>
    </row>
    <row r="21" customFormat="false" ht="13.8" hidden="false" customHeight="false" outlineLevel="0" collapsed="false">
      <c r="A21" s="2" t="n">
        <v>39476</v>
      </c>
      <c r="B21" s="0" t="n">
        <v>1362.3</v>
      </c>
      <c r="C21" s="0" t="n">
        <v>208.8</v>
      </c>
      <c r="D21" s="3" t="n">
        <f aca="false">B21*100/B$2</f>
        <v>94.1361010530971</v>
      </c>
      <c r="E21" s="3" t="n">
        <f aca="false">C21*100/C$2</f>
        <v>88.7377815554611</v>
      </c>
      <c r="F21" s="0" t="s">
        <v>4</v>
      </c>
      <c r="G21" s="0" t="n">
        <f aca="false">$G$15</f>
        <v>1</v>
      </c>
      <c r="H21" s="0" t="n">
        <f aca="false">$F$10</f>
        <v>320991.810469965</v>
      </c>
      <c r="I21" s="0" t="n">
        <f aca="false">$F$10 / $G$21</f>
        <v>320991.810469965</v>
      </c>
      <c r="J21" s="0" t="n">
        <f aca="false">$F$9</f>
        <v>2824.51185830502</v>
      </c>
      <c r="K21" s="0" t="n">
        <f aca="false">FDIST($F$9 , $G$21 , $G$9)</f>
        <v>0</v>
      </c>
    </row>
    <row r="22" customFormat="false" ht="13.8" hidden="false" customHeight="false" outlineLevel="0" collapsed="false">
      <c r="A22" s="2" t="n">
        <v>39477</v>
      </c>
      <c r="B22" s="0" t="n">
        <v>1355.81</v>
      </c>
      <c r="C22" s="0" t="n">
        <v>203.5</v>
      </c>
      <c r="D22" s="3" t="n">
        <f aca="false">B22*100/B$2</f>
        <v>93.6876364741977</v>
      </c>
      <c r="E22" s="3" t="n">
        <f aca="false">C22*100/C$2</f>
        <v>86.4853378665533</v>
      </c>
      <c r="F22" s="0" t="s">
        <v>20</v>
      </c>
      <c r="G22" s="0" t="n">
        <f aca="false">$G$9</f>
        <v>2590</v>
      </c>
      <c r="H22" s="0" t="n">
        <f aca="false">$G$10</f>
        <v>294340.697020869</v>
      </c>
      <c r="I22" s="0" t="n">
        <f aca="false">$G$10 / $G$9</f>
        <v>113.645056764814</v>
      </c>
    </row>
    <row r="23" customFormat="false" ht="13.8" hidden="false" customHeight="false" outlineLevel="0" collapsed="false">
      <c r="A23" s="2" t="n">
        <v>39478</v>
      </c>
      <c r="B23" s="0" t="n">
        <v>1378.55</v>
      </c>
      <c r="C23" s="0" t="n">
        <v>207.77</v>
      </c>
      <c r="D23" s="3" t="n">
        <f aca="false">B23*100/B$2</f>
        <v>95.2589900218359</v>
      </c>
      <c r="E23" s="3" t="n">
        <f aca="false">C23*100/C$2</f>
        <v>88.3000424989375</v>
      </c>
      <c r="F23" s="0" t="s">
        <v>21</v>
      </c>
      <c r="G23" s="0" t="n">
        <f aca="false">$G$21 + $G$9</f>
        <v>2591</v>
      </c>
      <c r="H23" s="0" t="n">
        <f aca="false">$F$10 + $G$10</f>
        <v>615332.507490834</v>
      </c>
    </row>
    <row r="24" customFormat="false" ht="13.8" hidden="false" customHeight="false" outlineLevel="0" collapsed="false">
      <c r="A24" s="2" t="n">
        <v>39479</v>
      </c>
      <c r="B24" s="0" t="n">
        <v>1395.42</v>
      </c>
      <c r="C24" s="0" t="n">
        <v>209.08</v>
      </c>
      <c r="D24" s="3" t="n">
        <f aca="false">B24*100/B$2</f>
        <v>96.4247215235358</v>
      </c>
      <c r="E24" s="3" t="n">
        <f aca="false">C24*100/C$2</f>
        <v>88.8567785805355</v>
      </c>
    </row>
    <row r="25" customFormat="false" ht="13.8" hidden="false" customHeight="false" outlineLevel="0" collapsed="false">
      <c r="A25" s="2" t="n">
        <v>39482</v>
      </c>
      <c r="B25" s="0" t="n">
        <v>1380.82</v>
      </c>
      <c r="C25" s="0" t="n">
        <v>216.23</v>
      </c>
      <c r="D25" s="3" t="n">
        <f aca="false">B25*100/B$2</f>
        <v>95.4158489731612</v>
      </c>
      <c r="E25" s="3" t="n">
        <f aca="false">C25*100/C$2</f>
        <v>91.8954526136847</v>
      </c>
      <c r="F25" s="0" t="s">
        <v>22</v>
      </c>
      <c r="G25" s="0" t="n">
        <v>0.95</v>
      </c>
    </row>
    <row r="26" customFormat="false" ht="13.8" hidden="false" customHeight="false" outlineLevel="0" collapsed="false">
      <c r="A26" s="2" t="n">
        <v>39483</v>
      </c>
      <c r="B26" s="0" t="n">
        <v>1336.64</v>
      </c>
      <c r="C26" s="0" t="n">
        <v>216.91</v>
      </c>
      <c r="D26" s="3" t="n">
        <f aca="false">B26*100/B$2</f>
        <v>92.3629729953841</v>
      </c>
      <c r="E26" s="3" t="n">
        <f aca="false">C26*100/C$2</f>
        <v>92.1844453888653</v>
      </c>
    </row>
    <row r="27" customFormat="false" ht="13.8" hidden="false" customHeight="false" outlineLevel="0" collapsed="false">
      <c r="A27" s="2" t="n">
        <v>39484</v>
      </c>
      <c r="B27" s="0" t="n">
        <v>1326.45</v>
      </c>
      <c r="C27" s="0" t="n">
        <v>216.91</v>
      </c>
      <c r="D27" s="3" t="n">
        <f aca="false">B27*100/B$2</f>
        <v>91.6588352359103</v>
      </c>
      <c r="E27" s="3" t="n">
        <f aca="false">C27*100/C$2</f>
        <v>92.1844453888653</v>
      </c>
      <c r="G27" s="0" t="s">
        <v>23</v>
      </c>
      <c r="H27" s="0" t="s">
        <v>10</v>
      </c>
      <c r="I27" s="0" t="s">
        <v>24</v>
      </c>
      <c r="J27" s="0" t="s">
        <v>25</v>
      </c>
      <c r="K27" s="0" t="str">
        <f aca="false">_xlfn.CONCAT("Lower " , INT($G$25 * 100) , "%")</f>
        <v>Lower 95%</v>
      </c>
      <c r="L27" s="0" t="str">
        <f aca="false">_xlfn.CONCAT("Upper " , INT($G$25 * 100) , "%")</f>
        <v>Upper 95%</v>
      </c>
    </row>
    <row r="28" customFormat="false" ht="13.8" hidden="false" customHeight="false" outlineLevel="0" collapsed="false">
      <c r="A28" s="2" t="n">
        <v>39485</v>
      </c>
      <c r="B28" s="0" t="n">
        <v>1336.91</v>
      </c>
      <c r="C28" s="0" t="n">
        <v>216.91</v>
      </c>
      <c r="D28" s="3" t="n">
        <f aca="false">B28*100/B$2</f>
        <v>92.38163022748</v>
      </c>
      <c r="E28" s="3" t="n">
        <f aca="false">C28*100/C$2</f>
        <v>92.1844453888653</v>
      </c>
      <c r="F28" s="0" t="str">
        <f aca="false">"가로챔"</f>
        <v>가로챔</v>
      </c>
      <c r="G28" s="0" t="n">
        <f aca="false" t="array" ref="G28:G29">INDEX($F$6:$G$6, 1 , 30 - ROW())</f>
        <v>66.4306816821608</v>
      </c>
      <c r="H28" s="0" t="n">
        <f aca="false" t="array" ref="H28:H29">INDEX($F$7:$G$7, 1 , 30 - ROW())</f>
        <v>0.731135750602497</v>
      </c>
      <c r="I28" s="0" t="n">
        <f aca="false" t="array" ref="I28:I29">$G$28:$G$29 / $H$28:$H$29</f>
        <v>90.8595724219725</v>
      </c>
      <c r="J28" s="0" t="n">
        <f aca="false" t="array" ref="J28:J29">TDIST(ABS($I$28:$I$29) , $G$9 , 2 )</f>
        <v>0</v>
      </c>
      <c r="K28" s="0" t="n">
        <f aca="false" t="array" ref="K28:K29">$G$28:$G$29 - $H$28:$H$29 * TINV(1 - $G$25 , $G$9)</f>
        <v>64.997011962725</v>
      </c>
      <c r="L28" s="0" t="n">
        <f aca="false" t="array" ref="L28:L29">$G$28:$G$29 + $H$28:$H$29 * TINV(1 - $G$25 , $G$9)</f>
        <v>67.8643514015967</v>
      </c>
    </row>
    <row r="29" customFormat="false" ht="13.8" hidden="false" customHeight="false" outlineLevel="0" collapsed="false">
      <c r="A29" s="2" t="n">
        <v>39486</v>
      </c>
      <c r="B29" s="0" t="n">
        <v>1331.29</v>
      </c>
      <c r="C29" s="0" t="n">
        <v>216.91</v>
      </c>
      <c r="D29" s="3" t="n">
        <f aca="false">B29*100/B$2</f>
        <v>91.9932833964455</v>
      </c>
      <c r="E29" s="3" t="n">
        <f aca="false">C29*100/C$2</f>
        <v>92.1844453888653</v>
      </c>
      <c r="F29" s="0" t="str">
        <f aca="false">"X1"</f>
        <v>X1</v>
      </c>
      <c r="G29" s="0" t="n">
        <v>0.334040213761291</v>
      </c>
      <c r="H29" s="0" t="n">
        <v>0.00628531505360866</v>
      </c>
      <c r="I29" s="0" t="n">
        <v>53.146136814495</v>
      </c>
      <c r="J29" s="0" t="n">
        <v>0</v>
      </c>
      <c r="K29" s="0" t="n">
        <v>0.321715463040173</v>
      </c>
      <c r="L29" s="0" t="n">
        <v>0.346364964482409</v>
      </c>
    </row>
    <row r="30" customFormat="false" ht="13.8" hidden="false" customHeight="false" outlineLevel="0" collapsed="false">
      <c r="A30" s="2" t="n">
        <v>39489</v>
      </c>
      <c r="B30" s="0" t="n">
        <v>1339.13</v>
      </c>
      <c r="C30" s="0" t="n">
        <v>208.92</v>
      </c>
      <c r="D30" s="3" t="n">
        <f aca="false">B30*100/B$2</f>
        <v>92.5350341358246</v>
      </c>
      <c r="E30" s="3" t="n">
        <f aca="false">C30*100/C$2</f>
        <v>88.788780280493</v>
      </c>
    </row>
    <row r="31" customFormat="false" ht="13.8" hidden="false" customHeight="false" outlineLevel="0" collapsed="false">
      <c r="A31" s="2" t="n">
        <v>39490</v>
      </c>
      <c r="B31" s="0" t="n">
        <v>1348.86</v>
      </c>
      <c r="C31" s="0" t="n">
        <v>209.01</v>
      </c>
      <c r="D31" s="3" t="n">
        <f aca="false">B31*100/B$2</f>
        <v>93.2073854998756</v>
      </c>
      <c r="E31" s="3" t="n">
        <f aca="false">C31*100/C$2</f>
        <v>88.8270293242669</v>
      </c>
      <c r="F31" s="0" t="str">
        <f aca="false">"X1"</f>
        <v>X1</v>
      </c>
      <c r="G31" s="0" t="s">
        <v>26</v>
      </c>
      <c r="H31" s="0" t="str">
        <f aca="false">"Y"</f>
        <v>Y</v>
      </c>
      <c r="I31" s="0" t="s">
        <v>20</v>
      </c>
    </row>
    <row r="32" customFormat="false" ht="13.8" hidden="false" customHeight="false" outlineLevel="0" collapsed="false">
      <c r="A32" s="2" t="n">
        <v>39491</v>
      </c>
      <c r="B32" s="0" t="n">
        <v>1367.21</v>
      </c>
      <c r="C32" s="0" t="n">
        <v>207.56</v>
      </c>
      <c r="D32" s="3" t="n">
        <f aca="false">B32*100/B$2</f>
        <v>94.4753862738052</v>
      </c>
      <c r="E32" s="3" t="n">
        <f aca="false">C32*100/C$2</f>
        <v>88.2107947301317</v>
      </c>
      <c r="F32" s="0" t="n">
        <f aca="false" t="array" ref="F32:F2623">$D$2:$D$2593</f>
        <v>100</v>
      </c>
      <c r="G32" s="0" t="n">
        <f aca="false" t="array" ref="G32:G2623">MMULT($F$32:$F$2623 , $G$29) + $G$28</f>
        <v>99.8347030582899</v>
      </c>
      <c r="H32" s="0" t="n">
        <f aca="false" t="array" ref="H32:H2623">$E$2:$E$2593</f>
        <v>100</v>
      </c>
      <c r="I32" s="0" t="n">
        <f aca="false" t="array" ref="I32:I2623">$H$32:$H$2623 - $G$32:$G$2623</f>
        <v>0.165296941710068</v>
      </c>
    </row>
    <row r="33" customFormat="false" ht="13.8" hidden="false" customHeight="false" outlineLevel="0" collapsed="false">
      <c r="A33" s="2" t="n">
        <v>39492</v>
      </c>
      <c r="B33" s="0" t="n">
        <v>1348.86</v>
      </c>
      <c r="C33" s="0" t="n">
        <v>216.2</v>
      </c>
      <c r="D33" s="3" t="n">
        <f aca="false">B33*100/B$2</f>
        <v>93.2073854998756</v>
      </c>
      <c r="E33" s="3" t="n">
        <f aca="false">C33*100/C$2</f>
        <v>91.8827029324267</v>
      </c>
      <c r="F33" s="0" t="n">
        <v>100</v>
      </c>
      <c r="G33" s="0" t="n">
        <v>99.8347030582899</v>
      </c>
      <c r="H33" s="0" t="n">
        <v>99.7322566935827</v>
      </c>
      <c r="I33" s="0" t="n">
        <v>-0.102446364707276</v>
      </c>
    </row>
    <row r="34" customFormat="false" ht="13.8" hidden="false" customHeight="false" outlineLevel="0" collapsed="false">
      <c r="A34" s="2" t="n">
        <v>39493</v>
      </c>
      <c r="B34" s="0" t="n">
        <v>1349.99</v>
      </c>
      <c r="C34" s="0" t="n">
        <v>215.38</v>
      </c>
      <c r="D34" s="3" t="n">
        <f aca="false">B34*100/B$2</f>
        <v>93.2854694712402</v>
      </c>
      <c r="E34" s="3" t="n">
        <f aca="false">C34*100/C$2</f>
        <v>91.5342116447089</v>
      </c>
      <c r="F34" s="0" t="n">
        <v>97.5448464578899</v>
      </c>
      <c r="G34" s="0" t="n">
        <v>99.0145830442667</v>
      </c>
      <c r="H34" s="0" t="n">
        <v>100.199745006375</v>
      </c>
      <c r="I34" s="0" t="n">
        <v>1.18516196210815</v>
      </c>
    </row>
    <row r="35" customFormat="false" ht="13.8" hidden="false" customHeight="false" outlineLevel="0" collapsed="false">
      <c r="A35" s="2" t="n">
        <v>39496</v>
      </c>
      <c r="B35" s="0" t="n">
        <v>1349.99</v>
      </c>
      <c r="C35" s="0" t="n">
        <v>215.46</v>
      </c>
      <c r="D35" s="3" t="n">
        <f aca="false">B35*100/B$2</f>
        <v>93.2854694712402</v>
      </c>
      <c r="E35" s="3" t="n">
        <f aca="false">C35*100/C$2</f>
        <v>91.5682107947301</v>
      </c>
      <c r="F35" s="0" t="n">
        <v>97.8592553691368</v>
      </c>
      <c r="G35" s="0" t="n">
        <v>99.119608264188</v>
      </c>
      <c r="H35" s="0" t="n">
        <v>98.1725456863578</v>
      </c>
      <c r="I35" s="0" t="n">
        <v>-0.947062577830195</v>
      </c>
    </row>
    <row r="36" customFormat="false" ht="13.8" hidden="false" customHeight="false" outlineLevel="0" collapsed="false">
      <c r="A36" s="2" t="n">
        <v>39497</v>
      </c>
      <c r="B36" s="0" t="n">
        <v>1348.78</v>
      </c>
      <c r="C36" s="0" t="n">
        <v>218.37</v>
      </c>
      <c r="D36" s="3" t="n">
        <f aca="false">B36*100/B$2</f>
        <v>93.2018574311064</v>
      </c>
      <c r="E36" s="3" t="n">
        <f aca="false">C36*100/C$2</f>
        <v>92.8049298767531</v>
      </c>
      <c r="F36" s="0" t="n">
        <v>96.0633240277509</v>
      </c>
      <c r="G36" s="0" t="n">
        <v>98.5196949750109</v>
      </c>
      <c r="H36" s="0" t="n">
        <v>97.8920526986825</v>
      </c>
      <c r="I36" s="0" t="n">
        <v>-0.627642276328359</v>
      </c>
    </row>
    <row r="37" customFormat="false" ht="13.8" hidden="false" customHeight="false" outlineLevel="0" collapsed="false">
      <c r="A37" s="2" t="n">
        <v>39498</v>
      </c>
      <c r="B37" s="0" t="n">
        <v>1360.03</v>
      </c>
      <c r="C37" s="0" t="n">
        <v>213.84</v>
      </c>
      <c r="D37" s="3" t="n">
        <f aca="false">B37*100/B$2</f>
        <v>93.9792421017718</v>
      </c>
      <c r="E37" s="3" t="n">
        <f aca="false">C37*100/C$2</f>
        <v>90.8797280067998</v>
      </c>
      <c r="F37" s="0" t="n">
        <v>97.3720943088532</v>
      </c>
      <c r="G37" s="0" t="n">
        <v>98.9568768794747</v>
      </c>
      <c r="H37" s="0" t="n">
        <v>98.8227794305142</v>
      </c>
      <c r="I37" s="0" t="n">
        <v>-0.134097448960503</v>
      </c>
    </row>
    <row r="38" customFormat="false" ht="13.8" hidden="false" customHeight="false" outlineLevel="0" collapsed="false">
      <c r="A38" s="2" t="n">
        <v>39499</v>
      </c>
      <c r="B38" s="0" t="n">
        <v>1342.53</v>
      </c>
      <c r="C38" s="0" t="n">
        <v>216.38</v>
      </c>
      <c r="D38" s="3" t="n">
        <f aca="false">B38*100/B$2</f>
        <v>92.7699770585146</v>
      </c>
      <c r="E38" s="3" t="n">
        <f aca="false">C38*100/C$2</f>
        <v>91.9592010199745</v>
      </c>
      <c r="F38" s="0" t="n">
        <v>98.1460239365378</v>
      </c>
      <c r="G38" s="0" t="n">
        <v>99.2154004977427</v>
      </c>
      <c r="H38" s="0" t="n">
        <v>97.5223119422014</v>
      </c>
      <c r="I38" s="0" t="n">
        <v>-1.69308855554124</v>
      </c>
    </row>
    <row r="39" customFormat="false" ht="13.8" hidden="false" customHeight="false" outlineLevel="0" collapsed="false">
      <c r="A39" s="2" t="n">
        <v>39500</v>
      </c>
      <c r="B39" s="0" t="n">
        <v>1353.11</v>
      </c>
      <c r="C39" s="0" t="n">
        <v>213.73</v>
      </c>
      <c r="D39" s="3" t="n">
        <f aca="false">B39*100/B$2</f>
        <v>93.5010641532381</v>
      </c>
      <c r="E39" s="3" t="n">
        <f aca="false">C39*100/C$2</f>
        <v>90.8329791755206</v>
      </c>
      <c r="F39" s="0" t="n">
        <v>96.811686337378</v>
      </c>
      <c r="G39" s="0" t="n">
        <v>98.7696780808896</v>
      </c>
      <c r="H39" s="0" t="n">
        <v>95.3718657033574</v>
      </c>
      <c r="I39" s="0" t="n">
        <v>-3.39781237753222</v>
      </c>
    </row>
    <row r="40" customFormat="false" ht="13.8" hidden="false" customHeight="false" outlineLevel="0" collapsed="false">
      <c r="A40" s="2" t="n">
        <v>39503</v>
      </c>
      <c r="B40" s="0" t="n">
        <v>1371.8</v>
      </c>
      <c r="C40" s="0" t="n">
        <v>217.07</v>
      </c>
      <c r="D40" s="3" t="n">
        <f aca="false">B40*100/B$2</f>
        <v>94.7925592194367</v>
      </c>
      <c r="E40" s="3" t="n">
        <f aca="false">C40*100/C$2</f>
        <v>92.2524436889078</v>
      </c>
      <c r="F40" s="0" t="n">
        <v>97.8640924293098</v>
      </c>
      <c r="G40" s="0" t="n">
        <v>99.1212240368022</v>
      </c>
      <c r="H40" s="0" t="n">
        <v>94.6918827029324</v>
      </c>
      <c r="I40" s="0" t="n">
        <v>-4.4293413338698</v>
      </c>
    </row>
    <row r="41" customFormat="false" ht="13.8" hidden="false" customHeight="false" outlineLevel="0" collapsed="false">
      <c r="A41" s="2" t="n">
        <v>39504</v>
      </c>
      <c r="B41" s="0" t="n">
        <v>1381.29</v>
      </c>
      <c r="C41" s="0" t="n">
        <v>217.22</v>
      </c>
      <c r="D41" s="3" t="n">
        <f aca="false">B41*100/B$2</f>
        <v>95.4483263771801</v>
      </c>
      <c r="E41" s="3" t="n">
        <f aca="false">C41*100/C$2</f>
        <v>92.3161920951976</v>
      </c>
      <c r="F41" s="0" t="n">
        <v>95.4248320849111</v>
      </c>
      <c r="G41" s="0" t="n">
        <v>98.3064129899399</v>
      </c>
      <c r="H41" s="0" t="n">
        <v>93.8844028899277</v>
      </c>
      <c r="I41" s="0" t="n">
        <v>-4.4220101000121</v>
      </c>
    </row>
    <row r="42" customFormat="false" ht="13.8" hidden="false" customHeight="false" outlineLevel="0" collapsed="false">
      <c r="A42" s="2" t="n">
        <v>39505</v>
      </c>
      <c r="B42" s="0" t="n">
        <v>1380.02</v>
      </c>
      <c r="C42" s="0" t="n">
        <v>218.87</v>
      </c>
      <c r="D42" s="3" t="n">
        <f aca="false">B42*100/B$2</f>
        <v>95.3605682854695</v>
      </c>
      <c r="E42" s="3" t="n">
        <f aca="false">C42*100/C$2</f>
        <v>93.0174245643859</v>
      </c>
      <c r="F42" s="0" t="n">
        <v>94.8893004228973</v>
      </c>
      <c r="G42" s="0" t="n">
        <v>98.1275238790848</v>
      </c>
      <c r="H42" s="0" t="n">
        <v>91.742456438589</v>
      </c>
      <c r="I42" s="0" t="n">
        <v>-6.38506744049575</v>
      </c>
    </row>
    <row r="43" customFormat="false" ht="13.8" hidden="false" customHeight="false" outlineLevel="0" collapsed="false">
      <c r="A43" s="2" t="n">
        <v>39506</v>
      </c>
      <c r="B43" s="0" t="n">
        <v>1367.68</v>
      </c>
      <c r="C43" s="0" t="n">
        <v>220.59</v>
      </c>
      <c r="D43" s="3" t="n">
        <f aca="false">B43*100/B$2</f>
        <v>94.5078636778242</v>
      </c>
      <c r="E43" s="3" t="n">
        <f aca="false">C43*100/C$2</f>
        <v>93.7484062898428</v>
      </c>
      <c r="F43" s="0" t="n">
        <v>92.1287210812903</v>
      </c>
      <c r="G43" s="0" t="n">
        <v>97.2053793657094</v>
      </c>
      <c r="H43" s="0" t="n">
        <v>93.0004249893753</v>
      </c>
      <c r="I43" s="0" t="n">
        <v>-4.20495437633412</v>
      </c>
    </row>
    <row r="44" customFormat="false" ht="13.8" hidden="false" customHeight="false" outlineLevel="0" collapsed="false">
      <c r="A44" s="2" t="n">
        <v>39507</v>
      </c>
      <c r="B44" s="0" t="n">
        <v>1330.63</v>
      </c>
      <c r="C44" s="0" t="n">
        <v>216.85</v>
      </c>
      <c r="D44" s="3" t="n">
        <f aca="false">B44*100/B$2</f>
        <v>91.9476768290997</v>
      </c>
      <c r="E44" s="3" t="n">
        <f aca="false">C44*100/C$2</f>
        <v>92.1589460263493</v>
      </c>
      <c r="F44" s="0" t="n">
        <v>91.5717681527958</v>
      </c>
      <c r="G44" s="0" t="n">
        <v>97.0193346904201</v>
      </c>
      <c r="H44" s="0" t="n">
        <v>93.4424139396515</v>
      </c>
      <c r="I44" s="0" t="n">
        <v>-3.57692075076862</v>
      </c>
    </row>
    <row r="45" customFormat="false" ht="13.8" hidden="false" customHeight="false" outlineLevel="0" collapsed="false">
      <c r="A45" s="2" t="n">
        <v>39510</v>
      </c>
      <c r="B45" s="0" t="n">
        <v>1331.34</v>
      </c>
      <c r="C45" s="0" t="n">
        <v>211.73</v>
      </c>
      <c r="D45" s="3" t="n">
        <f aca="false">B45*100/B$2</f>
        <v>91.9967384394262</v>
      </c>
      <c r="E45" s="3" t="n">
        <f aca="false">C45*100/C$2</f>
        <v>89.9830004249894</v>
      </c>
      <c r="F45" s="0" t="n">
        <v>91.5717681527958</v>
      </c>
      <c r="G45" s="0" t="n">
        <v>97.0193346904201</v>
      </c>
      <c r="H45" s="0" t="n">
        <v>90.7777305567361</v>
      </c>
      <c r="I45" s="0" t="n">
        <v>-6.24160413368405</v>
      </c>
    </row>
    <row r="46" customFormat="false" ht="13.8" hidden="false" customHeight="false" outlineLevel="0" collapsed="false">
      <c r="A46" s="2" t="n">
        <v>39511</v>
      </c>
      <c r="B46" s="0" t="n">
        <v>1326.75</v>
      </c>
      <c r="C46" s="0" t="n">
        <v>212.14</v>
      </c>
      <c r="D46" s="3" t="n">
        <f aca="false">B46*100/B$2</f>
        <v>91.6795654937947</v>
      </c>
      <c r="E46" s="3" t="n">
        <f aca="false">C46*100/C$2</f>
        <v>90.1572460688483</v>
      </c>
      <c r="F46" s="0" t="n">
        <v>90.556676525056</v>
      </c>
      <c r="G46" s="0" t="n">
        <v>96.6802532661026</v>
      </c>
      <c r="H46" s="0" t="n">
        <v>86.9315767105822</v>
      </c>
      <c r="I46" s="0" t="n">
        <v>-9.74867655552036</v>
      </c>
    </row>
    <row r="47" customFormat="false" ht="13.8" hidden="false" customHeight="false" outlineLevel="0" collapsed="false">
      <c r="A47" s="2" t="n">
        <v>39512</v>
      </c>
      <c r="B47" s="0" t="n">
        <v>1333.7</v>
      </c>
      <c r="C47" s="0" t="n">
        <v>212.14</v>
      </c>
      <c r="D47" s="3" t="n">
        <f aca="false">B47*100/B$2</f>
        <v>92.1598164681169</v>
      </c>
      <c r="E47" s="3" t="n">
        <f aca="false">C47*100/C$2</f>
        <v>90.1572460688483</v>
      </c>
      <c r="F47" s="0" t="n">
        <v>92.4984106802289</v>
      </c>
      <c r="G47" s="0" t="n">
        <v>97.3288705583642</v>
      </c>
      <c r="H47" s="0" t="n">
        <v>88.0705482362941</v>
      </c>
      <c r="I47" s="0" t="n">
        <v>-9.25832232207007</v>
      </c>
    </row>
    <row r="48" customFormat="false" ht="13.8" hidden="false" customHeight="false" outlineLevel="0" collapsed="false">
      <c r="A48" s="2" t="n">
        <v>39513</v>
      </c>
      <c r="B48" s="0" t="n">
        <v>1304.34</v>
      </c>
      <c r="C48" s="0" t="n">
        <v>214.92</v>
      </c>
      <c r="D48" s="3" t="n">
        <f aca="false">B48*100/B$2</f>
        <v>90.1310152298295</v>
      </c>
      <c r="E48" s="3" t="n">
        <f aca="false">C48*100/C$2</f>
        <v>91.3387165320867</v>
      </c>
      <c r="F48" s="0" t="n">
        <v>93.4291992592388</v>
      </c>
      <c r="G48" s="0" t="n">
        <v>97.6397913742632</v>
      </c>
      <c r="H48" s="0" t="n">
        <v>89.7577560560986</v>
      </c>
      <c r="I48" s="0" t="n">
        <v>-7.8820353181646</v>
      </c>
    </row>
    <row r="49" customFormat="false" ht="13.8" hidden="false" customHeight="false" outlineLevel="0" collapsed="false">
      <c r="A49" s="2" t="n">
        <v>39514</v>
      </c>
      <c r="B49" s="0" t="n">
        <v>1293.37</v>
      </c>
      <c r="C49" s="0" t="n">
        <v>210.57</v>
      </c>
      <c r="D49" s="3" t="n">
        <f aca="false">B49*100/B$2</f>
        <v>89.3729787998563</v>
      </c>
      <c r="E49" s="3" t="n">
        <f aca="false">C49*100/C$2</f>
        <v>89.4900127496813</v>
      </c>
      <c r="F49" s="0" t="n">
        <v>91.9462948119075</v>
      </c>
      <c r="G49" s="0" t="n">
        <v>97.1444416556891</v>
      </c>
      <c r="H49" s="0" t="n">
        <v>91.3982150446239</v>
      </c>
      <c r="I49" s="0" t="n">
        <v>-5.74622661106518</v>
      </c>
    </row>
    <row r="50" customFormat="false" ht="13.8" hidden="false" customHeight="false" outlineLevel="0" collapsed="false">
      <c r="A50" s="2" t="n">
        <v>39517</v>
      </c>
      <c r="B50" s="0" t="n">
        <v>1273.37</v>
      </c>
      <c r="C50" s="0" t="n">
        <v>206.29</v>
      </c>
      <c r="D50" s="3" t="n">
        <f aca="false">B50*100/B$2</f>
        <v>87.9909616075624</v>
      </c>
      <c r="E50" s="3" t="n">
        <f aca="false">C50*100/C$2</f>
        <v>87.6710582235444</v>
      </c>
      <c r="F50" s="0" t="n">
        <v>93.5597998839106</v>
      </c>
      <c r="G50" s="0" t="n">
        <v>97.6834172348459</v>
      </c>
      <c r="H50" s="0" t="n">
        <v>87.7688057798555</v>
      </c>
      <c r="I50" s="0" t="n">
        <v>-9.91461145499042</v>
      </c>
    </row>
    <row r="51" customFormat="false" ht="13.8" hidden="false" customHeight="false" outlineLevel="0" collapsed="false">
      <c r="A51" s="2" t="n">
        <v>39518</v>
      </c>
      <c r="B51" s="0" t="n">
        <v>1320.65</v>
      </c>
      <c r="C51" s="0" t="n">
        <v>208.06</v>
      </c>
      <c r="D51" s="3" t="n">
        <f aca="false">B51*100/B$2</f>
        <v>91.2580502501451</v>
      </c>
      <c r="E51" s="3" t="n">
        <f aca="false">C51*100/C$2</f>
        <v>88.4232894177645</v>
      </c>
      <c r="F51" s="0" t="n">
        <v>94.1361010530971</v>
      </c>
      <c r="G51" s="0" t="n">
        <v>97.8759250005919</v>
      </c>
      <c r="H51" s="0" t="n">
        <v>88.7377815554611</v>
      </c>
      <c r="I51" s="0" t="n">
        <v>-9.13814344513075</v>
      </c>
    </row>
    <row r="52" customFormat="false" ht="13.8" hidden="false" customHeight="false" outlineLevel="0" collapsed="false">
      <c r="A52" s="2" t="n">
        <v>39519</v>
      </c>
      <c r="B52" s="0" t="n">
        <v>1308.77</v>
      </c>
      <c r="C52" s="0" t="n">
        <v>210.49</v>
      </c>
      <c r="D52" s="3" t="n">
        <f aca="false">B52*100/B$2</f>
        <v>90.4371320379225</v>
      </c>
      <c r="E52" s="3" t="n">
        <f aca="false">C52*100/C$2</f>
        <v>89.45601359966</v>
      </c>
      <c r="F52" s="0" t="n">
        <v>93.6876364741977</v>
      </c>
      <c r="G52" s="0" t="n">
        <v>97.726119796792</v>
      </c>
      <c r="H52" s="0" t="n">
        <v>86.4853378665533</v>
      </c>
      <c r="I52" s="0" t="n">
        <v>-11.2407819302386</v>
      </c>
    </row>
    <row r="53" customFormat="false" ht="13.8" hidden="false" customHeight="false" outlineLevel="0" collapsed="false">
      <c r="A53" s="2" t="n">
        <v>39520</v>
      </c>
      <c r="B53" s="0" t="n">
        <v>1315.48</v>
      </c>
      <c r="C53" s="0" t="n">
        <v>204.42</v>
      </c>
      <c r="D53" s="3" t="n">
        <f aca="false">B53*100/B$2</f>
        <v>90.9007988059371</v>
      </c>
      <c r="E53" s="3" t="n">
        <f aca="false">C53*100/C$2</f>
        <v>86.8763280917977</v>
      </c>
      <c r="F53" s="0" t="n">
        <v>95.2589900218359</v>
      </c>
      <c r="G53" s="0" t="n">
        <v>98.2510150717396</v>
      </c>
      <c r="H53" s="0" t="n">
        <v>88.3000424989375</v>
      </c>
      <c r="I53" s="0" t="n">
        <v>-9.95097257280204</v>
      </c>
    </row>
    <row r="54" customFormat="false" ht="13.8" hidden="false" customHeight="false" outlineLevel="0" collapsed="false">
      <c r="A54" s="2" t="n">
        <v>39521</v>
      </c>
      <c r="B54" s="0" t="n">
        <v>1288.14</v>
      </c>
      <c r="C54" s="0" t="n">
        <v>202.63</v>
      </c>
      <c r="D54" s="3" t="n">
        <f aca="false">B54*100/B$2</f>
        <v>89.0115813040714</v>
      </c>
      <c r="E54" s="3" t="n">
        <f aca="false">C54*100/C$2</f>
        <v>86.1155971100722</v>
      </c>
      <c r="F54" s="0" t="n">
        <v>96.4247215235358</v>
      </c>
      <c r="G54" s="0" t="n">
        <v>98.6404162717557</v>
      </c>
      <c r="H54" s="0" t="n">
        <v>88.8567785805355</v>
      </c>
      <c r="I54" s="0" t="n">
        <v>-9.78363769122019</v>
      </c>
    </row>
    <row r="55" customFormat="false" ht="13.8" hidden="false" customHeight="false" outlineLevel="0" collapsed="false">
      <c r="A55" s="2" t="n">
        <v>39524</v>
      </c>
      <c r="B55" s="0" t="n">
        <v>1276.6</v>
      </c>
      <c r="C55" s="0" t="n">
        <v>199.68</v>
      </c>
      <c r="D55" s="3" t="n">
        <f aca="false">B55*100/B$2</f>
        <v>88.2141573841178</v>
      </c>
      <c r="E55" s="3" t="n">
        <f aca="false">C55*100/C$2</f>
        <v>84.8618784530387</v>
      </c>
      <c r="F55" s="0" t="n">
        <v>95.4158489731612</v>
      </c>
      <c r="G55" s="0" t="n">
        <v>98.3034122693707</v>
      </c>
      <c r="H55" s="0" t="n">
        <v>91.8954526136847</v>
      </c>
      <c r="I55" s="0" t="n">
        <v>-6.407959655686</v>
      </c>
    </row>
    <row r="56" customFormat="false" ht="13.8" hidden="false" customHeight="false" outlineLevel="0" collapsed="false">
      <c r="A56" s="2" t="n">
        <v>39525</v>
      </c>
      <c r="B56" s="0" t="n">
        <v>1330.74</v>
      </c>
      <c r="C56" s="0" t="n">
        <v>201.79</v>
      </c>
      <c r="D56" s="3" t="n">
        <f aca="false">B56*100/B$2</f>
        <v>91.9552779236574</v>
      </c>
      <c r="E56" s="3" t="n">
        <f aca="false">C56*100/C$2</f>
        <v>85.7586060348491</v>
      </c>
      <c r="F56" s="0" t="n">
        <v>92.3629729953841</v>
      </c>
      <c r="G56" s="0" t="n">
        <v>97.2836289251673</v>
      </c>
      <c r="H56" s="0" t="n">
        <v>92.1844453888653</v>
      </c>
      <c r="I56" s="0" t="n">
        <v>-5.09918353630199</v>
      </c>
    </row>
    <row r="57" customFormat="false" ht="13.8" hidden="false" customHeight="false" outlineLevel="0" collapsed="false">
      <c r="A57" s="2" t="n">
        <v>39526</v>
      </c>
      <c r="B57" s="0" t="n">
        <v>1298.42</v>
      </c>
      <c r="C57" s="0" t="n">
        <v>206.48</v>
      </c>
      <c r="D57" s="3" t="n">
        <f aca="false">B57*100/B$2</f>
        <v>89.7219381409105</v>
      </c>
      <c r="E57" s="3" t="n">
        <f aca="false">C57*100/C$2</f>
        <v>87.7518062048449</v>
      </c>
      <c r="F57" s="0" t="n">
        <v>91.6588352359103</v>
      </c>
      <c r="G57" s="0" t="n">
        <v>97.0484185974753</v>
      </c>
      <c r="H57" s="0" t="n">
        <v>92.1844453888653</v>
      </c>
      <c r="I57" s="0" t="n">
        <v>-4.86397320860999</v>
      </c>
    </row>
    <row r="58" customFormat="false" ht="13.8" hidden="false" customHeight="false" outlineLevel="0" collapsed="false">
      <c r="A58" s="2" t="n">
        <v>39527</v>
      </c>
      <c r="B58" s="0" t="n">
        <v>1329.51</v>
      </c>
      <c r="C58" s="0" t="n">
        <v>206.62</v>
      </c>
      <c r="D58" s="3" t="n">
        <f aca="false">B58*100/B$2</f>
        <v>91.8702838663313</v>
      </c>
      <c r="E58" s="3" t="n">
        <f aca="false">C58*100/C$2</f>
        <v>87.8113047173821</v>
      </c>
      <c r="F58" s="0" t="n">
        <v>92.38163022748</v>
      </c>
      <c r="G58" s="0" t="n">
        <v>97.2898611909648</v>
      </c>
      <c r="H58" s="0" t="n">
        <v>92.1844453888653</v>
      </c>
      <c r="I58" s="0" t="n">
        <v>-5.10541580209953</v>
      </c>
    </row>
    <row r="59" customFormat="false" ht="13.8" hidden="false" customHeight="false" outlineLevel="0" collapsed="false">
      <c r="A59" s="2" t="n">
        <v>39528</v>
      </c>
      <c r="B59" s="0" t="n">
        <v>1329.51</v>
      </c>
      <c r="C59" s="0" t="n">
        <v>209.69</v>
      </c>
      <c r="D59" s="3" t="n">
        <f aca="false">B59*100/B$2</f>
        <v>91.8702838663313</v>
      </c>
      <c r="E59" s="3" t="n">
        <f aca="false">C59*100/C$2</f>
        <v>89.1160220994475</v>
      </c>
      <c r="F59" s="0" t="n">
        <v>91.9932833964455</v>
      </c>
      <c r="G59" s="0" t="n">
        <v>97.1601377325125</v>
      </c>
      <c r="H59" s="0" t="n">
        <v>92.1844453888653</v>
      </c>
      <c r="I59" s="0" t="n">
        <v>-4.97569234364721</v>
      </c>
    </row>
    <row r="60" customFormat="false" ht="13.8" hidden="false" customHeight="false" outlineLevel="0" collapsed="false">
      <c r="A60" s="2" t="n">
        <v>39531</v>
      </c>
      <c r="B60" s="0" t="n">
        <v>1349.88</v>
      </c>
      <c r="C60" s="0" t="n">
        <v>211</v>
      </c>
      <c r="D60" s="3" t="n">
        <f aca="false">B60*100/B$2</f>
        <v>93.2778683766826</v>
      </c>
      <c r="E60" s="3" t="n">
        <f aca="false">C60*100/C$2</f>
        <v>89.6727581810455</v>
      </c>
      <c r="F60" s="0" t="n">
        <v>92.5350341358246</v>
      </c>
      <c r="G60" s="0" t="n">
        <v>97.3411042653001</v>
      </c>
      <c r="H60" s="0" t="n">
        <v>88.788780280493</v>
      </c>
      <c r="I60" s="0" t="n">
        <v>-8.55232398480706</v>
      </c>
    </row>
    <row r="61" customFormat="false" ht="13.8" hidden="false" customHeight="false" outlineLevel="0" collapsed="false">
      <c r="A61" s="2" t="n">
        <v>39532</v>
      </c>
      <c r="B61" s="0" t="n">
        <v>1352.99</v>
      </c>
      <c r="C61" s="0" t="n">
        <v>213.73</v>
      </c>
      <c r="D61" s="3" t="n">
        <f aca="false">B61*100/B$2</f>
        <v>93.4927720500843</v>
      </c>
      <c r="E61" s="3" t="n">
        <f aca="false">C61*100/C$2</f>
        <v>90.8329791755206</v>
      </c>
      <c r="F61" s="0" t="n">
        <v>93.2073854998756</v>
      </c>
      <c r="G61" s="0" t="n">
        <v>97.5656966586703</v>
      </c>
      <c r="H61" s="0" t="n">
        <v>88.8270293242669</v>
      </c>
      <c r="I61" s="0" t="n">
        <v>-8.73866733440345</v>
      </c>
    </row>
    <row r="62" customFormat="false" ht="13.8" hidden="false" customHeight="false" outlineLevel="0" collapsed="false">
      <c r="A62" s="2" t="n">
        <v>39533</v>
      </c>
      <c r="B62" s="0" t="n">
        <v>1341.13</v>
      </c>
      <c r="C62" s="0" t="n">
        <v>214.41</v>
      </c>
      <c r="D62" s="3" t="n">
        <f aca="false">B62*100/B$2</f>
        <v>92.673235855054</v>
      </c>
      <c r="E62" s="3" t="n">
        <f aca="false">C62*100/C$2</f>
        <v>91.1219719507012</v>
      </c>
      <c r="F62" s="0" t="n">
        <v>94.4753862738052</v>
      </c>
      <c r="G62" s="0" t="n">
        <v>97.9892599082433</v>
      </c>
      <c r="H62" s="0" t="n">
        <v>88.2107947301317</v>
      </c>
      <c r="I62" s="0" t="n">
        <v>-9.77846517811153</v>
      </c>
    </row>
    <row r="63" customFormat="false" ht="13.8" hidden="false" customHeight="false" outlineLevel="0" collapsed="false">
      <c r="A63" s="2" t="n">
        <v>39534</v>
      </c>
      <c r="B63" s="0" t="n">
        <v>1325.76</v>
      </c>
      <c r="C63" s="0" t="n">
        <v>213.85</v>
      </c>
      <c r="D63" s="3" t="n">
        <f aca="false">B63*100/B$2</f>
        <v>91.6111556427762</v>
      </c>
      <c r="E63" s="3" t="n">
        <f aca="false">C63*100/C$2</f>
        <v>90.8839779005525</v>
      </c>
      <c r="F63" s="0" t="n">
        <v>93.2073854998756</v>
      </c>
      <c r="G63" s="0" t="n">
        <v>97.5656966586703</v>
      </c>
      <c r="H63" s="0" t="n">
        <v>91.8827029324267</v>
      </c>
      <c r="I63" s="0" t="n">
        <v>-5.68299372624365</v>
      </c>
    </row>
    <row r="64" customFormat="false" ht="13.8" hidden="false" customHeight="false" outlineLevel="0" collapsed="false">
      <c r="A64" s="2" t="n">
        <v>39535</v>
      </c>
      <c r="B64" s="0" t="n">
        <v>1315.22</v>
      </c>
      <c r="C64" s="0" t="n">
        <v>217.22</v>
      </c>
      <c r="D64" s="3" t="n">
        <f aca="false">B64*100/B$2</f>
        <v>90.8828325824373</v>
      </c>
      <c r="E64" s="3" t="n">
        <f aca="false">C64*100/C$2</f>
        <v>92.3161920951976</v>
      </c>
      <c r="F64" s="0" t="n">
        <v>93.2854694712402</v>
      </c>
      <c r="G64" s="0" t="n">
        <v>97.5917798451563</v>
      </c>
      <c r="H64" s="0" t="n">
        <v>91.5342116447089</v>
      </c>
      <c r="I64" s="0" t="n">
        <v>-6.05756820044742</v>
      </c>
    </row>
    <row r="65" customFormat="false" ht="13.8" hidden="false" customHeight="false" outlineLevel="0" collapsed="false">
      <c r="A65" s="2" t="n">
        <v>39538</v>
      </c>
      <c r="B65" s="0" t="n">
        <v>1322.7</v>
      </c>
      <c r="C65" s="0" t="n">
        <v>217.65</v>
      </c>
      <c r="D65" s="3" t="n">
        <f aca="false">B65*100/B$2</f>
        <v>91.3997070123552</v>
      </c>
      <c r="E65" s="3" t="n">
        <f aca="false">C65*100/C$2</f>
        <v>92.4989375265618</v>
      </c>
      <c r="F65" s="0" t="n">
        <v>93.2854694712402</v>
      </c>
      <c r="G65" s="0" t="n">
        <v>97.5917798451563</v>
      </c>
      <c r="H65" s="0" t="n">
        <v>91.5682107947301</v>
      </c>
      <c r="I65" s="0" t="n">
        <v>-6.02356905042618</v>
      </c>
    </row>
    <row r="66" customFormat="false" ht="13.8" hidden="false" customHeight="false" outlineLevel="0" collapsed="false">
      <c r="A66" s="2" t="n">
        <v>39539</v>
      </c>
      <c r="B66" s="0" t="n">
        <v>1370.18</v>
      </c>
      <c r="C66" s="0" t="n">
        <v>217.81</v>
      </c>
      <c r="D66" s="3" t="n">
        <f aca="false">B66*100/B$2</f>
        <v>94.6806158268609</v>
      </c>
      <c r="E66" s="3" t="n">
        <f aca="false">C66*100/C$2</f>
        <v>92.5669358266043</v>
      </c>
      <c r="F66" s="0" t="n">
        <v>93.2018574311064</v>
      </c>
      <c r="G66" s="0" t="n">
        <v>97.563850061397</v>
      </c>
      <c r="H66" s="0" t="n">
        <v>92.8049298767531</v>
      </c>
      <c r="I66" s="0" t="n">
        <v>-4.7589201846439</v>
      </c>
    </row>
    <row r="67" customFormat="false" ht="13.8" hidden="false" customHeight="false" outlineLevel="0" collapsed="false">
      <c r="A67" s="2" t="n">
        <v>39540</v>
      </c>
      <c r="B67" s="0" t="n">
        <v>1367.53</v>
      </c>
      <c r="C67" s="0" t="n">
        <v>223.76</v>
      </c>
      <c r="D67" s="3" t="n">
        <f aca="false">B67*100/B$2</f>
        <v>94.4974985488819</v>
      </c>
      <c r="E67" s="3" t="n">
        <f aca="false">C67*100/C$2</f>
        <v>95.0956226094348</v>
      </c>
      <c r="F67" s="0" t="n">
        <v>93.9792421017718</v>
      </c>
      <c r="G67" s="0" t="n">
        <v>97.8235278029608</v>
      </c>
      <c r="H67" s="0" t="n">
        <v>90.8797280067998</v>
      </c>
      <c r="I67" s="0" t="n">
        <v>-6.94379979616095</v>
      </c>
    </row>
    <row r="68" customFormat="false" ht="13.8" hidden="false" customHeight="false" outlineLevel="0" collapsed="false">
      <c r="A68" s="2" t="n">
        <v>39541</v>
      </c>
      <c r="B68" s="0" t="n">
        <v>1369.31</v>
      </c>
      <c r="C68" s="0" t="n">
        <v>226.99</v>
      </c>
      <c r="D68" s="3" t="n">
        <f aca="false">B68*100/B$2</f>
        <v>94.6204980789961</v>
      </c>
      <c r="E68" s="3" t="n">
        <f aca="false">C68*100/C$2</f>
        <v>96.4683382915427</v>
      </c>
      <c r="F68" s="0" t="n">
        <v>92.7699770585146</v>
      </c>
      <c r="G68" s="0" t="n">
        <v>97.4195846494171</v>
      </c>
      <c r="H68" s="0" t="n">
        <v>91.9592010199745</v>
      </c>
      <c r="I68" s="0" t="n">
        <v>-5.4603836294426</v>
      </c>
    </row>
    <row r="69" customFormat="false" ht="13.8" hidden="false" customHeight="false" outlineLevel="0" collapsed="false">
      <c r="A69" s="2" t="n">
        <v>39542</v>
      </c>
      <c r="B69" s="0" t="n">
        <v>1370.4</v>
      </c>
      <c r="C69" s="0" t="n">
        <v>226.95</v>
      </c>
      <c r="D69" s="3" t="n">
        <f aca="false">B69*100/B$2</f>
        <v>94.6958180159761</v>
      </c>
      <c r="E69" s="3" t="n">
        <f aca="false">C69*100/C$2</f>
        <v>96.4513387165321</v>
      </c>
      <c r="F69" s="0" t="n">
        <v>93.5010641532381</v>
      </c>
      <c r="G69" s="0" t="n">
        <v>97.6637971388167</v>
      </c>
      <c r="H69" s="0" t="n">
        <v>90.8329791755206</v>
      </c>
      <c r="I69" s="0" t="n">
        <v>-6.83081796329604</v>
      </c>
    </row>
    <row r="70" customFormat="false" ht="13.8" hidden="false" customHeight="false" outlineLevel="0" collapsed="false">
      <c r="A70" s="2" t="n">
        <v>39545</v>
      </c>
      <c r="B70" s="0" t="n">
        <v>1372.54</v>
      </c>
      <c r="C70" s="0" t="n">
        <v>227.79</v>
      </c>
      <c r="D70" s="3" t="n">
        <f aca="false">B70*100/B$2</f>
        <v>94.8436938555516</v>
      </c>
      <c r="E70" s="3" t="n">
        <f aca="false">C70*100/C$2</f>
        <v>96.8083297917552</v>
      </c>
      <c r="F70" s="0" t="n">
        <v>94.7925592194367</v>
      </c>
      <c r="G70" s="0" t="n">
        <v>98.0952084268013</v>
      </c>
      <c r="H70" s="0" t="n">
        <v>92.2524436889078</v>
      </c>
      <c r="I70" s="0" t="n">
        <v>-5.84276473789352</v>
      </c>
    </row>
    <row r="71" customFormat="false" ht="13.8" hidden="false" customHeight="false" outlineLevel="0" collapsed="false">
      <c r="A71" s="2" t="n">
        <v>39546</v>
      </c>
      <c r="B71" s="0" t="n">
        <v>1365.54</v>
      </c>
      <c r="C71" s="0" t="n">
        <v>225.1</v>
      </c>
      <c r="D71" s="3" t="n">
        <f aca="false">B71*100/B$2</f>
        <v>94.3599878382487</v>
      </c>
      <c r="E71" s="3" t="n">
        <f aca="false">C71*100/C$2</f>
        <v>95.6651083722907</v>
      </c>
      <c r="F71" s="0" t="n">
        <v>95.4483263771801</v>
      </c>
      <c r="G71" s="0" t="n">
        <v>98.3142610283515</v>
      </c>
      <c r="H71" s="0" t="n">
        <v>92.3161920951976</v>
      </c>
      <c r="I71" s="0" t="n">
        <v>-5.99806893315392</v>
      </c>
    </row>
    <row r="72" customFormat="false" ht="13.8" hidden="false" customHeight="false" outlineLevel="0" collapsed="false">
      <c r="A72" s="2" t="n">
        <v>39547</v>
      </c>
      <c r="B72" s="0" t="n">
        <v>1354.49</v>
      </c>
      <c r="C72" s="0" t="n">
        <v>225.1</v>
      </c>
      <c r="D72" s="3" t="n">
        <f aca="false">B72*100/B$2</f>
        <v>93.5964233395064</v>
      </c>
      <c r="E72" s="3" t="n">
        <f aca="false">C72*100/C$2</f>
        <v>95.6651083722907</v>
      </c>
      <c r="F72" s="0" t="n">
        <v>95.3605682854695</v>
      </c>
      <c r="G72" s="0" t="n">
        <v>98.2849462966372</v>
      </c>
      <c r="H72" s="0" t="n">
        <v>93.0174245643859</v>
      </c>
      <c r="I72" s="0" t="n">
        <v>-5.26752173225134</v>
      </c>
    </row>
    <row r="73" customFormat="false" ht="13.8" hidden="false" customHeight="false" outlineLevel="0" collapsed="false">
      <c r="A73" s="2" t="n">
        <v>39548</v>
      </c>
      <c r="B73" s="0" t="n">
        <v>1360.55</v>
      </c>
      <c r="C73" s="0" t="n">
        <v>226.44</v>
      </c>
      <c r="D73" s="3" t="n">
        <f aca="false">B73*100/B$2</f>
        <v>94.0151745487714</v>
      </c>
      <c r="E73" s="3" t="n">
        <f aca="false">C73*100/C$2</f>
        <v>96.2345941351466</v>
      </c>
      <c r="F73" s="0" t="n">
        <v>94.5078636778242</v>
      </c>
      <c r="G73" s="0" t="n">
        <v>98.0001086672242</v>
      </c>
      <c r="H73" s="0" t="n">
        <v>93.7484062898428</v>
      </c>
      <c r="I73" s="0" t="n">
        <v>-4.25170237738141</v>
      </c>
    </row>
    <row r="74" customFormat="false" ht="13.8" hidden="false" customHeight="false" outlineLevel="0" collapsed="false">
      <c r="A74" s="2" t="n">
        <v>39549</v>
      </c>
      <c r="B74" s="0" t="n">
        <v>1332.83</v>
      </c>
      <c r="C74" s="0" t="n">
        <v>228.8</v>
      </c>
      <c r="D74" s="3" t="n">
        <f aca="false">B74*100/B$2</f>
        <v>92.0996987202521</v>
      </c>
      <c r="E74" s="3" t="n">
        <f aca="false">C74*100/C$2</f>
        <v>97.2375690607735</v>
      </c>
      <c r="F74" s="0" t="n">
        <v>91.9476768290997</v>
      </c>
      <c r="G74" s="0" t="n">
        <v>97.1449033050074</v>
      </c>
      <c r="H74" s="0" t="n">
        <v>92.1589460263493</v>
      </c>
      <c r="I74" s="0" t="n">
        <v>-4.98595727865806</v>
      </c>
    </row>
    <row r="75" customFormat="false" ht="13.8" hidden="false" customHeight="false" outlineLevel="0" collapsed="false">
      <c r="A75" s="2" t="n">
        <v>39552</v>
      </c>
      <c r="B75" s="0" t="n">
        <v>1328.32</v>
      </c>
      <c r="C75" s="0" t="n">
        <v>224.54</v>
      </c>
      <c r="D75" s="3" t="n">
        <f aca="false">B75*100/B$2</f>
        <v>91.7880538433898</v>
      </c>
      <c r="E75" s="3" t="n">
        <f aca="false">C75*100/C$2</f>
        <v>95.4271143221419</v>
      </c>
      <c r="F75" s="0" t="n">
        <v>91.9967384394262</v>
      </c>
      <c r="G75" s="0" t="n">
        <v>97.1612918558083</v>
      </c>
      <c r="H75" s="0" t="n">
        <v>89.9830004249894</v>
      </c>
      <c r="I75" s="0" t="n">
        <v>-7.17829143081895</v>
      </c>
    </row>
    <row r="76" customFormat="false" ht="13.8" hidden="false" customHeight="false" outlineLevel="0" collapsed="false">
      <c r="A76" s="2" t="n">
        <v>39553</v>
      </c>
      <c r="B76" s="0" t="n">
        <v>1334.43</v>
      </c>
      <c r="C76" s="0" t="n">
        <v>223.51</v>
      </c>
      <c r="D76" s="3" t="n">
        <f aca="false">B76*100/B$2</f>
        <v>92.2102600956356</v>
      </c>
      <c r="E76" s="3" t="n">
        <f aca="false">C76*100/C$2</f>
        <v>94.9893752656184</v>
      </c>
      <c r="F76" s="0" t="n">
        <v>91.6795654937947</v>
      </c>
      <c r="G76" s="0" t="n">
        <v>97.0553433372503</v>
      </c>
      <c r="H76" s="0" t="n">
        <v>90.1572460688483</v>
      </c>
      <c r="I76" s="0" t="n">
        <v>-6.89809726840201</v>
      </c>
    </row>
    <row r="77" customFormat="false" ht="13.8" hidden="false" customHeight="false" outlineLevel="0" collapsed="false">
      <c r="A77" s="2" t="n">
        <v>39554</v>
      </c>
      <c r="B77" s="0" t="n">
        <v>1364.71</v>
      </c>
      <c r="C77" s="0" t="n">
        <v>225.36</v>
      </c>
      <c r="D77" s="3" t="n">
        <f aca="false">B77*100/B$2</f>
        <v>94.3026341247685</v>
      </c>
      <c r="E77" s="3" t="n">
        <f aca="false">C77*100/C$2</f>
        <v>95.7756056098598</v>
      </c>
      <c r="F77" s="0" t="n">
        <v>92.1598164681169</v>
      </c>
      <c r="G77" s="0" t="n">
        <v>97.2157664753719</v>
      </c>
      <c r="H77" s="0" t="n">
        <v>90.1572460688483</v>
      </c>
      <c r="I77" s="0" t="n">
        <v>-7.05852040652364</v>
      </c>
    </row>
    <row r="78" customFormat="false" ht="13.8" hidden="false" customHeight="false" outlineLevel="0" collapsed="false">
      <c r="A78" s="2" t="n">
        <v>39555</v>
      </c>
      <c r="B78" s="0" t="n">
        <v>1365.56</v>
      </c>
      <c r="C78" s="0" t="n">
        <v>226.98</v>
      </c>
      <c r="D78" s="3" t="n">
        <f aca="false">B78*100/B$2</f>
        <v>94.361369855441</v>
      </c>
      <c r="E78" s="3" t="n">
        <f aca="false">C78*100/C$2</f>
        <v>96.46408839779</v>
      </c>
      <c r="F78" s="0" t="n">
        <v>90.1310152298295</v>
      </c>
      <c r="G78" s="0" t="n">
        <v>96.5380652760552</v>
      </c>
      <c r="H78" s="0" t="n">
        <v>91.3387165320867</v>
      </c>
      <c r="I78" s="0" t="n">
        <v>-5.19934874396853</v>
      </c>
    </row>
    <row r="79" customFormat="false" ht="13.8" hidden="false" customHeight="false" outlineLevel="0" collapsed="false">
      <c r="A79" s="2" t="n">
        <v>39556</v>
      </c>
      <c r="B79" s="0" t="n">
        <v>1390.33</v>
      </c>
      <c r="C79" s="0" t="n">
        <v>227.25</v>
      </c>
      <c r="D79" s="3" t="n">
        <f aca="false">B79*100/B$2</f>
        <v>96.072998148097</v>
      </c>
      <c r="E79" s="3" t="n">
        <f aca="false">C79*100/C$2</f>
        <v>96.5788355291118</v>
      </c>
      <c r="F79" s="0" t="n">
        <v>89.3729787998563</v>
      </c>
      <c r="G79" s="0" t="n">
        <v>96.2848506249481</v>
      </c>
      <c r="H79" s="0" t="n">
        <v>89.4900127496813</v>
      </c>
      <c r="I79" s="0" t="n">
        <v>-6.79483787526688</v>
      </c>
    </row>
    <row r="80" customFormat="false" ht="13.8" hidden="false" customHeight="false" outlineLevel="0" collapsed="false">
      <c r="A80" s="2" t="n">
        <v>39559</v>
      </c>
      <c r="B80" s="0" t="n">
        <v>1388.17</v>
      </c>
      <c r="C80" s="0" t="n">
        <v>231.11</v>
      </c>
      <c r="D80" s="3" t="n">
        <f aca="false">B80*100/B$2</f>
        <v>95.9237402913292</v>
      </c>
      <c r="E80" s="3" t="n">
        <f aca="false">C80*100/C$2</f>
        <v>98.219294517637</v>
      </c>
      <c r="F80" s="0" t="n">
        <v>87.9909616075624</v>
      </c>
      <c r="G80" s="0" t="n">
        <v>95.8232013066125</v>
      </c>
      <c r="H80" s="0" t="n">
        <v>87.6710582235444</v>
      </c>
      <c r="I80" s="0" t="n">
        <v>-8.1521430830681</v>
      </c>
    </row>
    <row r="81" customFormat="false" ht="13.8" hidden="false" customHeight="false" outlineLevel="0" collapsed="false">
      <c r="A81" s="2" t="n">
        <v>39560</v>
      </c>
      <c r="B81" s="0" t="n">
        <v>1375.94</v>
      </c>
      <c r="C81" s="0" t="n">
        <v>229.22</v>
      </c>
      <c r="D81" s="3" t="n">
        <f aca="false">B81*100/B$2</f>
        <v>95.0786367782415</v>
      </c>
      <c r="E81" s="3" t="n">
        <f aca="false">C81*100/C$2</f>
        <v>97.416064598385</v>
      </c>
      <c r="F81" s="0" t="n">
        <v>91.2580502501451</v>
      </c>
      <c r="G81" s="0" t="n">
        <v>96.9145402951579</v>
      </c>
      <c r="H81" s="0" t="n">
        <v>88.4232894177645</v>
      </c>
      <c r="I81" s="0" t="n">
        <v>-8.49125087739338</v>
      </c>
    </row>
    <row r="82" customFormat="false" ht="13.8" hidden="false" customHeight="false" outlineLevel="0" collapsed="false">
      <c r="A82" s="2" t="n">
        <v>39561</v>
      </c>
      <c r="B82" s="0" t="n">
        <v>1379.93</v>
      </c>
      <c r="C82" s="0" t="n">
        <v>230.56</v>
      </c>
      <c r="D82" s="3" t="n">
        <f aca="false">B82*100/B$2</f>
        <v>95.3543492081041</v>
      </c>
      <c r="E82" s="3" t="n">
        <f aca="false">C82*100/C$2</f>
        <v>97.985550361241</v>
      </c>
      <c r="F82" s="0" t="n">
        <v>90.4371320379225</v>
      </c>
      <c r="G82" s="0" t="n">
        <v>96.6403206000666</v>
      </c>
      <c r="H82" s="0" t="n">
        <v>89.45601359966</v>
      </c>
      <c r="I82" s="0" t="n">
        <v>-7.18430700040656</v>
      </c>
    </row>
    <row r="83" customFormat="false" ht="13.8" hidden="false" customHeight="false" outlineLevel="0" collapsed="false">
      <c r="A83" s="2" t="n">
        <v>39562</v>
      </c>
      <c r="B83" s="0" t="n">
        <v>1388.82</v>
      </c>
      <c r="C83" s="0" t="n">
        <v>230.77</v>
      </c>
      <c r="D83" s="3" t="n">
        <f aca="false">B83*100/B$2</f>
        <v>95.9686558500788</v>
      </c>
      <c r="E83" s="3" t="n">
        <f aca="false">C83*100/C$2</f>
        <v>98.0747981300467</v>
      </c>
      <c r="F83" s="0" t="n">
        <v>90.9007988059371</v>
      </c>
      <c r="G83" s="0" t="n">
        <v>96.7952039463682</v>
      </c>
      <c r="H83" s="0" t="n">
        <v>86.8763280917977</v>
      </c>
      <c r="I83" s="0" t="n">
        <v>-9.91887585457047</v>
      </c>
    </row>
    <row r="84" customFormat="false" ht="13.8" hidden="false" customHeight="false" outlineLevel="0" collapsed="false">
      <c r="A84" s="2" t="n">
        <v>39563</v>
      </c>
      <c r="B84" s="0" t="n">
        <v>1397.84</v>
      </c>
      <c r="C84" s="0" t="n">
        <v>234.56</v>
      </c>
      <c r="D84" s="3" t="n">
        <f aca="false">B84*100/B$2</f>
        <v>96.5919456038033</v>
      </c>
      <c r="E84" s="3" t="n">
        <f aca="false">C84*100/C$2</f>
        <v>99.6855078623034</v>
      </c>
      <c r="F84" s="0" t="n">
        <v>89.0115813040714</v>
      </c>
      <c r="G84" s="0" t="n">
        <v>96.1641293282034</v>
      </c>
      <c r="H84" s="0" t="n">
        <v>86.1155971100722</v>
      </c>
      <c r="I84" s="0" t="n">
        <v>-10.0485322181311</v>
      </c>
    </row>
    <row r="85" customFormat="false" ht="13.8" hidden="false" customHeight="false" outlineLevel="0" collapsed="false">
      <c r="A85" s="2" t="n">
        <v>39566</v>
      </c>
      <c r="B85" s="0" t="n">
        <v>1396.37</v>
      </c>
      <c r="C85" s="0" t="n">
        <v>234.97</v>
      </c>
      <c r="D85" s="3" t="n">
        <f aca="false">B85*100/B$2</f>
        <v>96.4903673401697</v>
      </c>
      <c r="E85" s="3" t="n">
        <f aca="false">C85*100/C$2</f>
        <v>99.8597535061623</v>
      </c>
      <c r="F85" s="0" t="n">
        <v>88.2141573841178</v>
      </c>
      <c r="G85" s="0" t="n">
        <v>95.8977576715237</v>
      </c>
      <c r="H85" s="0" t="n">
        <v>84.8618784530387</v>
      </c>
      <c r="I85" s="0" t="n">
        <v>-11.0358792184851</v>
      </c>
    </row>
    <row r="86" customFormat="false" ht="13.8" hidden="false" customHeight="false" outlineLevel="0" collapsed="false">
      <c r="A86" s="2" t="n">
        <v>39567</v>
      </c>
      <c r="B86" s="0" t="n">
        <v>1390.94</v>
      </c>
      <c r="C86" s="0" t="n">
        <v>233.24</v>
      </c>
      <c r="D86" s="3" t="n">
        <f aca="false">B86*100/B$2</f>
        <v>96.1151496724619</v>
      </c>
      <c r="E86" s="3" t="n">
        <f aca="false">C86*100/C$2</f>
        <v>99.1245218869528</v>
      </c>
      <c r="F86" s="0" t="n">
        <v>91.9552779236574</v>
      </c>
      <c r="G86" s="0" t="n">
        <v>97.1474423762583</v>
      </c>
      <c r="H86" s="0" t="n">
        <v>85.7586060348491</v>
      </c>
      <c r="I86" s="0" t="n">
        <v>-11.3888363414091</v>
      </c>
    </row>
    <row r="87" customFormat="false" ht="13.8" hidden="false" customHeight="false" outlineLevel="0" collapsed="false">
      <c r="A87" s="2" t="n">
        <v>39568</v>
      </c>
      <c r="B87" s="0" t="n">
        <v>1385.59</v>
      </c>
      <c r="C87" s="0" t="n">
        <v>235</v>
      </c>
      <c r="D87" s="3" t="n">
        <f aca="false">B87*100/B$2</f>
        <v>95.7454600735233</v>
      </c>
      <c r="E87" s="3" t="n">
        <f aca="false">C87*100/C$2</f>
        <v>99.8725031874203</v>
      </c>
      <c r="F87" s="0" t="n">
        <v>89.7219381409105</v>
      </c>
      <c r="G87" s="0" t="n">
        <v>96.4014170778279</v>
      </c>
      <c r="H87" s="0" t="n">
        <v>87.7518062048449</v>
      </c>
      <c r="I87" s="0" t="n">
        <v>-8.64961087298302</v>
      </c>
    </row>
    <row r="88" customFormat="false" ht="13.8" hidden="false" customHeight="false" outlineLevel="0" collapsed="false">
      <c r="A88" s="2" t="n">
        <v>39569</v>
      </c>
      <c r="B88" s="0" t="n">
        <v>1409.34</v>
      </c>
      <c r="C88" s="0" t="n">
        <v>235</v>
      </c>
      <c r="D88" s="3" t="n">
        <f aca="false">B88*100/B$2</f>
        <v>97.3866054893723</v>
      </c>
      <c r="E88" s="3" t="n">
        <f aca="false">C88*100/C$2</f>
        <v>99.8725031874203</v>
      </c>
      <c r="F88" s="0" t="n">
        <v>91.8702838663313</v>
      </c>
      <c r="G88" s="0" t="n">
        <v>97.1190509431806</v>
      </c>
      <c r="H88" s="0" t="n">
        <v>87.8113047173821</v>
      </c>
      <c r="I88" s="0" t="n">
        <v>-9.30774622579855</v>
      </c>
    </row>
    <row r="89" customFormat="false" ht="13.8" hidden="false" customHeight="false" outlineLevel="0" collapsed="false">
      <c r="A89" s="2" t="n">
        <v>39570</v>
      </c>
      <c r="B89" s="0" t="n">
        <v>1413.9</v>
      </c>
      <c r="C89" s="0" t="n">
        <v>238.18</v>
      </c>
      <c r="D89" s="3" t="n">
        <f aca="false">B89*100/B$2</f>
        <v>97.7017054092153</v>
      </c>
      <c r="E89" s="3" t="n">
        <f aca="false">C89*100/C$2</f>
        <v>101.223969400765</v>
      </c>
      <c r="F89" s="0" t="n">
        <v>91.8702838663313</v>
      </c>
      <c r="G89" s="0" t="n">
        <v>97.1190509431806</v>
      </c>
      <c r="H89" s="0" t="n">
        <v>89.1160220994475</v>
      </c>
      <c r="I89" s="0" t="n">
        <v>-8.00302884373311</v>
      </c>
    </row>
    <row r="90" customFormat="false" ht="13.8" hidden="false" customHeight="false" outlineLevel="0" collapsed="false">
      <c r="A90" s="2" t="n">
        <v>39573</v>
      </c>
      <c r="B90" s="0" t="n">
        <v>1407.49</v>
      </c>
      <c r="C90" s="0" t="n">
        <v>238.18</v>
      </c>
      <c r="D90" s="3" t="n">
        <f aca="false">B90*100/B$2</f>
        <v>97.2587688990851</v>
      </c>
      <c r="E90" s="3" t="n">
        <f aca="false">C90*100/C$2</f>
        <v>101.223969400765</v>
      </c>
      <c r="F90" s="0" t="n">
        <v>93.2778683766826</v>
      </c>
      <c r="G90" s="0" t="n">
        <v>97.5892407739054</v>
      </c>
      <c r="H90" s="0" t="n">
        <v>89.6727581810455</v>
      </c>
      <c r="I90" s="0" t="n">
        <v>-7.91648259285998</v>
      </c>
    </row>
    <row r="91" customFormat="false" ht="13.8" hidden="false" customHeight="false" outlineLevel="0" collapsed="false">
      <c r="A91" s="2" t="n">
        <v>39574</v>
      </c>
      <c r="B91" s="0" t="n">
        <v>1418.26</v>
      </c>
      <c r="C91" s="0" t="n">
        <v>239.53</v>
      </c>
      <c r="D91" s="3" t="n">
        <f aca="false">B91*100/B$2</f>
        <v>98.0029851571354</v>
      </c>
      <c r="E91" s="3" t="n">
        <f aca="false">C91*100/C$2</f>
        <v>101.797705057374</v>
      </c>
      <c r="F91" s="0" t="n">
        <v>93.4927720500843</v>
      </c>
      <c r="G91" s="0" t="n">
        <v>97.6610272429067</v>
      </c>
      <c r="H91" s="0" t="n">
        <v>90.8329791755206</v>
      </c>
      <c r="I91" s="0" t="n">
        <v>-6.82804806738604</v>
      </c>
    </row>
    <row r="92" customFormat="false" ht="13.8" hidden="false" customHeight="false" outlineLevel="0" collapsed="false">
      <c r="A92" s="2" t="n">
        <v>39575</v>
      </c>
      <c r="B92" s="0" t="n">
        <v>1392.57</v>
      </c>
      <c r="C92" s="0" t="n">
        <v>238.66</v>
      </c>
      <c r="D92" s="3" t="n">
        <f aca="false">B92*100/B$2</f>
        <v>96.2277840736339</v>
      </c>
      <c r="E92" s="3" t="n">
        <f aca="false">C92*100/C$2</f>
        <v>101.427964300892</v>
      </c>
      <c r="F92" s="0" t="n">
        <v>92.673235855054</v>
      </c>
      <c r="G92" s="0" t="n">
        <v>97.3872691971336</v>
      </c>
      <c r="H92" s="0" t="n">
        <v>91.1219719507012</v>
      </c>
      <c r="I92" s="0" t="n">
        <v>-6.26529724643238</v>
      </c>
    </row>
    <row r="93" customFormat="false" ht="13.8" hidden="false" customHeight="false" outlineLevel="0" collapsed="false">
      <c r="A93" s="2" t="n">
        <v>39576</v>
      </c>
      <c r="B93" s="0" t="n">
        <v>1397.68</v>
      </c>
      <c r="C93" s="0" t="n">
        <v>237.37</v>
      </c>
      <c r="D93" s="3" t="n">
        <f aca="false">B93*100/B$2</f>
        <v>96.580889466265</v>
      </c>
      <c r="E93" s="3" t="n">
        <f aca="false">C93*100/C$2</f>
        <v>100.8797280068</v>
      </c>
      <c r="F93" s="0" t="n">
        <v>91.6111556427762</v>
      </c>
      <c r="G93" s="0" t="n">
        <v>97.0324916959927</v>
      </c>
      <c r="H93" s="0" t="n">
        <v>90.8839779005525</v>
      </c>
      <c r="I93" s="0" t="n">
        <v>-6.14851379544021</v>
      </c>
    </row>
    <row r="94" customFormat="false" ht="13.8" hidden="false" customHeight="false" outlineLevel="0" collapsed="false">
      <c r="A94" s="2" t="n">
        <v>39577</v>
      </c>
      <c r="B94" s="0" t="n">
        <v>1388.28</v>
      </c>
      <c r="C94" s="0" t="n">
        <v>233.98</v>
      </c>
      <c r="D94" s="3" t="n">
        <f aca="false">B94*100/B$2</f>
        <v>95.9313413858868</v>
      </c>
      <c r="E94" s="3" t="n">
        <f aca="false">C94*100/C$2</f>
        <v>99.4390140246494</v>
      </c>
      <c r="F94" s="0" t="n">
        <v>90.8828325824373</v>
      </c>
      <c r="G94" s="0" t="n">
        <v>96.7892025052298</v>
      </c>
      <c r="H94" s="0" t="n">
        <v>92.3161920951976</v>
      </c>
      <c r="I94" s="0" t="n">
        <v>-4.47301041003219</v>
      </c>
    </row>
    <row r="95" customFormat="false" ht="13.8" hidden="false" customHeight="false" outlineLevel="0" collapsed="false">
      <c r="A95" s="2" t="n">
        <v>39580</v>
      </c>
      <c r="B95" s="0" t="n">
        <v>1403.58</v>
      </c>
      <c r="C95" s="0" t="n">
        <v>233.98</v>
      </c>
      <c r="D95" s="3" t="n">
        <f aca="false">B95*100/B$2</f>
        <v>96.9885845379917</v>
      </c>
      <c r="E95" s="3" t="n">
        <f aca="false">C95*100/C$2</f>
        <v>99.4390140246494</v>
      </c>
      <c r="F95" s="0" t="n">
        <v>91.3997070123552</v>
      </c>
      <c r="G95" s="0" t="n">
        <v>96.9618593502873</v>
      </c>
      <c r="H95" s="0" t="n">
        <v>92.4989375265618</v>
      </c>
      <c r="I95" s="0" t="n">
        <v>-4.46292182372549</v>
      </c>
    </row>
    <row r="96" customFormat="false" ht="13.8" hidden="false" customHeight="false" outlineLevel="0" collapsed="false">
      <c r="A96" s="2" t="n">
        <v>39581</v>
      </c>
      <c r="B96" s="0" t="n">
        <v>1403.04</v>
      </c>
      <c r="C96" s="0" t="n">
        <v>237.02</v>
      </c>
      <c r="D96" s="3" t="n">
        <f aca="false">B96*100/B$2</f>
        <v>96.9512700737997</v>
      </c>
      <c r="E96" s="3" t="n">
        <f aca="false">C96*100/C$2</f>
        <v>100.730981725457</v>
      </c>
      <c r="F96" s="0" t="n">
        <v>94.6806158268609</v>
      </c>
      <c r="G96" s="0" t="n">
        <v>98.0578148320161</v>
      </c>
      <c r="H96" s="0" t="n">
        <v>92.5669358266043</v>
      </c>
      <c r="I96" s="0" t="n">
        <v>-5.49087900541177</v>
      </c>
    </row>
    <row r="97" customFormat="false" ht="13.8" hidden="false" customHeight="false" outlineLevel="0" collapsed="false">
      <c r="A97" s="2" t="n">
        <v>39582</v>
      </c>
      <c r="B97" s="0" t="n">
        <v>1408.66</v>
      </c>
      <c r="C97" s="0" t="n">
        <v>237.04</v>
      </c>
      <c r="D97" s="3" t="n">
        <f aca="false">B97*100/B$2</f>
        <v>97.3396169048343</v>
      </c>
      <c r="E97" s="3" t="n">
        <f aca="false">C97*100/C$2</f>
        <v>100.739481512962</v>
      </c>
      <c r="F97" s="0" t="n">
        <v>94.4974985488819</v>
      </c>
      <c r="G97" s="0" t="n">
        <v>97.9966462973366</v>
      </c>
      <c r="H97" s="0" t="n">
        <v>95.0956226094348</v>
      </c>
      <c r="I97" s="0" t="n">
        <v>-2.90102368790188</v>
      </c>
    </row>
    <row r="98" customFormat="false" ht="13.8" hidden="false" customHeight="false" outlineLevel="0" collapsed="false">
      <c r="A98" s="2" t="n">
        <v>39583</v>
      </c>
      <c r="B98" s="0" t="n">
        <v>1423.57</v>
      </c>
      <c r="C98" s="0" t="n">
        <v>243.11</v>
      </c>
      <c r="D98" s="3" t="n">
        <f aca="false">B98*100/B$2</f>
        <v>98.3699107216894</v>
      </c>
      <c r="E98" s="3" t="n">
        <f aca="false">C98*100/C$2</f>
        <v>103.319167020824</v>
      </c>
      <c r="F98" s="0" t="n">
        <v>94.6204980789961</v>
      </c>
      <c r="G98" s="0" t="n">
        <v>98.0377330866685</v>
      </c>
      <c r="H98" s="0" t="n">
        <v>96.4683382915427</v>
      </c>
      <c r="I98" s="0" t="n">
        <v>-1.5693947951258</v>
      </c>
    </row>
    <row r="99" customFormat="false" ht="13.8" hidden="false" customHeight="false" outlineLevel="0" collapsed="false">
      <c r="A99" s="2" t="n">
        <v>39584</v>
      </c>
      <c r="B99" s="0" t="n">
        <v>1425.35</v>
      </c>
      <c r="C99" s="0" t="n">
        <v>243.54</v>
      </c>
      <c r="D99" s="3" t="n">
        <f aca="false">B99*100/B$2</f>
        <v>98.4929102518035</v>
      </c>
      <c r="E99" s="3" t="n">
        <f aca="false">C99*100/C$2</f>
        <v>103.501912452189</v>
      </c>
      <c r="F99" s="0" t="n">
        <v>94.6958180159761</v>
      </c>
      <c r="G99" s="0" t="n">
        <v>98.0628929745178</v>
      </c>
      <c r="H99" s="0" t="n">
        <v>96.4513387165321</v>
      </c>
      <c r="I99" s="0" t="n">
        <v>-1.61155425798572</v>
      </c>
    </row>
    <row r="100" customFormat="false" ht="13.8" hidden="false" customHeight="false" outlineLevel="0" collapsed="false">
      <c r="A100" s="2" t="n">
        <v>39587</v>
      </c>
      <c r="B100" s="0" t="n">
        <v>1426.63</v>
      </c>
      <c r="C100" s="0" t="n">
        <v>242.67</v>
      </c>
      <c r="D100" s="3" t="n">
        <f aca="false">B100*100/B$2</f>
        <v>98.5813593521104</v>
      </c>
      <c r="E100" s="3" t="n">
        <f aca="false">C100*100/C$2</f>
        <v>103.132171695708</v>
      </c>
      <c r="F100" s="0" t="n">
        <v>94.8436938555516</v>
      </c>
      <c r="G100" s="0" t="n">
        <v>98.1122894515797</v>
      </c>
      <c r="H100" s="0" t="n">
        <v>96.8083297917552</v>
      </c>
      <c r="I100" s="0" t="n">
        <v>-1.30395965982451</v>
      </c>
    </row>
    <row r="101" customFormat="false" ht="13.8" hidden="false" customHeight="false" outlineLevel="0" collapsed="false">
      <c r="A101" s="2" t="n">
        <v>39588</v>
      </c>
      <c r="B101" s="0" t="n">
        <v>1413.4</v>
      </c>
      <c r="C101" s="0" t="n">
        <v>240.62</v>
      </c>
      <c r="D101" s="3" t="n">
        <f aca="false">B101*100/B$2</f>
        <v>97.6671549794079</v>
      </c>
      <c r="E101" s="3" t="n">
        <f aca="false">C101*100/C$2</f>
        <v>102.260943476413</v>
      </c>
      <c r="F101" s="0" t="n">
        <v>94.3599878382487</v>
      </c>
      <c r="G101" s="0" t="n">
        <v>97.9507121901622</v>
      </c>
      <c r="H101" s="0" t="n">
        <v>95.6651083722907</v>
      </c>
      <c r="I101" s="0" t="n">
        <v>-2.28560381787155</v>
      </c>
    </row>
    <row r="102" customFormat="false" ht="13.8" hidden="false" customHeight="false" outlineLevel="0" collapsed="false">
      <c r="A102" s="2" t="n">
        <v>39589</v>
      </c>
      <c r="B102" s="0" t="n">
        <v>1390.71</v>
      </c>
      <c r="C102" s="0" t="n">
        <v>237.15</v>
      </c>
      <c r="D102" s="3" t="n">
        <f aca="false">B102*100/B$2</f>
        <v>96.0992564747506</v>
      </c>
      <c r="E102" s="3" t="n">
        <f aca="false">C102*100/C$2</f>
        <v>100.786230344241</v>
      </c>
      <c r="F102" s="0" t="n">
        <v>93.5964233395064</v>
      </c>
      <c r="G102" s="0" t="n">
        <v>97.6956509417818</v>
      </c>
      <c r="H102" s="0" t="n">
        <v>95.6651083722907</v>
      </c>
      <c r="I102" s="0" t="n">
        <v>-2.03054256949112</v>
      </c>
    </row>
    <row r="103" customFormat="false" ht="13.8" hidden="false" customHeight="false" outlineLevel="0" collapsed="false">
      <c r="A103" s="2" t="n">
        <v>39590</v>
      </c>
      <c r="B103" s="0" t="n">
        <v>1394.35</v>
      </c>
      <c r="C103" s="0" t="n">
        <v>235.31</v>
      </c>
      <c r="D103" s="3" t="n">
        <f aca="false">B103*100/B$2</f>
        <v>96.350783603748</v>
      </c>
      <c r="E103" s="3" t="n">
        <f aca="false">C103*100/C$2</f>
        <v>100.004249893753</v>
      </c>
      <c r="F103" s="0" t="n">
        <v>94.0151745487714</v>
      </c>
      <c r="G103" s="0" t="n">
        <v>97.8355306852375</v>
      </c>
      <c r="H103" s="0" t="n">
        <v>96.2345941351466</v>
      </c>
      <c r="I103" s="0" t="n">
        <v>-1.60093655009088</v>
      </c>
    </row>
    <row r="104" customFormat="false" ht="13.8" hidden="false" customHeight="false" outlineLevel="0" collapsed="false">
      <c r="A104" s="2" t="n">
        <v>39591</v>
      </c>
      <c r="B104" s="0" t="n">
        <v>1375.93</v>
      </c>
      <c r="C104" s="0" t="n">
        <v>234.14</v>
      </c>
      <c r="D104" s="3" t="n">
        <f aca="false">B104*100/B$2</f>
        <v>95.0779457696454</v>
      </c>
      <c r="E104" s="3" t="n">
        <f aca="false">C104*100/C$2</f>
        <v>99.5070123246919</v>
      </c>
      <c r="F104" s="0" t="n">
        <v>92.0996987202521</v>
      </c>
      <c r="G104" s="0" t="n">
        <v>97.1956847300243</v>
      </c>
      <c r="H104" s="0" t="n">
        <v>97.2375690607735</v>
      </c>
      <c r="I104" s="0" t="n">
        <v>0.0418843307491557</v>
      </c>
    </row>
    <row r="105" customFormat="false" ht="13.8" hidden="false" customHeight="false" outlineLevel="0" collapsed="false">
      <c r="A105" s="2" t="n">
        <v>39594</v>
      </c>
      <c r="B105" s="0" t="n">
        <v>1375.93</v>
      </c>
      <c r="C105" s="0" t="n">
        <v>230.43</v>
      </c>
      <c r="D105" s="3" t="n">
        <f aca="false">B105*100/B$2</f>
        <v>95.0779457696454</v>
      </c>
      <c r="E105" s="3" t="n">
        <f aca="false">C105*100/C$2</f>
        <v>97.9303017424564</v>
      </c>
      <c r="F105" s="0" t="n">
        <v>91.7880538433898</v>
      </c>
      <c r="G105" s="0" t="n">
        <v>97.0915828087396</v>
      </c>
      <c r="H105" s="0" t="n">
        <v>95.4271143221419</v>
      </c>
      <c r="I105" s="0" t="n">
        <v>-1.6644684865977</v>
      </c>
    </row>
    <row r="106" customFormat="false" ht="13.8" hidden="false" customHeight="false" outlineLevel="0" collapsed="false">
      <c r="A106" s="2" t="n">
        <v>39595</v>
      </c>
      <c r="B106" s="0" t="n">
        <v>1385.35</v>
      </c>
      <c r="C106" s="0" t="n">
        <v>233.97</v>
      </c>
      <c r="D106" s="3" t="n">
        <f aca="false">B106*100/B$2</f>
        <v>95.7288758672158</v>
      </c>
      <c r="E106" s="3" t="n">
        <f aca="false">C106*100/C$2</f>
        <v>99.4347641308967</v>
      </c>
      <c r="F106" s="0" t="n">
        <v>92.2102600956356</v>
      </c>
      <c r="G106" s="0" t="n">
        <v>97.2326166754912</v>
      </c>
      <c r="H106" s="0" t="n">
        <v>94.9893752656184</v>
      </c>
      <c r="I106" s="0" t="n">
        <v>-2.24324140987284</v>
      </c>
    </row>
    <row r="107" customFormat="false" ht="13.8" hidden="false" customHeight="false" outlineLevel="0" collapsed="false">
      <c r="A107" s="2" t="n">
        <v>39596</v>
      </c>
      <c r="B107" s="0" t="n">
        <v>1390.84</v>
      </c>
      <c r="C107" s="0" t="n">
        <v>231.17</v>
      </c>
      <c r="D107" s="3" t="n">
        <f aca="false">B107*100/B$2</f>
        <v>96.1082395865004</v>
      </c>
      <c r="E107" s="3" t="n">
        <f aca="false">C107*100/C$2</f>
        <v>98.244793880153</v>
      </c>
      <c r="F107" s="0" t="n">
        <v>94.3026341247685</v>
      </c>
      <c r="G107" s="0" t="n">
        <v>97.9315537434513</v>
      </c>
      <c r="H107" s="0" t="n">
        <v>95.7756056098598</v>
      </c>
      <c r="I107" s="0" t="n">
        <v>-2.15594813359155</v>
      </c>
    </row>
    <row r="108" customFormat="false" ht="13.8" hidden="false" customHeight="false" outlineLevel="0" collapsed="false">
      <c r="A108" s="2" t="n">
        <v>39597</v>
      </c>
      <c r="B108" s="0" t="n">
        <v>1398.26</v>
      </c>
      <c r="C108" s="0" t="n">
        <v>236.39</v>
      </c>
      <c r="D108" s="3" t="n">
        <f aca="false">B108*100/B$2</f>
        <v>96.6209679648415</v>
      </c>
      <c r="E108" s="3" t="n">
        <f aca="false">C108*100/C$2</f>
        <v>100.46323841904</v>
      </c>
      <c r="F108" s="0" t="n">
        <v>94.361369855441</v>
      </c>
      <c r="G108" s="0" t="n">
        <v>97.9511738394806</v>
      </c>
      <c r="H108" s="0" t="n">
        <v>96.46408839779</v>
      </c>
      <c r="I108" s="0" t="n">
        <v>-1.48708544169052</v>
      </c>
    </row>
    <row r="109" customFormat="false" ht="13.8" hidden="false" customHeight="false" outlineLevel="0" collapsed="false">
      <c r="A109" s="2" t="n">
        <v>39598</v>
      </c>
      <c r="B109" s="0" t="n">
        <v>1400.38</v>
      </c>
      <c r="C109" s="0" t="n">
        <v>237.46</v>
      </c>
      <c r="D109" s="3" t="n">
        <f aca="false">B109*100/B$2</f>
        <v>96.7674617872246</v>
      </c>
      <c r="E109" s="3" t="n">
        <f aca="false">C109*100/C$2</f>
        <v>100.917977050574</v>
      </c>
      <c r="F109" s="0" t="n">
        <v>96.072998148097</v>
      </c>
      <c r="G109" s="0" t="n">
        <v>98.5229265202393</v>
      </c>
      <c r="H109" s="0" t="n">
        <v>96.5788355291118</v>
      </c>
      <c r="I109" s="0" t="n">
        <v>-1.94409099112748</v>
      </c>
    </row>
    <row r="110" customFormat="false" ht="13.8" hidden="false" customHeight="false" outlineLevel="0" collapsed="false">
      <c r="A110" s="2" t="n">
        <v>39601</v>
      </c>
      <c r="B110" s="0" t="n">
        <v>1385.67</v>
      </c>
      <c r="C110" s="0" t="n">
        <v>236.78</v>
      </c>
      <c r="D110" s="3" t="n">
        <f aca="false">B110*100/B$2</f>
        <v>95.7509881422925</v>
      </c>
      <c r="E110" s="3" t="n">
        <f aca="false">C110*100/C$2</f>
        <v>100.628984275393</v>
      </c>
      <c r="F110" s="0" t="n">
        <v>95.9237402913292</v>
      </c>
      <c r="G110" s="0" t="n">
        <v>98.473068393859</v>
      </c>
      <c r="H110" s="0" t="n">
        <v>98.219294517637</v>
      </c>
      <c r="I110" s="0" t="n">
        <v>-0.253773876221942</v>
      </c>
    </row>
    <row r="111" customFormat="false" ht="13.8" hidden="false" customHeight="false" outlineLevel="0" collapsed="false">
      <c r="A111" s="2" t="n">
        <v>39602</v>
      </c>
      <c r="B111" s="0" t="n">
        <v>1377.65</v>
      </c>
      <c r="C111" s="0" t="n">
        <v>233.14</v>
      </c>
      <c r="D111" s="3" t="n">
        <f aca="false">B111*100/B$2</f>
        <v>95.1967992481826</v>
      </c>
      <c r="E111" s="3" t="n">
        <f aca="false">C111*100/C$2</f>
        <v>99.0820229494263</v>
      </c>
      <c r="F111" s="0" t="n">
        <v>95.0786367782415</v>
      </c>
      <c r="G111" s="0" t="n">
        <v>98.1907698356968</v>
      </c>
      <c r="H111" s="0" t="n">
        <v>97.416064598385</v>
      </c>
      <c r="I111" s="0" t="n">
        <v>-0.774705237311736</v>
      </c>
    </row>
    <row r="112" customFormat="false" ht="13.8" hidden="false" customHeight="false" outlineLevel="0" collapsed="false">
      <c r="A112" s="2" t="n">
        <v>39603</v>
      </c>
      <c r="B112" s="0" t="n">
        <v>1377.2</v>
      </c>
      <c r="C112" s="0" t="n">
        <v>235.09</v>
      </c>
      <c r="D112" s="3" t="n">
        <f aca="false">B112*100/B$2</f>
        <v>95.165703861356</v>
      </c>
      <c r="E112" s="3" t="n">
        <f aca="false">C112*100/C$2</f>
        <v>99.9107522311942</v>
      </c>
      <c r="F112" s="0" t="n">
        <v>95.3543492081041</v>
      </c>
      <c r="G112" s="0" t="n">
        <v>98.2828688747047</v>
      </c>
      <c r="H112" s="0" t="n">
        <v>97.985550361241</v>
      </c>
      <c r="I112" s="0" t="n">
        <v>-0.29731851346375</v>
      </c>
    </row>
    <row r="113" customFormat="false" ht="13.8" hidden="false" customHeight="false" outlineLevel="0" collapsed="false">
      <c r="A113" s="2" t="n">
        <v>39604</v>
      </c>
      <c r="B113" s="0" t="n">
        <v>1404.05</v>
      </c>
      <c r="C113" s="0" t="n">
        <v>234.76</v>
      </c>
      <c r="D113" s="3" t="n">
        <f aca="false">B113*100/B$2</f>
        <v>97.0210619420105</v>
      </c>
      <c r="E113" s="3" t="n">
        <f aca="false">C113*100/C$2</f>
        <v>99.7705057373566</v>
      </c>
      <c r="F113" s="0" t="n">
        <v>95.9686558500788</v>
      </c>
      <c r="G113" s="0" t="n">
        <v>98.4880719967049</v>
      </c>
      <c r="H113" s="0" t="n">
        <v>98.0747981300467</v>
      </c>
      <c r="I113" s="0" t="n">
        <v>-0.413273866658173</v>
      </c>
    </row>
    <row r="114" customFormat="false" ht="13.8" hidden="false" customHeight="false" outlineLevel="0" collapsed="false">
      <c r="A114" s="2" t="n">
        <v>39605</v>
      </c>
      <c r="B114" s="0" t="n">
        <v>1360.68</v>
      </c>
      <c r="C114" s="0" t="n">
        <v>234.76</v>
      </c>
      <c r="D114" s="3" t="n">
        <f aca="false">B114*100/B$2</f>
        <v>94.0241576605213</v>
      </c>
      <c r="E114" s="3" t="n">
        <f aca="false">C114*100/C$2</f>
        <v>99.7705057373566</v>
      </c>
      <c r="F114" s="0" t="n">
        <v>96.5919456038033</v>
      </c>
      <c r="G114" s="0" t="n">
        <v>98.6962758392743</v>
      </c>
      <c r="H114" s="0" t="n">
        <v>99.6855078623034</v>
      </c>
      <c r="I114" s="0" t="n">
        <v>0.98923202302916</v>
      </c>
    </row>
    <row r="115" customFormat="false" ht="13.8" hidden="false" customHeight="false" outlineLevel="0" collapsed="false">
      <c r="A115" s="2" t="n">
        <v>39608</v>
      </c>
      <c r="B115" s="0" t="n">
        <v>1361.76</v>
      </c>
      <c r="C115" s="0" t="n">
        <v>231.35</v>
      </c>
      <c r="D115" s="3" t="n">
        <f aca="false">B115*100/B$2</f>
        <v>94.0987865889052</v>
      </c>
      <c r="E115" s="3" t="n">
        <f aca="false">C115*100/C$2</f>
        <v>98.3212919677008</v>
      </c>
      <c r="F115" s="0" t="n">
        <v>96.4903673401697</v>
      </c>
      <c r="G115" s="0" t="n">
        <v>98.6623446143766</v>
      </c>
      <c r="H115" s="0" t="n">
        <v>99.8597535061623</v>
      </c>
      <c r="I115" s="0" t="n">
        <v>1.19740889178573</v>
      </c>
    </row>
    <row r="116" customFormat="false" ht="13.8" hidden="false" customHeight="false" outlineLevel="0" collapsed="false">
      <c r="A116" s="2" t="n">
        <v>39609</v>
      </c>
      <c r="B116" s="0" t="n">
        <v>1358.44</v>
      </c>
      <c r="C116" s="0" t="n">
        <v>226.56</v>
      </c>
      <c r="D116" s="3" t="n">
        <f aca="false">B116*100/B$2</f>
        <v>93.8693717349844</v>
      </c>
      <c r="E116" s="3" t="n">
        <f aca="false">C116*100/C$2</f>
        <v>96.2855928601785</v>
      </c>
      <c r="F116" s="0" t="n">
        <v>96.1151496724619</v>
      </c>
      <c r="G116" s="0" t="n">
        <v>98.5370068244485</v>
      </c>
      <c r="H116" s="0" t="n">
        <v>99.1245218869528</v>
      </c>
      <c r="I116" s="0" t="n">
        <v>0.587515062504338</v>
      </c>
    </row>
    <row r="117" customFormat="false" ht="13.8" hidden="false" customHeight="false" outlineLevel="0" collapsed="false">
      <c r="A117" s="2" t="n">
        <v>39610</v>
      </c>
      <c r="B117" s="0" t="n">
        <v>1335.49</v>
      </c>
      <c r="C117" s="0" t="n">
        <v>227.42</v>
      </c>
      <c r="D117" s="3" t="n">
        <f aca="false">B117*100/B$2</f>
        <v>92.2835070068272</v>
      </c>
      <c r="E117" s="3" t="n">
        <f aca="false">C117*100/C$2</f>
        <v>96.6510837229069</v>
      </c>
      <c r="F117" s="0" t="n">
        <v>95.7454600735233</v>
      </c>
      <c r="G117" s="0" t="n">
        <v>98.4135156317937</v>
      </c>
      <c r="H117" s="0" t="n">
        <v>99.8725031874203</v>
      </c>
      <c r="I117" s="0" t="n">
        <v>1.45898755562661</v>
      </c>
    </row>
    <row r="118" customFormat="false" ht="13.8" hidden="false" customHeight="false" outlineLevel="0" collapsed="false">
      <c r="A118" s="2" t="n">
        <v>39611</v>
      </c>
      <c r="B118" s="0" t="n">
        <v>1339.87</v>
      </c>
      <c r="C118" s="0" t="n">
        <v>221.17</v>
      </c>
      <c r="D118" s="3" t="n">
        <f aca="false">B118*100/B$2</f>
        <v>92.5861687719395</v>
      </c>
      <c r="E118" s="3" t="n">
        <f aca="false">C118*100/C$2</f>
        <v>93.9949001274968</v>
      </c>
      <c r="F118" s="0" t="n">
        <v>97.3866054893723</v>
      </c>
      <c r="G118" s="0" t="n">
        <v>98.9617241973173</v>
      </c>
      <c r="H118" s="0" t="n">
        <v>99.8725031874203</v>
      </c>
      <c r="I118" s="0" t="n">
        <v>0.91077899010304</v>
      </c>
    </row>
    <row r="119" customFormat="false" ht="13.8" hidden="false" customHeight="false" outlineLevel="0" collapsed="false">
      <c r="A119" s="2" t="n">
        <v>39612</v>
      </c>
      <c r="B119" s="0" t="n">
        <v>1357.5</v>
      </c>
      <c r="C119" s="0" t="n">
        <v>222.79</v>
      </c>
      <c r="D119" s="3" t="n">
        <f aca="false">B119*100/B$2</f>
        <v>93.8044169269466</v>
      </c>
      <c r="E119" s="3" t="n">
        <f aca="false">C119*100/C$2</f>
        <v>94.6833829154271</v>
      </c>
      <c r="F119" s="0" t="n">
        <v>97.7017054092153</v>
      </c>
      <c r="G119" s="0" t="n">
        <v>99.0669802418978</v>
      </c>
      <c r="H119" s="0" t="n">
        <v>101.223969400765</v>
      </c>
      <c r="I119" s="0" t="n">
        <v>2.1569891588672</v>
      </c>
    </row>
    <row r="120" customFormat="false" ht="13.8" hidden="false" customHeight="false" outlineLevel="0" collapsed="false">
      <c r="A120" s="2" t="n">
        <v>39615</v>
      </c>
      <c r="B120" s="0" t="n">
        <v>1360.14</v>
      </c>
      <c r="C120" s="0" t="n">
        <v>224.91</v>
      </c>
      <c r="D120" s="3" t="n">
        <f aca="false">B120*100/B$2</f>
        <v>93.9868431963294</v>
      </c>
      <c r="E120" s="3" t="n">
        <f aca="false">C120*100/C$2</f>
        <v>95.5843603909902</v>
      </c>
      <c r="F120" s="0" t="n">
        <v>97.2587688990851</v>
      </c>
      <c r="G120" s="0" t="n">
        <v>98.9190216353712</v>
      </c>
      <c r="H120" s="0" t="n">
        <v>101.223969400765</v>
      </c>
      <c r="I120" s="0" t="n">
        <v>2.30494776539376</v>
      </c>
    </row>
    <row r="121" customFormat="false" ht="13.8" hidden="false" customHeight="false" outlineLevel="0" collapsed="false">
      <c r="A121" s="2" t="n">
        <v>39616</v>
      </c>
      <c r="B121" s="0" t="n">
        <v>1350.93</v>
      </c>
      <c r="C121" s="0" t="n">
        <v>223.66</v>
      </c>
      <c r="D121" s="3" t="n">
        <f aca="false">B121*100/B$2</f>
        <v>93.350424279278</v>
      </c>
      <c r="E121" s="3" t="n">
        <f aca="false">C121*100/C$2</f>
        <v>95.0531236719082</v>
      </c>
      <c r="F121" s="0" t="n">
        <v>98.0029851571354</v>
      </c>
      <c r="G121" s="0" t="n">
        <v>99.167619793295</v>
      </c>
      <c r="H121" s="0" t="n">
        <v>101.797705057374</v>
      </c>
      <c r="I121" s="0" t="n">
        <v>2.63008526407862</v>
      </c>
    </row>
    <row r="122" customFormat="false" ht="13.8" hidden="false" customHeight="false" outlineLevel="0" collapsed="false">
      <c r="A122" s="2" t="n">
        <v>39617</v>
      </c>
      <c r="B122" s="0" t="n">
        <v>1337.81</v>
      </c>
      <c r="C122" s="0" t="n">
        <v>226.6</v>
      </c>
      <c r="D122" s="3" t="n">
        <f aca="false">B122*100/B$2</f>
        <v>92.4438210011332</v>
      </c>
      <c r="E122" s="3" t="n">
        <f aca="false">C122*100/C$2</f>
        <v>96.3025924351891</v>
      </c>
      <c r="F122" s="0" t="n">
        <v>96.2277840736339</v>
      </c>
      <c r="G122" s="0" t="n">
        <v>98.5746312438928</v>
      </c>
      <c r="H122" s="0" t="n">
        <v>101.427964300892</v>
      </c>
      <c r="I122" s="0" t="n">
        <v>2.85333305699963</v>
      </c>
    </row>
    <row r="123" customFormat="false" ht="13.8" hidden="false" customHeight="false" outlineLevel="0" collapsed="false">
      <c r="A123" s="2" t="n">
        <v>39618</v>
      </c>
      <c r="B123" s="0" t="n">
        <v>1342.83</v>
      </c>
      <c r="C123" s="0" t="n">
        <v>222.03</v>
      </c>
      <c r="D123" s="3" t="n">
        <f aca="false">B123*100/B$2</f>
        <v>92.790707316399</v>
      </c>
      <c r="E123" s="3" t="n">
        <f aca="false">C123*100/C$2</f>
        <v>94.3603909902252</v>
      </c>
      <c r="F123" s="0" t="n">
        <v>96.580889466265</v>
      </c>
      <c r="G123" s="0" t="n">
        <v>98.6925826447276</v>
      </c>
      <c r="H123" s="0" t="n">
        <v>100.8797280068</v>
      </c>
      <c r="I123" s="0" t="n">
        <v>2.18714536207223</v>
      </c>
    </row>
    <row r="124" customFormat="false" ht="13.8" hidden="false" customHeight="false" outlineLevel="0" collapsed="false">
      <c r="A124" s="2" t="n">
        <v>39619</v>
      </c>
      <c r="B124" s="0" t="n">
        <v>1317.93</v>
      </c>
      <c r="C124" s="0" t="n">
        <v>220.57</v>
      </c>
      <c r="D124" s="3" t="n">
        <f aca="false">B124*100/B$2</f>
        <v>91.0700959119931</v>
      </c>
      <c r="E124" s="3" t="n">
        <f aca="false">C124*100/C$2</f>
        <v>93.7399065023374</v>
      </c>
      <c r="F124" s="0" t="n">
        <v>95.9313413858868</v>
      </c>
      <c r="G124" s="0" t="n">
        <v>98.4756074651098</v>
      </c>
      <c r="H124" s="0" t="n">
        <v>99.4390140246494</v>
      </c>
      <c r="I124" s="0" t="n">
        <v>0.963406559539536</v>
      </c>
    </row>
    <row r="125" customFormat="false" ht="13.8" hidden="false" customHeight="false" outlineLevel="0" collapsed="false">
      <c r="A125" s="2" t="n">
        <v>39622</v>
      </c>
      <c r="B125" s="0" t="n">
        <v>1318</v>
      </c>
      <c r="C125" s="0" t="n">
        <v>218.51</v>
      </c>
      <c r="D125" s="3" t="n">
        <f aca="false">B125*100/B$2</f>
        <v>91.0749329721662</v>
      </c>
      <c r="E125" s="3" t="n">
        <f aca="false">C125*100/C$2</f>
        <v>92.8644283892903</v>
      </c>
      <c r="F125" s="0" t="n">
        <v>96.9885845379917</v>
      </c>
      <c r="G125" s="0" t="n">
        <v>98.8287691936366</v>
      </c>
      <c r="H125" s="0" t="n">
        <v>99.4390140246494</v>
      </c>
      <c r="I125" s="0" t="n">
        <v>0.610244831012793</v>
      </c>
    </row>
    <row r="126" customFormat="false" ht="13.8" hidden="false" customHeight="false" outlineLevel="0" collapsed="false">
      <c r="A126" s="2" t="n">
        <v>39623</v>
      </c>
      <c r="B126" s="0" t="n">
        <v>1314.29</v>
      </c>
      <c r="C126" s="0" t="n">
        <v>217.97</v>
      </c>
      <c r="D126" s="3" t="n">
        <f aca="false">B126*100/B$2</f>
        <v>90.8185687829957</v>
      </c>
      <c r="E126" s="3" t="n">
        <f aca="false">C126*100/C$2</f>
        <v>92.6349341266468</v>
      </c>
      <c r="F126" s="0" t="n">
        <v>96.9512700737997</v>
      </c>
      <c r="G126" s="0" t="n">
        <v>98.8163046620415</v>
      </c>
      <c r="H126" s="0" t="n">
        <v>100.730981725457</v>
      </c>
      <c r="I126" s="0" t="n">
        <v>1.91467706341531</v>
      </c>
    </row>
    <row r="127" customFormat="false" ht="13.8" hidden="false" customHeight="false" outlineLevel="0" collapsed="false">
      <c r="A127" s="2" t="n">
        <v>39624</v>
      </c>
      <c r="B127" s="0" t="n">
        <v>1321.97</v>
      </c>
      <c r="C127" s="0" t="n">
        <v>218.95</v>
      </c>
      <c r="D127" s="3" t="n">
        <f aca="false">B127*100/B$2</f>
        <v>91.3492633848365</v>
      </c>
      <c r="E127" s="3" t="n">
        <f aca="false">C127*100/C$2</f>
        <v>93.0514237144071</v>
      </c>
      <c r="F127" s="0" t="n">
        <v>97.3396169048343</v>
      </c>
      <c r="G127" s="0" t="n">
        <v>98.9460281204939</v>
      </c>
      <c r="H127" s="0" t="n">
        <v>100.739481512962</v>
      </c>
      <c r="I127" s="0" t="n">
        <v>1.79345339246832</v>
      </c>
    </row>
    <row r="128" customFormat="false" ht="13.8" hidden="false" customHeight="false" outlineLevel="0" collapsed="false">
      <c r="A128" s="2" t="n">
        <v>39625</v>
      </c>
      <c r="B128" s="0" t="n">
        <v>1283.15</v>
      </c>
      <c r="C128" s="0" t="n">
        <v>219.12</v>
      </c>
      <c r="D128" s="3" t="n">
        <f aca="false">B128*100/B$2</f>
        <v>88.6667680145941</v>
      </c>
      <c r="E128" s="3" t="n">
        <f aca="false">C128*100/C$2</f>
        <v>93.1236719082023</v>
      </c>
      <c r="F128" s="0" t="n">
        <v>98.3699107216894</v>
      </c>
      <c r="G128" s="0" t="n">
        <v>99.2901876873131</v>
      </c>
      <c r="H128" s="0" t="n">
        <v>103.319167020824</v>
      </c>
      <c r="I128" s="0" t="n">
        <v>4.02897933351143</v>
      </c>
    </row>
    <row r="129" customFormat="false" ht="13.8" hidden="false" customHeight="false" outlineLevel="0" collapsed="false">
      <c r="A129" s="2" t="n">
        <v>39626</v>
      </c>
      <c r="B129" s="0" t="n">
        <v>1278.38</v>
      </c>
      <c r="C129" s="0" t="n">
        <v>214.59</v>
      </c>
      <c r="D129" s="3" t="n">
        <f aca="false">B129*100/B$2</f>
        <v>88.337156914232</v>
      </c>
      <c r="E129" s="3" t="n">
        <f aca="false">C129*100/C$2</f>
        <v>91.1984700382491</v>
      </c>
      <c r="F129" s="0" t="n">
        <v>98.4929102518035</v>
      </c>
      <c r="G129" s="0" t="n">
        <v>99.3312744766449</v>
      </c>
      <c r="H129" s="0" t="n">
        <v>103.501912452189</v>
      </c>
      <c r="I129" s="0" t="n">
        <v>4.17063797554377</v>
      </c>
    </row>
    <row r="130" customFormat="false" ht="13.8" hidden="false" customHeight="false" outlineLevel="0" collapsed="false">
      <c r="A130" s="2" t="n">
        <v>39629</v>
      </c>
      <c r="B130" s="0" t="n">
        <v>1280</v>
      </c>
      <c r="C130" s="0" t="n">
        <v>213.52</v>
      </c>
      <c r="D130" s="3" t="n">
        <f aca="false">B130*100/B$2</f>
        <v>88.4491003068078</v>
      </c>
      <c r="E130" s="3" t="n">
        <f aca="false">C130*100/C$2</f>
        <v>90.7437314067148</v>
      </c>
      <c r="F130" s="0" t="n">
        <v>98.5813593521104</v>
      </c>
      <c r="G130" s="0" t="n">
        <v>99.3608200330184</v>
      </c>
      <c r="H130" s="0" t="n">
        <v>103.132171695708</v>
      </c>
      <c r="I130" s="0" t="n">
        <v>3.7713516626892</v>
      </c>
    </row>
    <row r="131" customFormat="false" ht="13.8" hidden="false" customHeight="false" outlineLevel="0" collapsed="false">
      <c r="A131" s="2" t="n">
        <v>39630</v>
      </c>
      <c r="B131" s="0" t="n">
        <v>1284.91</v>
      </c>
      <c r="C131" s="0" t="n">
        <v>213.02</v>
      </c>
      <c r="D131" s="3" t="n">
        <f aca="false">B131*100/B$2</f>
        <v>88.788385527516</v>
      </c>
      <c r="E131" s="3" t="n">
        <f aca="false">C131*100/C$2</f>
        <v>90.531236719082</v>
      </c>
      <c r="F131" s="0" t="n">
        <v>97.6671549794079</v>
      </c>
      <c r="G131" s="0" t="n">
        <v>99.0554390089394</v>
      </c>
      <c r="H131" s="0" t="n">
        <v>102.260943476413</v>
      </c>
      <c r="I131" s="0" t="n">
        <v>3.2055044674737</v>
      </c>
    </row>
    <row r="132" customFormat="false" ht="13.8" hidden="false" customHeight="false" outlineLevel="0" collapsed="false">
      <c r="A132" s="2" t="n">
        <v>39631</v>
      </c>
      <c r="B132" s="0" t="n">
        <v>1261.52</v>
      </c>
      <c r="C132" s="0" t="n">
        <v>207.96</v>
      </c>
      <c r="D132" s="3" t="n">
        <f aca="false">B132*100/B$2</f>
        <v>87.1721164211283</v>
      </c>
      <c r="E132" s="3" t="n">
        <f aca="false">C132*100/C$2</f>
        <v>88.380790480238</v>
      </c>
      <c r="F132" s="0" t="n">
        <v>96.0992564747506</v>
      </c>
      <c r="G132" s="0" t="n">
        <v>98.5316978572876</v>
      </c>
      <c r="H132" s="0" t="n">
        <v>100.786230344241</v>
      </c>
      <c r="I132" s="0" t="n">
        <v>2.25453248695376</v>
      </c>
    </row>
    <row r="133" customFormat="false" ht="13.8" hidden="false" customHeight="false" outlineLevel="0" collapsed="false">
      <c r="A133" s="2" t="n">
        <v>39632</v>
      </c>
      <c r="B133" s="0" t="n">
        <v>1262.9</v>
      </c>
      <c r="C133" s="0" t="n">
        <v>205.71</v>
      </c>
      <c r="D133" s="3" t="n">
        <f aca="false">B133*100/B$2</f>
        <v>87.2674756073966</v>
      </c>
      <c r="E133" s="3" t="n">
        <f aca="false">C133*100/C$2</f>
        <v>87.4245643858903</v>
      </c>
      <c r="F133" s="0" t="n">
        <v>96.350783603748</v>
      </c>
      <c r="G133" s="0" t="n">
        <v>98.6157180332247</v>
      </c>
      <c r="H133" s="0" t="n">
        <v>100.004249893753</v>
      </c>
      <c r="I133" s="0" t="n">
        <v>1.38853186052795</v>
      </c>
    </row>
    <row r="134" customFormat="false" ht="13.8" hidden="false" customHeight="false" outlineLevel="0" collapsed="false">
      <c r="A134" s="2" t="n">
        <v>39633</v>
      </c>
      <c r="B134" s="0" t="n">
        <v>1262.9</v>
      </c>
      <c r="C134" s="0" t="n">
        <v>201.74</v>
      </c>
      <c r="D134" s="3" t="n">
        <f aca="false">B134*100/B$2</f>
        <v>87.2674756073966</v>
      </c>
      <c r="E134" s="3" t="n">
        <f aca="false">C134*100/C$2</f>
        <v>85.7373565660859</v>
      </c>
      <c r="F134" s="0" t="n">
        <v>95.0779457696454</v>
      </c>
      <c r="G134" s="0" t="n">
        <v>98.1905390110376</v>
      </c>
      <c r="H134" s="0" t="n">
        <v>99.5070123246919</v>
      </c>
      <c r="I134" s="0" t="n">
        <v>1.31647331365427</v>
      </c>
    </row>
    <row r="135" customFormat="false" ht="13.8" hidden="false" customHeight="false" outlineLevel="0" collapsed="false">
      <c r="A135" s="2" t="n">
        <v>39636</v>
      </c>
      <c r="B135" s="0" t="n">
        <v>1252.31</v>
      </c>
      <c r="C135" s="0" t="n">
        <v>202.34</v>
      </c>
      <c r="D135" s="3" t="n">
        <f aca="false">B135*100/B$2</f>
        <v>86.5356975040769</v>
      </c>
      <c r="E135" s="3" t="n">
        <f aca="false">C135*100/C$2</f>
        <v>85.9923501912452</v>
      </c>
      <c r="F135" s="0" t="n">
        <v>95.0779457696454</v>
      </c>
      <c r="G135" s="0" t="n">
        <v>98.1905390110376</v>
      </c>
      <c r="H135" s="0" t="n">
        <v>97.9303017424564</v>
      </c>
      <c r="I135" s="0" t="n">
        <v>-0.260237268581164</v>
      </c>
    </row>
    <row r="136" customFormat="false" ht="13.8" hidden="false" customHeight="false" outlineLevel="0" collapsed="false">
      <c r="A136" s="2" t="n">
        <v>39637</v>
      </c>
      <c r="B136" s="0" t="n">
        <v>1273.69</v>
      </c>
      <c r="C136" s="0" t="n">
        <v>196.52</v>
      </c>
      <c r="D136" s="3" t="n">
        <f aca="false">B136*100/B$2</f>
        <v>88.0130738826391</v>
      </c>
      <c r="E136" s="3" t="n">
        <f aca="false">C136*100/C$2</f>
        <v>83.5189120271993</v>
      </c>
      <c r="F136" s="0" t="n">
        <v>95.7288758672158</v>
      </c>
      <c r="G136" s="0" t="n">
        <v>98.4079758399737</v>
      </c>
      <c r="H136" s="0" t="n">
        <v>99.4347641308967</v>
      </c>
      <c r="I136" s="0" t="n">
        <v>1.02678829092305</v>
      </c>
    </row>
    <row r="137" customFormat="false" ht="13.8" hidden="false" customHeight="false" outlineLevel="0" collapsed="false">
      <c r="A137" s="2" t="n">
        <v>39638</v>
      </c>
      <c r="B137" s="0" t="n">
        <v>1244.68</v>
      </c>
      <c r="C137" s="0" t="n">
        <v>194.61</v>
      </c>
      <c r="D137" s="3" t="n">
        <f aca="false">B137*100/B$2</f>
        <v>86.0084579452168</v>
      </c>
      <c r="E137" s="3" t="n">
        <f aca="false">C137*100/C$2</f>
        <v>82.707182320442</v>
      </c>
      <c r="F137" s="0" t="n">
        <v>96.1082395865004</v>
      </c>
      <c r="G137" s="0" t="n">
        <v>98.5346985778568</v>
      </c>
      <c r="H137" s="0" t="n">
        <v>98.244793880153</v>
      </c>
      <c r="I137" s="0" t="n">
        <v>-0.289904697703804</v>
      </c>
    </row>
    <row r="138" customFormat="false" ht="13.8" hidden="false" customHeight="false" outlineLevel="0" collapsed="false">
      <c r="A138" s="2" t="n">
        <v>39639</v>
      </c>
      <c r="B138" s="0" t="n">
        <v>1253.39</v>
      </c>
      <c r="C138" s="0" t="n">
        <v>196.34</v>
      </c>
      <c r="D138" s="3" t="n">
        <f aca="false">B138*100/B$2</f>
        <v>86.6103264324608</v>
      </c>
      <c r="E138" s="3" t="n">
        <f aca="false">C138*100/C$2</f>
        <v>83.4424139396515</v>
      </c>
      <c r="F138" s="0" t="n">
        <v>96.6209679648415</v>
      </c>
      <c r="G138" s="0" t="n">
        <v>98.7059704749593</v>
      </c>
      <c r="H138" s="0" t="n">
        <v>100.46323841904</v>
      </c>
      <c r="I138" s="0" t="n">
        <v>1.7572679440802</v>
      </c>
    </row>
    <row r="139" customFormat="false" ht="13.8" hidden="false" customHeight="false" outlineLevel="0" collapsed="false">
      <c r="A139" s="2" t="n">
        <v>39640</v>
      </c>
      <c r="B139" s="0" t="n">
        <v>1239.49</v>
      </c>
      <c r="C139" s="0" t="n">
        <v>200.12</v>
      </c>
      <c r="D139" s="3" t="n">
        <f aca="false">B139*100/B$2</f>
        <v>85.6498244838166</v>
      </c>
      <c r="E139" s="3" t="n">
        <f aca="false">C139*100/C$2</f>
        <v>85.0488737781555</v>
      </c>
      <c r="F139" s="0" t="n">
        <v>96.7674617872246</v>
      </c>
      <c r="G139" s="0" t="n">
        <v>98.7549053027029</v>
      </c>
      <c r="H139" s="0" t="n">
        <v>100.917977050574</v>
      </c>
      <c r="I139" s="0" t="n">
        <v>2.16307174787083</v>
      </c>
    </row>
    <row r="140" customFormat="false" ht="13.8" hidden="false" customHeight="false" outlineLevel="0" collapsed="false">
      <c r="A140" s="2" t="n">
        <v>39643</v>
      </c>
      <c r="B140" s="0" t="n">
        <v>1228.3</v>
      </c>
      <c r="C140" s="0" t="n">
        <v>199.12</v>
      </c>
      <c r="D140" s="3" t="n">
        <f aca="false">B140*100/B$2</f>
        <v>84.8765858647282</v>
      </c>
      <c r="E140" s="3" t="n">
        <f aca="false">C140*100/C$2</f>
        <v>84.6238844028899</v>
      </c>
      <c r="F140" s="0" t="n">
        <v>95.7509881422925</v>
      </c>
      <c r="G140" s="0" t="n">
        <v>98.415362229067</v>
      </c>
      <c r="H140" s="0" t="n">
        <v>100.628984275393</v>
      </c>
      <c r="I140" s="0" t="n">
        <v>2.21362204632607</v>
      </c>
    </row>
    <row r="141" customFormat="false" ht="13.8" hidden="false" customHeight="false" outlineLevel="0" collapsed="false">
      <c r="A141" s="2" t="n">
        <v>39644</v>
      </c>
      <c r="B141" s="0" t="n">
        <v>1214.91</v>
      </c>
      <c r="C141" s="0" t="n">
        <v>193.01</v>
      </c>
      <c r="D141" s="3" t="n">
        <f aca="false">B141*100/B$2</f>
        <v>83.9513253544874</v>
      </c>
      <c r="E141" s="3" t="n">
        <f aca="false">C141*100/C$2</f>
        <v>82.027199320017</v>
      </c>
      <c r="F141" s="0" t="n">
        <v>95.1967992481826</v>
      </c>
      <c r="G141" s="0" t="n">
        <v>98.2302408524145</v>
      </c>
      <c r="H141" s="0" t="n">
        <v>99.0820229494263</v>
      </c>
      <c r="I141" s="0" t="n">
        <v>0.851782097011807</v>
      </c>
    </row>
    <row r="142" customFormat="false" ht="13.8" hidden="false" customHeight="false" outlineLevel="0" collapsed="false">
      <c r="A142" s="2" t="n">
        <v>39645</v>
      </c>
      <c r="B142" s="0" t="n">
        <v>1245.36</v>
      </c>
      <c r="C142" s="0" t="n">
        <v>192.48</v>
      </c>
      <c r="D142" s="3" t="n">
        <f aca="false">B142*100/B$2</f>
        <v>86.0554465297548</v>
      </c>
      <c r="E142" s="3" t="n">
        <f aca="false">C142*100/C$2</f>
        <v>81.8019549511262</v>
      </c>
      <c r="F142" s="0" t="n">
        <v>95.165703861356</v>
      </c>
      <c r="G142" s="0" t="n">
        <v>98.2198537427519</v>
      </c>
      <c r="H142" s="0" t="n">
        <v>99.9107522311942</v>
      </c>
      <c r="I142" s="0" t="n">
        <v>1.6908984884423</v>
      </c>
    </row>
    <row r="143" customFormat="false" ht="13.8" hidden="false" customHeight="false" outlineLevel="0" collapsed="false">
      <c r="A143" s="2" t="n">
        <v>39646</v>
      </c>
      <c r="B143" s="0" t="n">
        <v>1260.31</v>
      </c>
      <c r="C143" s="0" t="n">
        <v>194.89</v>
      </c>
      <c r="D143" s="3" t="n">
        <f aca="false">B143*100/B$2</f>
        <v>87.0885043809945</v>
      </c>
      <c r="E143" s="3" t="n">
        <f aca="false">C143*100/C$2</f>
        <v>82.8261793455163</v>
      </c>
      <c r="F143" s="0" t="n">
        <v>97.0210619420105</v>
      </c>
      <c r="G143" s="0" t="n">
        <v>98.8396179526175</v>
      </c>
      <c r="H143" s="0" t="n">
        <v>99.7705057373566</v>
      </c>
      <c r="I143" s="0" t="n">
        <v>0.93088778473907</v>
      </c>
    </row>
    <row r="144" customFormat="false" ht="13.8" hidden="false" customHeight="false" outlineLevel="0" collapsed="false">
      <c r="A144" s="2" t="n">
        <v>39647</v>
      </c>
      <c r="B144" s="0" t="n">
        <v>1260.68</v>
      </c>
      <c r="C144" s="0" t="n">
        <v>192.86</v>
      </c>
      <c r="D144" s="3" t="n">
        <f aca="false">B144*100/B$2</f>
        <v>87.1140716990519</v>
      </c>
      <c r="E144" s="3" t="n">
        <f aca="false">C144*100/C$2</f>
        <v>81.9634509137272</v>
      </c>
      <c r="F144" s="0" t="n">
        <v>94.0241576605213</v>
      </c>
      <c r="G144" s="0" t="n">
        <v>97.8385314058067</v>
      </c>
      <c r="H144" s="0" t="n">
        <v>99.7705057373566</v>
      </c>
      <c r="I144" s="0" t="n">
        <v>1.93197433154987</v>
      </c>
    </row>
    <row r="145" customFormat="false" ht="13.8" hidden="false" customHeight="false" outlineLevel="0" collapsed="false">
      <c r="A145" s="2" t="n">
        <v>39650</v>
      </c>
      <c r="B145" s="0" t="n">
        <v>1260</v>
      </c>
      <c r="C145" s="0" t="n">
        <v>200</v>
      </c>
      <c r="D145" s="3" t="n">
        <f aca="false">B145*100/B$2</f>
        <v>87.0670831145139</v>
      </c>
      <c r="E145" s="3" t="n">
        <f aca="false">C145*100/C$2</f>
        <v>84.9978750531237</v>
      </c>
      <c r="F145" s="0" t="n">
        <v>94.0987865889052</v>
      </c>
      <c r="G145" s="0" t="n">
        <v>97.8634604689968</v>
      </c>
      <c r="H145" s="0" t="n">
        <v>98.3212919677008</v>
      </c>
      <c r="I145" s="0" t="n">
        <v>0.457831498703996</v>
      </c>
    </row>
    <row r="146" customFormat="false" ht="13.8" hidden="false" customHeight="false" outlineLevel="0" collapsed="false">
      <c r="A146" s="2" t="n">
        <v>39651</v>
      </c>
      <c r="B146" s="0" t="n">
        <v>1277</v>
      </c>
      <c r="C146" s="0" t="n">
        <v>199.77</v>
      </c>
      <c r="D146" s="3" t="n">
        <f aca="false">B146*100/B$2</f>
        <v>88.2417977279637</v>
      </c>
      <c r="E146" s="3" t="n">
        <f aca="false">C146*100/C$2</f>
        <v>84.9001274968126</v>
      </c>
      <c r="F146" s="0" t="n">
        <v>93.8693717349844</v>
      </c>
      <c r="G146" s="0" t="n">
        <v>97.7868266821531</v>
      </c>
      <c r="H146" s="0" t="n">
        <v>96.2855928601785</v>
      </c>
      <c r="I146" s="0" t="n">
        <v>-1.50123382197459</v>
      </c>
    </row>
    <row r="147" customFormat="false" ht="13.8" hidden="false" customHeight="false" outlineLevel="0" collapsed="false">
      <c r="A147" s="2" t="n">
        <v>39652</v>
      </c>
      <c r="B147" s="0" t="n">
        <v>1282.18</v>
      </c>
      <c r="C147" s="0" t="n">
        <v>203.64</v>
      </c>
      <c r="D147" s="3" t="n">
        <f aca="false">B147*100/B$2</f>
        <v>88.5997401807678</v>
      </c>
      <c r="E147" s="3" t="n">
        <f aca="false">C147*100/C$2</f>
        <v>86.5448363790905</v>
      </c>
      <c r="F147" s="0" t="n">
        <v>92.2835070068272</v>
      </c>
      <c r="G147" s="0" t="n">
        <v>97.257084089363</v>
      </c>
      <c r="H147" s="0" t="n">
        <v>96.6510837229069</v>
      </c>
      <c r="I147" s="0" t="n">
        <v>-0.606000366456044</v>
      </c>
    </row>
    <row r="148" customFormat="false" ht="13.8" hidden="false" customHeight="false" outlineLevel="0" collapsed="false">
      <c r="A148" s="2" t="n">
        <v>39653</v>
      </c>
      <c r="B148" s="0" t="n">
        <v>1252.54</v>
      </c>
      <c r="C148" s="0" t="n">
        <v>208.34</v>
      </c>
      <c r="D148" s="3" t="n">
        <f aca="false">B148*100/B$2</f>
        <v>86.5515907017883</v>
      </c>
      <c r="E148" s="3" t="n">
        <f aca="false">C148*100/C$2</f>
        <v>88.5422864428389</v>
      </c>
      <c r="F148" s="0" t="n">
        <v>92.5861687719395</v>
      </c>
      <c r="G148" s="0" t="n">
        <v>97.3581852900785</v>
      </c>
      <c r="H148" s="0" t="n">
        <v>93.9949001274968</v>
      </c>
      <c r="I148" s="0" t="n">
        <v>-3.36328516258166</v>
      </c>
    </row>
    <row r="149" customFormat="false" ht="13.8" hidden="false" customHeight="false" outlineLevel="0" collapsed="false">
      <c r="A149" s="2" t="n">
        <v>39654</v>
      </c>
      <c r="B149" s="0" t="n">
        <v>1257.76</v>
      </c>
      <c r="C149" s="0" t="n">
        <v>204.27</v>
      </c>
      <c r="D149" s="3" t="n">
        <f aca="false">B149*100/B$2</f>
        <v>86.912297188977</v>
      </c>
      <c r="E149" s="3" t="n">
        <f aca="false">C149*100/C$2</f>
        <v>86.8125796855079</v>
      </c>
      <c r="F149" s="0" t="n">
        <v>93.8044169269466</v>
      </c>
      <c r="G149" s="0" t="n">
        <v>97.7651291641913</v>
      </c>
      <c r="H149" s="0" t="n">
        <v>94.6833829154271</v>
      </c>
      <c r="I149" s="0" t="n">
        <v>-3.08174624876422</v>
      </c>
    </row>
    <row r="150" customFormat="false" ht="13.8" hidden="false" customHeight="false" outlineLevel="0" collapsed="false">
      <c r="A150" s="2" t="n">
        <v>39657</v>
      </c>
      <c r="B150" s="0" t="n">
        <v>1234.37</v>
      </c>
      <c r="C150" s="0" t="n">
        <v>203.97</v>
      </c>
      <c r="D150" s="3" t="n">
        <f aca="false">B150*100/B$2</f>
        <v>85.2960280825893</v>
      </c>
      <c r="E150" s="3" t="n">
        <f aca="false">C150*100/C$2</f>
        <v>86.6850828729282</v>
      </c>
      <c r="F150" s="0" t="n">
        <v>93.9868431963294</v>
      </c>
      <c r="G150" s="0" t="n">
        <v>97.8260668742116</v>
      </c>
      <c r="H150" s="0" t="n">
        <v>95.5843603909902</v>
      </c>
      <c r="I150" s="0" t="n">
        <v>-2.24170648322139</v>
      </c>
    </row>
    <row r="151" customFormat="false" ht="13.8" hidden="false" customHeight="false" outlineLevel="0" collapsed="false">
      <c r="A151" s="2" t="n">
        <v>39658</v>
      </c>
      <c r="B151" s="0" t="n">
        <v>1263.19</v>
      </c>
      <c r="C151" s="0" t="n">
        <v>199.9</v>
      </c>
      <c r="D151" s="3" t="n">
        <f aca="false">B151*100/B$2</f>
        <v>87.2875148566848</v>
      </c>
      <c r="E151" s="3" t="n">
        <f aca="false">C151*100/C$2</f>
        <v>84.9553761155971</v>
      </c>
      <c r="F151" s="0" t="n">
        <v>93.350424279278</v>
      </c>
      <c r="G151" s="0" t="n">
        <v>97.6134773631181</v>
      </c>
      <c r="H151" s="0" t="n">
        <v>95.0531236719082</v>
      </c>
      <c r="I151" s="0" t="n">
        <v>-2.56035369120987</v>
      </c>
    </row>
    <row r="152" customFormat="false" ht="13.8" hidden="false" customHeight="false" outlineLevel="0" collapsed="false">
      <c r="A152" s="2" t="n">
        <v>39659</v>
      </c>
      <c r="B152" s="0" t="n">
        <v>1284.26</v>
      </c>
      <c r="C152" s="0" t="n">
        <v>201.82</v>
      </c>
      <c r="D152" s="3" t="n">
        <f aca="false">B152*100/B$2</f>
        <v>88.7434699687664</v>
      </c>
      <c r="E152" s="3" t="n">
        <f aca="false">C152*100/C$2</f>
        <v>85.7713557161071</v>
      </c>
      <c r="F152" s="0" t="n">
        <v>92.4438210011332</v>
      </c>
      <c r="G152" s="0" t="n">
        <v>97.3106354102899</v>
      </c>
      <c r="H152" s="0" t="n">
        <v>96.3025924351891</v>
      </c>
      <c r="I152" s="0" t="n">
        <v>-1.00804297510078</v>
      </c>
    </row>
    <row r="153" customFormat="false" ht="13.8" hidden="false" customHeight="false" outlineLevel="0" collapsed="false">
      <c r="A153" s="2" t="n">
        <v>39660</v>
      </c>
      <c r="B153" s="0" t="n">
        <v>1267.38</v>
      </c>
      <c r="C153" s="0" t="n">
        <v>204.12</v>
      </c>
      <c r="D153" s="3" t="n">
        <f aca="false">B153*100/B$2</f>
        <v>87.5770474584704</v>
      </c>
      <c r="E153" s="3" t="n">
        <f aca="false">C153*100/C$2</f>
        <v>86.748831279218</v>
      </c>
      <c r="F153" s="0" t="n">
        <v>92.790707316399</v>
      </c>
      <c r="G153" s="0" t="n">
        <v>97.4265093891921</v>
      </c>
      <c r="H153" s="0" t="n">
        <v>94.3603909902252</v>
      </c>
      <c r="I153" s="0" t="n">
        <v>-3.06611839896689</v>
      </c>
    </row>
    <row r="154" customFormat="false" ht="13.8" hidden="false" customHeight="false" outlineLevel="0" collapsed="false">
      <c r="A154" s="2" t="n">
        <v>39661</v>
      </c>
      <c r="B154" s="0" t="n">
        <v>1260.31</v>
      </c>
      <c r="C154" s="0" t="n">
        <v>201.43</v>
      </c>
      <c r="D154" s="3" t="n">
        <f aca="false">B154*100/B$2</f>
        <v>87.0885043809945</v>
      </c>
      <c r="E154" s="3" t="n">
        <f aca="false">C154*100/C$2</f>
        <v>85.6056098597535</v>
      </c>
      <c r="F154" s="0" t="n">
        <v>91.0700959119931</v>
      </c>
      <c r="G154" s="0" t="n">
        <v>96.8517559878643</v>
      </c>
      <c r="H154" s="0" t="n">
        <v>93.7399065023374</v>
      </c>
      <c r="I154" s="0" t="n">
        <v>-3.11184948552685</v>
      </c>
    </row>
    <row r="155" customFormat="false" ht="13.8" hidden="false" customHeight="false" outlineLevel="0" collapsed="false">
      <c r="A155" s="2" t="n">
        <v>39664</v>
      </c>
      <c r="B155" s="0" t="n">
        <v>1249.01</v>
      </c>
      <c r="C155" s="0" t="n">
        <v>197.56</v>
      </c>
      <c r="D155" s="3" t="n">
        <f aca="false">B155*100/B$2</f>
        <v>86.3076646673485</v>
      </c>
      <c r="E155" s="3" t="n">
        <f aca="false">C155*100/C$2</f>
        <v>83.9609009774756</v>
      </c>
      <c r="F155" s="0" t="n">
        <v>91.0749329721662</v>
      </c>
      <c r="G155" s="0" t="n">
        <v>96.8533717604785</v>
      </c>
      <c r="H155" s="0" t="n">
        <v>92.8644283892903</v>
      </c>
      <c r="I155" s="0" t="n">
        <v>-3.9889433711882</v>
      </c>
    </row>
    <row r="156" customFormat="false" ht="13.8" hidden="false" customHeight="false" outlineLevel="0" collapsed="false">
      <c r="A156" s="2" t="n">
        <v>39665</v>
      </c>
      <c r="B156" s="0" t="n">
        <v>1284.88</v>
      </c>
      <c r="C156" s="0" t="n">
        <v>196.44</v>
      </c>
      <c r="D156" s="3" t="n">
        <f aca="false">B156*100/B$2</f>
        <v>88.7863125017275</v>
      </c>
      <c r="E156" s="3" t="n">
        <f aca="false">C156*100/C$2</f>
        <v>83.4849128771781</v>
      </c>
      <c r="F156" s="0" t="n">
        <v>90.8185687829957</v>
      </c>
      <c r="G156" s="0" t="n">
        <v>96.7677358119272</v>
      </c>
      <c r="H156" s="0" t="n">
        <v>92.6349341266468</v>
      </c>
      <c r="I156" s="0" t="n">
        <v>-4.13280168528037</v>
      </c>
    </row>
    <row r="157" customFormat="false" ht="13.8" hidden="false" customHeight="false" outlineLevel="0" collapsed="false">
      <c r="A157" s="2" t="n">
        <v>39666</v>
      </c>
      <c r="B157" s="0" t="n">
        <v>1289.18</v>
      </c>
      <c r="C157" s="0" t="n">
        <v>202.28</v>
      </c>
      <c r="D157" s="3" t="n">
        <f aca="false">B157*100/B$2</f>
        <v>89.0834461980707</v>
      </c>
      <c r="E157" s="3" t="n">
        <f aca="false">C157*100/C$2</f>
        <v>85.9668508287293</v>
      </c>
      <c r="F157" s="0" t="n">
        <v>91.3492633848365</v>
      </c>
      <c r="G157" s="0" t="n">
        <v>96.9450091501681</v>
      </c>
      <c r="H157" s="0" t="n">
        <v>93.0514237144071</v>
      </c>
      <c r="I157" s="0" t="n">
        <v>-3.89358543576095</v>
      </c>
    </row>
    <row r="158" customFormat="false" ht="13.8" hidden="false" customHeight="false" outlineLevel="0" collapsed="false">
      <c r="A158" s="2" t="n">
        <v>39667</v>
      </c>
      <c r="B158" s="0" t="n">
        <v>1266.06</v>
      </c>
      <c r="C158" s="0" t="n">
        <v>200.31</v>
      </c>
      <c r="D158" s="3" t="n">
        <f aca="false">B158*100/B$2</f>
        <v>87.485834323779</v>
      </c>
      <c r="E158" s="3" t="n">
        <f aca="false">C158*100/C$2</f>
        <v>85.129621759456</v>
      </c>
      <c r="F158" s="0" t="n">
        <v>88.6667680145941</v>
      </c>
      <c r="G158" s="0" t="n">
        <v>96.0489478232786</v>
      </c>
      <c r="H158" s="0" t="n">
        <v>93.1236719082023</v>
      </c>
      <c r="I158" s="0" t="n">
        <v>-2.92527591507634</v>
      </c>
    </row>
    <row r="159" customFormat="false" ht="13.8" hidden="false" customHeight="false" outlineLevel="0" collapsed="false">
      <c r="A159" s="2" t="n">
        <v>39668</v>
      </c>
      <c r="B159" s="0" t="n">
        <v>1296.31</v>
      </c>
      <c r="C159" s="0" t="n">
        <v>200.76</v>
      </c>
      <c r="D159" s="3" t="n">
        <f aca="false">B159*100/B$2</f>
        <v>89.5761353271235</v>
      </c>
      <c r="E159" s="3" t="n">
        <f aca="false">C159*100/C$2</f>
        <v>85.3208669783255</v>
      </c>
      <c r="F159" s="0" t="n">
        <v>88.337156914232</v>
      </c>
      <c r="G159" s="0" t="n">
        <v>95.9388444608556</v>
      </c>
      <c r="H159" s="0" t="n">
        <v>91.1984700382491</v>
      </c>
      <c r="I159" s="0" t="n">
        <v>-4.74037442260655</v>
      </c>
    </row>
    <row r="160" customFormat="false" ht="13.8" hidden="false" customHeight="false" outlineLevel="0" collapsed="false">
      <c r="A160" s="2" t="n">
        <v>39671</v>
      </c>
      <c r="B160" s="0" t="n">
        <v>1305.31</v>
      </c>
      <c r="C160" s="0" t="n">
        <v>203.2</v>
      </c>
      <c r="D160" s="3" t="n">
        <f aca="false">B160*100/B$2</f>
        <v>90.1980430636557</v>
      </c>
      <c r="E160" s="3" t="n">
        <f aca="false">C160*100/C$2</f>
        <v>86.3578410539737</v>
      </c>
      <c r="F160" s="0" t="n">
        <v>88.4491003068078</v>
      </c>
      <c r="G160" s="0" t="n">
        <v>95.9762380556408</v>
      </c>
      <c r="H160" s="0" t="n">
        <v>90.7437314067148</v>
      </c>
      <c r="I160" s="0" t="n">
        <v>-5.23250664892595</v>
      </c>
    </row>
    <row r="161" customFormat="false" ht="13.8" hidden="false" customHeight="false" outlineLevel="0" collapsed="false">
      <c r="A161" s="2" t="n">
        <v>39672</v>
      </c>
      <c r="B161" s="0" t="n">
        <v>1289.59</v>
      </c>
      <c r="C161" s="0" t="n">
        <v>202.12</v>
      </c>
      <c r="D161" s="3" t="n">
        <f aca="false">B161*100/B$2</f>
        <v>89.1117775505127</v>
      </c>
      <c r="E161" s="3" t="n">
        <f aca="false">C161*100/C$2</f>
        <v>85.8988525286868</v>
      </c>
      <c r="F161" s="0" t="n">
        <v>88.788385527516</v>
      </c>
      <c r="G161" s="0" t="n">
        <v>96.0895729632922</v>
      </c>
      <c r="H161" s="0" t="n">
        <v>90.531236719082</v>
      </c>
      <c r="I161" s="0" t="n">
        <v>-5.55833624421015</v>
      </c>
    </row>
    <row r="162" customFormat="false" ht="13.8" hidden="false" customHeight="false" outlineLevel="0" collapsed="false">
      <c r="A162" s="2" t="n">
        <v>39673</v>
      </c>
      <c r="B162" s="0" t="n">
        <v>1285.82</v>
      </c>
      <c r="C162" s="0" t="n">
        <v>200.26</v>
      </c>
      <c r="D162" s="3" t="n">
        <f aca="false">B162*100/B$2</f>
        <v>88.8512673097653</v>
      </c>
      <c r="E162" s="3" t="n">
        <f aca="false">C162*100/C$2</f>
        <v>85.1083722906927</v>
      </c>
      <c r="F162" s="0" t="n">
        <v>87.1721164211283</v>
      </c>
      <c r="G162" s="0" t="n">
        <v>95.5496740854987</v>
      </c>
      <c r="H162" s="0" t="n">
        <v>88.380790480238</v>
      </c>
      <c r="I162" s="0" t="n">
        <v>-7.16888360526066</v>
      </c>
    </row>
    <row r="163" customFormat="false" ht="13.8" hidden="false" customHeight="false" outlineLevel="0" collapsed="false">
      <c r="A163" s="2" t="n">
        <v>39674</v>
      </c>
      <c r="B163" s="0" t="n">
        <v>1292.93</v>
      </c>
      <c r="C163" s="0" t="n">
        <v>201.5</v>
      </c>
      <c r="D163" s="3" t="n">
        <f aca="false">B163*100/B$2</f>
        <v>89.3425744216258</v>
      </c>
      <c r="E163" s="3" t="n">
        <f aca="false">C163*100/C$2</f>
        <v>85.6353591160221</v>
      </c>
      <c r="F163" s="0" t="n">
        <v>87.2674756073966</v>
      </c>
      <c r="G163" s="0" t="n">
        <v>95.5815278884638</v>
      </c>
      <c r="H163" s="0" t="n">
        <v>87.4245643858903</v>
      </c>
      <c r="I163" s="0" t="n">
        <v>-8.15696350257348</v>
      </c>
    </row>
    <row r="164" customFormat="false" ht="13.8" hidden="false" customHeight="false" outlineLevel="0" collapsed="false">
      <c r="A164" s="2" t="n">
        <v>39675</v>
      </c>
      <c r="B164" s="0" t="n">
        <v>1298.19</v>
      </c>
      <c r="C164" s="0" t="n">
        <v>201.5</v>
      </c>
      <c r="D164" s="3" t="n">
        <f aca="false">B164*100/B$2</f>
        <v>89.7060449431991</v>
      </c>
      <c r="E164" s="3" t="n">
        <f aca="false">C164*100/C$2</f>
        <v>85.6353591160221</v>
      </c>
      <c r="F164" s="0" t="n">
        <v>87.2674756073966</v>
      </c>
      <c r="G164" s="0" t="n">
        <v>95.5815278884638</v>
      </c>
      <c r="H164" s="0" t="n">
        <v>85.7373565660859</v>
      </c>
      <c r="I164" s="0" t="n">
        <v>-9.84417132237797</v>
      </c>
    </row>
    <row r="165" customFormat="false" ht="13.8" hidden="false" customHeight="false" outlineLevel="0" collapsed="false">
      <c r="A165" s="2" t="n">
        <v>39678</v>
      </c>
      <c r="B165" s="0" t="n">
        <v>1278.6</v>
      </c>
      <c r="C165" s="0" t="n">
        <v>200.97</v>
      </c>
      <c r="D165" s="3" t="n">
        <f aca="false">B165*100/B$2</f>
        <v>88.3523591033472</v>
      </c>
      <c r="E165" s="3" t="n">
        <f aca="false">C165*100/C$2</f>
        <v>85.4101147471313</v>
      </c>
      <c r="F165" s="0" t="n">
        <v>86.5356975040769</v>
      </c>
      <c r="G165" s="0" t="n">
        <v>95.3370845744051</v>
      </c>
      <c r="H165" s="0" t="n">
        <v>85.9923501912452</v>
      </c>
      <c r="I165" s="0" t="n">
        <v>-9.3447343831599</v>
      </c>
    </row>
    <row r="166" customFormat="false" ht="13.8" hidden="false" customHeight="false" outlineLevel="0" collapsed="false">
      <c r="A166" s="2" t="n">
        <v>39679</v>
      </c>
      <c r="B166" s="0" t="n">
        <v>1266.68</v>
      </c>
      <c r="C166" s="0" t="n">
        <v>197.56</v>
      </c>
      <c r="D166" s="3" t="n">
        <f aca="false">B166*100/B$2</f>
        <v>87.5286768567401</v>
      </c>
      <c r="E166" s="3" t="n">
        <f aca="false">C166*100/C$2</f>
        <v>83.9609009774756</v>
      </c>
      <c r="F166" s="0" t="n">
        <v>88.0130738826391</v>
      </c>
      <c r="G166" s="0" t="n">
        <v>95.8305876957059</v>
      </c>
      <c r="H166" s="0" t="n">
        <v>83.5189120271993</v>
      </c>
      <c r="I166" s="0" t="n">
        <v>-12.3116756685066</v>
      </c>
    </row>
    <row r="167" customFormat="false" ht="13.8" hidden="false" customHeight="false" outlineLevel="0" collapsed="false">
      <c r="A167" s="2" t="n">
        <v>39680</v>
      </c>
      <c r="B167" s="0" t="n">
        <v>1274.54</v>
      </c>
      <c r="C167" s="0" t="n">
        <v>197.35</v>
      </c>
      <c r="D167" s="3" t="n">
        <f aca="false">B167*100/B$2</f>
        <v>88.0718096133116</v>
      </c>
      <c r="E167" s="3" t="n">
        <f aca="false">C167*100/C$2</f>
        <v>83.8716532086698</v>
      </c>
      <c r="F167" s="0" t="n">
        <v>86.0084579452168</v>
      </c>
      <c r="G167" s="0" t="n">
        <v>95.1609653594601</v>
      </c>
      <c r="H167" s="0" t="n">
        <v>82.707182320442</v>
      </c>
      <c r="I167" s="0" t="n">
        <v>-12.4537830390181</v>
      </c>
    </row>
    <row r="168" customFormat="false" ht="13.8" hidden="false" customHeight="false" outlineLevel="0" collapsed="false">
      <c r="A168" s="2" t="n">
        <v>39681</v>
      </c>
      <c r="B168" s="0" t="n">
        <v>1277.72</v>
      </c>
      <c r="C168" s="0" t="n">
        <v>193.85</v>
      </c>
      <c r="D168" s="3" t="n">
        <f aca="false">B168*100/B$2</f>
        <v>88.2915503468863</v>
      </c>
      <c r="E168" s="3" t="n">
        <f aca="false">C168*100/C$2</f>
        <v>82.3841903952401</v>
      </c>
      <c r="F168" s="0" t="n">
        <v>86.6103264324608</v>
      </c>
      <c r="G168" s="0" t="n">
        <v>95.3620136375952</v>
      </c>
      <c r="H168" s="0" t="n">
        <v>83.4424139396515</v>
      </c>
      <c r="I168" s="0" t="n">
        <v>-11.9195996979437</v>
      </c>
    </row>
    <row r="169" customFormat="false" ht="13.8" hidden="false" customHeight="false" outlineLevel="0" collapsed="false">
      <c r="A169" s="2" t="n">
        <v>39682</v>
      </c>
      <c r="B169" s="0" t="n">
        <v>1292.19</v>
      </c>
      <c r="C169" s="0" t="n">
        <v>192.04</v>
      </c>
      <c r="D169" s="3" t="n">
        <f aca="false">B169*100/B$2</f>
        <v>89.2914397855109</v>
      </c>
      <c r="E169" s="3" t="n">
        <f aca="false">C169*100/C$2</f>
        <v>81.6149596260093</v>
      </c>
      <c r="F169" s="0" t="n">
        <v>85.6498244838166</v>
      </c>
      <c r="G169" s="0" t="n">
        <v>95.041167361352</v>
      </c>
      <c r="H169" s="0" t="n">
        <v>85.0488737781555</v>
      </c>
      <c r="I169" s="0" t="n">
        <v>-9.99229358319643</v>
      </c>
    </row>
    <row r="170" customFormat="false" ht="13.8" hidden="false" customHeight="false" outlineLevel="0" collapsed="false">
      <c r="A170" s="2" t="n">
        <v>39685</v>
      </c>
      <c r="B170" s="0" t="n">
        <v>1266.84</v>
      </c>
      <c r="C170" s="0" t="n">
        <v>192.99</v>
      </c>
      <c r="D170" s="3" t="n">
        <f aca="false">B170*100/B$2</f>
        <v>87.5397329942784</v>
      </c>
      <c r="E170" s="3" t="n">
        <f aca="false">C170*100/C$2</f>
        <v>82.0186995325117</v>
      </c>
      <c r="F170" s="0" t="n">
        <v>84.8765858647282</v>
      </c>
      <c r="G170" s="0" t="n">
        <v>94.7828745677432</v>
      </c>
      <c r="H170" s="0" t="n">
        <v>84.6238844028899</v>
      </c>
      <c r="I170" s="0" t="n">
        <v>-10.1589901648533</v>
      </c>
    </row>
    <row r="171" customFormat="false" ht="13.8" hidden="false" customHeight="false" outlineLevel="0" collapsed="false">
      <c r="A171" s="2" t="n">
        <v>39686</v>
      </c>
      <c r="B171" s="0" t="n">
        <v>1271.51</v>
      </c>
      <c r="C171" s="0" t="n">
        <v>191.36</v>
      </c>
      <c r="D171" s="3" t="n">
        <f aca="false">B171*100/B$2</f>
        <v>87.8624340086791</v>
      </c>
      <c r="E171" s="3" t="n">
        <f aca="false">C171*100/C$2</f>
        <v>81.3259668508287</v>
      </c>
      <c r="F171" s="0" t="n">
        <v>83.9513253544874</v>
      </c>
      <c r="G171" s="0" t="n">
        <v>94.4738003491175</v>
      </c>
      <c r="H171" s="0" t="n">
        <v>82.027199320017</v>
      </c>
      <c r="I171" s="0" t="n">
        <v>-12.4466010291005</v>
      </c>
    </row>
    <row r="172" customFormat="false" ht="13.8" hidden="false" customHeight="false" outlineLevel="0" collapsed="false">
      <c r="A172" s="2" t="n">
        <v>39687</v>
      </c>
      <c r="B172" s="0" t="n">
        <v>1281.66</v>
      </c>
      <c r="C172" s="0" t="n">
        <v>191.6</v>
      </c>
      <c r="D172" s="3" t="n">
        <f aca="false">B172*100/B$2</f>
        <v>88.5638077337682</v>
      </c>
      <c r="E172" s="3" t="n">
        <f aca="false">C172*100/C$2</f>
        <v>81.4279643008925</v>
      </c>
      <c r="F172" s="0" t="n">
        <v>86.0554465297548</v>
      </c>
      <c r="G172" s="0" t="n">
        <v>95.1766614362835</v>
      </c>
      <c r="H172" s="0" t="n">
        <v>81.8019549511262</v>
      </c>
      <c r="I172" s="0" t="n">
        <v>-13.3747064851572</v>
      </c>
    </row>
    <row r="173" customFormat="false" ht="13.8" hidden="false" customHeight="false" outlineLevel="0" collapsed="false">
      <c r="A173" s="2" t="n">
        <v>39688</v>
      </c>
      <c r="B173" s="0" t="n">
        <v>1300.68</v>
      </c>
      <c r="C173" s="0" t="n">
        <v>188.75</v>
      </c>
      <c r="D173" s="3" t="n">
        <f aca="false">B173*100/B$2</f>
        <v>89.8781060836397</v>
      </c>
      <c r="E173" s="3" t="n">
        <f aca="false">C173*100/C$2</f>
        <v>80.2167445813855</v>
      </c>
      <c r="F173" s="0" t="n">
        <v>87.0885043809945</v>
      </c>
      <c r="G173" s="0" t="n">
        <v>95.5217443017393</v>
      </c>
      <c r="H173" s="0" t="n">
        <v>82.8261793455163</v>
      </c>
      <c r="I173" s="0" t="n">
        <v>-12.695564956223</v>
      </c>
    </row>
    <row r="174" customFormat="false" ht="13.8" hidden="false" customHeight="false" outlineLevel="0" collapsed="false">
      <c r="A174" s="2" t="n">
        <v>39689</v>
      </c>
      <c r="B174" s="0" t="n">
        <v>1282.82</v>
      </c>
      <c r="C174" s="0" t="n">
        <v>188.96</v>
      </c>
      <c r="D174" s="3" t="n">
        <f aca="false">B174*100/B$2</f>
        <v>88.6439647309213</v>
      </c>
      <c r="E174" s="3" t="n">
        <f aca="false">C174*100/C$2</f>
        <v>80.3059923501912</v>
      </c>
      <c r="F174" s="0" t="n">
        <v>87.1140716990519</v>
      </c>
      <c r="G174" s="0" t="n">
        <v>95.5302848141286</v>
      </c>
      <c r="H174" s="0" t="n">
        <v>81.9634509137272</v>
      </c>
      <c r="I174" s="0" t="n">
        <v>-13.5668339004014</v>
      </c>
    </row>
    <row r="175" customFormat="false" ht="13.8" hidden="false" customHeight="false" outlineLevel="0" collapsed="false">
      <c r="A175" s="2" t="n">
        <v>39692</v>
      </c>
      <c r="B175" s="0" t="n">
        <v>1282.82</v>
      </c>
      <c r="C175" s="0" t="n">
        <v>182.13</v>
      </c>
      <c r="D175" s="3" t="n">
        <f aca="false">B175*100/B$2</f>
        <v>88.6439647309213</v>
      </c>
      <c r="E175" s="3" t="n">
        <f aca="false">C175*100/C$2</f>
        <v>77.4033149171271</v>
      </c>
      <c r="F175" s="0" t="n">
        <v>87.0670831145139</v>
      </c>
      <c r="G175" s="0" t="n">
        <v>95.5145887373051</v>
      </c>
      <c r="H175" s="0" t="n">
        <v>84.9978750531237</v>
      </c>
      <c r="I175" s="0" t="n">
        <v>-10.5167136841815</v>
      </c>
    </row>
    <row r="176" customFormat="false" ht="13.8" hidden="false" customHeight="false" outlineLevel="0" collapsed="false">
      <c r="A176" s="2" t="n">
        <v>39693</v>
      </c>
      <c r="B176" s="0" t="n">
        <v>1277.57</v>
      </c>
      <c r="C176" s="0" t="n">
        <v>182.41</v>
      </c>
      <c r="D176" s="3" t="n">
        <f aca="false">B176*100/B$2</f>
        <v>88.2811852179441</v>
      </c>
      <c r="E176" s="3" t="n">
        <f aca="false">C176*100/C$2</f>
        <v>77.5223119422014</v>
      </c>
      <c r="F176" s="0" t="n">
        <v>88.2417977279637</v>
      </c>
      <c r="G176" s="0" t="n">
        <v>95.9069906578904</v>
      </c>
      <c r="H176" s="0" t="n">
        <v>84.9001274968126</v>
      </c>
      <c r="I176" s="0" t="n">
        <v>-11.0068631610779</v>
      </c>
    </row>
    <row r="177" customFormat="false" ht="13.8" hidden="false" customHeight="false" outlineLevel="0" collapsed="false">
      <c r="A177" s="2" t="n">
        <v>39694</v>
      </c>
      <c r="B177" s="0" t="n">
        <v>1274.98</v>
      </c>
      <c r="C177" s="0" t="n">
        <v>184.36</v>
      </c>
      <c r="D177" s="3" t="n">
        <f aca="false">B177*100/B$2</f>
        <v>88.1022139915421</v>
      </c>
      <c r="E177" s="3" t="n">
        <f aca="false">C177*100/C$2</f>
        <v>78.3510412239694</v>
      </c>
      <c r="F177" s="0" t="n">
        <v>88.5997401807678</v>
      </c>
      <c r="G177" s="0" t="n">
        <v>96.0265578313394</v>
      </c>
      <c r="H177" s="0" t="n">
        <v>86.5448363790905</v>
      </c>
      <c r="I177" s="0" t="n">
        <v>-9.48172145224885</v>
      </c>
    </row>
    <row r="178" customFormat="false" ht="13.8" hidden="false" customHeight="false" outlineLevel="0" collapsed="false">
      <c r="A178" s="2" t="n">
        <v>39695</v>
      </c>
      <c r="B178" s="0" t="n">
        <v>1236.82</v>
      </c>
      <c r="C178" s="0" t="n">
        <v>183.57</v>
      </c>
      <c r="D178" s="3" t="n">
        <f aca="false">B178*100/B$2</f>
        <v>85.4653251886453</v>
      </c>
      <c r="E178" s="3" t="n">
        <f aca="false">C178*100/C$2</f>
        <v>78.0152996175096</v>
      </c>
      <c r="F178" s="0" t="n">
        <v>86.5515907017883</v>
      </c>
      <c r="G178" s="0" t="n">
        <v>95.342393541566</v>
      </c>
      <c r="H178" s="0" t="n">
        <v>88.5422864428389</v>
      </c>
      <c r="I178" s="0" t="n">
        <v>-6.80010709872704</v>
      </c>
    </row>
    <row r="179" customFormat="false" ht="13.8" hidden="false" customHeight="false" outlineLevel="0" collapsed="false">
      <c r="A179" s="2" t="n">
        <v>39696</v>
      </c>
      <c r="B179" s="0" t="n">
        <v>1242.31</v>
      </c>
      <c r="C179" s="0" t="n">
        <v>180.49</v>
      </c>
      <c r="D179" s="3" t="n">
        <f aca="false">B179*100/B$2</f>
        <v>85.84468890793</v>
      </c>
      <c r="E179" s="3" t="n">
        <f aca="false">C179*100/C$2</f>
        <v>76.7063323416915</v>
      </c>
      <c r="F179" s="0" t="n">
        <v>86.912297188977</v>
      </c>
      <c r="G179" s="0" t="n">
        <v>95.4628840136516</v>
      </c>
      <c r="H179" s="0" t="n">
        <v>86.8125796855079</v>
      </c>
      <c r="I179" s="0" t="n">
        <v>-8.6503043281437</v>
      </c>
    </row>
    <row r="180" customFormat="false" ht="13.8" hidden="false" customHeight="false" outlineLevel="0" collapsed="false">
      <c r="A180" s="2" t="n">
        <v>39699</v>
      </c>
      <c r="B180" s="0" t="n">
        <v>1267.79</v>
      </c>
      <c r="C180" s="0" t="n">
        <v>189.97</v>
      </c>
      <c r="D180" s="3" t="n">
        <f aca="false">B180*100/B$2</f>
        <v>87.6053788109124</v>
      </c>
      <c r="E180" s="3" t="n">
        <f aca="false">C180*100/C$2</f>
        <v>80.7352316192095</v>
      </c>
      <c r="F180" s="0" t="n">
        <v>85.2960280825893</v>
      </c>
      <c r="G180" s="0" t="n">
        <v>94.9229851358581</v>
      </c>
      <c r="H180" s="0" t="n">
        <v>86.6850828729282</v>
      </c>
      <c r="I180" s="0" t="n">
        <v>-8.23790226292986</v>
      </c>
    </row>
    <row r="181" customFormat="false" ht="13.8" hidden="false" customHeight="false" outlineLevel="0" collapsed="false">
      <c r="A181" s="2" t="n">
        <v>39700</v>
      </c>
      <c r="B181" s="0" t="n">
        <v>1224.51</v>
      </c>
      <c r="C181" s="0" t="n">
        <v>186.99</v>
      </c>
      <c r="D181" s="3" t="n">
        <f aca="false">B181*100/B$2</f>
        <v>84.6146936067885</v>
      </c>
      <c r="E181" s="3" t="n">
        <f aca="false">C181*100/C$2</f>
        <v>79.468763280918</v>
      </c>
      <c r="F181" s="0" t="n">
        <v>87.2875148566848</v>
      </c>
      <c r="G181" s="0" t="n">
        <v>95.5882218035797</v>
      </c>
      <c r="H181" s="0" t="n">
        <v>84.9553761155971</v>
      </c>
      <c r="I181" s="0" t="n">
        <v>-10.6328456879826</v>
      </c>
    </row>
    <row r="182" customFormat="false" ht="13.8" hidden="false" customHeight="false" outlineLevel="0" collapsed="false">
      <c r="A182" s="2" t="n">
        <v>39701</v>
      </c>
      <c r="B182" s="0" t="n">
        <v>1232.04</v>
      </c>
      <c r="C182" s="0" t="n">
        <v>188.5</v>
      </c>
      <c r="D182" s="3" t="n">
        <f aca="false">B182*100/B$2</f>
        <v>85.1350230796871</v>
      </c>
      <c r="E182" s="3" t="n">
        <f aca="false">C182*100/C$2</f>
        <v>80.1104972375691</v>
      </c>
      <c r="F182" s="0" t="n">
        <v>88.7434699687664</v>
      </c>
      <c r="G182" s="0" t="n">
        <v>96.0745693604463</v>
      </c>
      <c r="H182" s="0" t="n">
        <v>85.7713557161071</v>
      </c>
      <c r="I182" s="0" t="n">
        <v>-10.3032136443392</v>
      </c>
    </row>
    <row r="183" customFormat="false" ht="13.8" hidden="false" customHeight="false" outlineLevel="0" collapsed="false">
      <c r="A183" s="2" t="n">
        <v>39702</v>
      </c>
      <c r="B183" s="0" t="n">
        <v>1249.05</v>
      </c>
      <c r="C183" s="0" t="n">
        <v>185.27</v>
      </c>
      <c r="D183" s="3" t="n">
        <f aca="false">B183*100/B$2</f>
        <v>86.3104287017331</v>
      </c>
      <c r="E183" s="3" t="n">
        <f aca="false">C183*100/C$2</f>
        <v>78.7377815554611</v>
      </c>
      <c r="F183" s="0" t="n">
        <v>87.5770474584704</v>
      </c>
      <c r="G183" s="0" t="n">
        <v>95.684937335771</v>
      </c>
      <c r="H183" s="0" t="n">
        <v>86.748831279218</v>
      </c>
      <c r="I183" s="0" t="n">
        <v>-8.93610605655299</v>
      </c>
    </row>
    <row r="184" customFormat="false" ht="13.8" hidden="false" customHeight="false" outlineLevel="0" collapsed="false">
      <c r="A184" s="2" t="n">
        <v>39703</v>
      </c>
      <c r="B184" s="0" t="n">
        <v>1251.69</v>
      </c>
      <c r="C184" s="0" t="n">
        <v>189.9</v>
      </c>
      <c r="D184" s="3" t="n">
        <f aca="false">B184*100/B$2</f>
        <v>86.4928549711158</v>
      </c>
      <c r="E184" s="3" t="n">
        <f aca="false">C184*100/C$2</f>
        <v>80.7054823629409</v>
      </c>
      <c r="F184" s="0" t="n">
        <v>87.0885043809945</v>
      </c>
      <c r="G184" s="0" t="n">
        <v>95.5217443017393</v>
      </c>
      <c r="H184" s="0" t="n">
        <v>85.6056098597535</v>
      </c>
      <c r="I184" s="0" t="n">
        <v>-9.91613444198585</v>
      </c>
    </row>
    <row r="185" customFormat="false" ht="13.8" hidden="false" customHeight="false" outlineLevel="0" collapsed="false">
      <c r="A185" s="2" t="n">
        <v>39706</v>
      </c>
      <c r="B185" s="0" t="n">
        <v>1192.69</v>
      </c>
      <c r="C185" s="0" t="n">
        <v>189.9</v>
      </c>
      <c r="D185" s="3" t="n">
        <f aca="false">B185*100/B$2</f>
        <v>82.4159042538489</v>
      </c>
      <c r="E185" s="3" t="n">
        <f aca="false">C185*100/C$2</f>
        <v>80.7054823629409</v>
      </c>
      <c r="F185" s="0" t="n">
        <v>86.3076646673485</v>
      </c>
      <c r="G185" s="0" t="n">
        <v>95.2609124368797</v>
      </c>
      <c r="H185" s="0" t="n">
        <v>83.9609009774756</v>
      </c>
      <c r="I185" s="0" t="n">
        <v>-11.3000114594042</v>
      </c>
    </row>
    <row r="186" customFormat="false" ht="13.8" hidden="false" customHeight="false" outlineLevel="0" collapsed="false">
      <c r="A186" s="2" t="n">
        <v>39707</v>
      </c>
      <c r="B186" s="0" t="n">
        <v>1213.6</v>
      </c>
      <c r="C186" s="0" t="n">
        <v>179</v>
      </c>
      <c r="D186" s="3" t="n">
        <f aca="false">B186*100/B$2</f>
        <v>83.8608032283922</v>
      </c>
      <c r="E186" s="3" t="n">
        <f aca="false">C186*100/C$2</f>
        <v>76.0730981725457</v>
      </c>
      <c r="F186" s="0" t="n">
        <v>88.7863125017275</v>
      </c>
      <c r="G186" s="0" t="n">
        <v>96.0888804893147</v>
      </c>
      <c r="H186" s="0" t="n">
        <v>83.4849128771781</v>
      </c>
      <c r="I186" s="0" t="n">
        <v>-12.6039676121366</v>
      </c>
    </row>
    <row r="187" customFormat="false" ht="13.8" hidden="false" customHeight="false" outlineLevel="0" collapsed="false">
      <c r="A187" s="2" t="n">
        <v>39708</v>
      </c>
      <c r="B187" s="0" t="n">
        <v>1156.39</v>
      </c>
      <c r="C187" s="0" t="n">
        <v>183.54</v>
      </c>
      <c r="D187" s="3" t="n">
        <f aca="false">B187*100/B$2</f>
        <v>79.9075430498355</v>
      </c>
      <c r="E187" s="3" t="n">
        <f aca="false">C187*100/C$2</f>
        <v>78.0025499362516</v>
      </c>
      <c r="F187" s="0" t="n">
        <v>89.0834461980707</v>
      </c>
      <c r="G187" s="0" t="n">
        <v>96.1881350927568</v>
      </c>
      <c r="H187" s="0" t="n">
        <v>85.9668508287293</v>
      </c>
      <c r="I187" s="0" t="n">
        <v>-10.2212842640275</v>
      </c>
    </row>
    <row r="188" customFormat="false" ht="13.8" hidden="false" customHeight="false" outlineLevel="0" collapsed="false">
      <c r="A188" s="2" t="n">
        <v>39709</v>
      </c>
      <c r="B188" s="0" t="n">
        <v>1206.51</v>
      </c>
      <c r="C188" s="0" t="n">
        <v>179.25</v>
      </c>
      <c r="D188" s="3" t="n">
        <f aca="false">B188*100/B$2</f>
        <v>83.370878133724</v>
      </c>
      <c r="E188" s="3" t="n">
        <f aca="false">C188*100/C$2</f>
        <v>76.1793455163621</v>
      </c>
      <c r="F188" s="0" t="n">
        <v>87.485834323779</v>
      </c>
      <c r="G188" s="0" t="n">
        <v>95.6544684807608</v>
      </c>
      <c r="H188" s="0" t="n">
        <v>85.129621759456</v>
      </c>
      <c r="I188" s="0" t="n">
        <v>-10.5248467213048</v>
      </c>
    </row>
    <row r="189" customFormat="false" ht="13.8" hidden="false" customHeight="false" outlineLevel="0" collapsed="false">
      <c r="A189" s="2" t="n">
        <v>39710</v>
      </c>
      <c r="B189" s="0" t="n">
        <v>1255.07</v>
      </c>
      <c r="C189" s="0" t="n">
        <v>188.31</v>
      </c>
      <c r="D189" s="3" t="n">
        <f aca="false">B189*100/B$2</f>
        <v>86.7264158766135</v>
      </c>
      <c r="E189" s="3" t="n">
        <f aca="false">C189*100/C$2</f>
        <v>80.0297492562686</v>
      </c>
      <c r="F189" s="0" t="n">
        <v>89.5761353271235</v>
      </c>
      <c r="G189" s="0" t="n">
        <v>96.3527130747435</v>
      </c>
      <c r="H189" s="0" t="n">
        <v>85.3208669783255</v>
      </c>
      <c r="I189" s="0" t="n">
        <v>-11.0318460964179</v>
      </c>
    </row>
    <row r="190" customFormat="false" ht="13.8" hidden="false" customHeight="false" outlineLevel="0" collapsed="false">
      <c r="A190" s="2" t="n">
        <v>39713</v>
      </c>
      <c r="B190" s="0" t="n">
        <v>1207.09</v>
      </c>
      <c r="C190" s="0" t="n">
        <v>189.16</v>
      </c>
      <c r="D190" s="3" t="n">
        <f aca="false">B190*100/B$2</f>
        <v>83.4109566323005</v>
      </c>
      <c r="E190" s="3" t="n">
        <f aca="false">C190*100/C$2</f>
        <v>80.3909902252444</v>
      </c>
      <c r="F190" s="0" t="n">
        <v>90.1980430636557</v>
      </c>
      <c r="G190" s="0" t="n">
        <v>96.5604552679945</v>
      </c>
      <c r="H190" s="0" t="n">
        <v>86.3578410539737</v>
      </c>
      <c r="I190" s="0" t="n">
        <v>-10.2026142140209</v>
      </c>
    </row>
    <row r="191" customFormat="false" ht="13.8" hidden="false" customHeight="false" outlineLevel="0" collapsed="false">
      <c r="A191" s="2" t="n">
        <v>39714</v>
      </c>
      <c r="B191" s="0" t="n">
        <v>1188.22</v>
      </c>
      <c r="C191" s="0" t="n">
        <v>191.58</v>
      </c>
      <c r="D191" s="3" t="n">
        <f aca="false">B191*100/B$2</f>
        <v>82.1070234113712</v>
      </c>
      <c r="E191" s="3" t="n">
        <f aca="false">C191*100/C$2</f>
        <v>81.4194645133872</v>
      </c>
      <c r="F191" s="0" t="n">
        <v>89.1117775505127</v>
      </c>
      <c r="G191" s="0" t="n">
        <v>96.1975989037827</v>
      </c>
      <c r="H191" s="0" t="n">
        <v>85.8988525286868</v>
      </c>
      <c r="I191" s="0" t="n">
        <v>-10.2987463750959</v>
      </c>
    </row>
    <row r="192" customFormat="false" ht="13.8" hidden="false" customHeight="false" outlineLevel="0" collapsed="false">
      <c r="A192" s="2" t="n">
        <v>39715</v>
      </c>
      <c r="B192" s="0" t="n">
        <v>1185.87</v>
      </c>
      <c r="C192" s="0" t="n">
        <v>193.18</v>
      </c>
      <c r="D192" s="3" t="n">
        <f aca="false">B192*100/B$2</f>
        <v>81.9446363912767</v>
      </c>
      <c r="E192" s="3" t="n">
        <f aca="false">C192*100/C$2</f>
        <v>82.0994475138122</v>
      </c>
      <c r="F192" s="0" t="n">
        <v>88.8512673097653</v>
      </c>
      <c r="G192" s="0" t="n">
        <v>96.1105780072765</v>
      </c>
      <c r="H192" s="0" t="n">
        <v>85.1083722906927</v>
      </c>
      <c r="I192" s="0" t="n">
        <v>-11.0022057165837</v>
      </c>
    </row>
    <row r="193" customFormat="false" ht="13.8" hidden="false" customHeight="false" outlineLevel="0" collapsed="false">
      <c r="A193" s="2" t="n">
        <v>39716</v>
      </c>
      <c r="B193" s="0" t="n">
        <v>1209.18</v>
      </c>
      <c r="C193" s="0" t="n">
        <v>193.87</v>
      </c>
      <c r="D193" s="3" t="n">
        <f aca="false">B193*100/B$2</f>
        <v>83.5553774288952</v>
      </c>
      <c r="E193" s="3" t="n">
        <f aca="false">C193*100/C$2</f>
        <v>82.3926901827454</v>
      </c>
      <c r="F193" s="0" t="n">
        <v>89.3425744216258</v>
      </c>
      <c r="G193" s="0" t="n">
        <v>96.2746943399448</v>
      </c>
      <c r="H193" s="0" t="n">
        <v>85.6353591160221</v>
      </c>
      <c r="I193" s="0" t="n">
        <v>-10.6393352239227</v>
      </c>
    </row>
    <row r="194" customFormat="false" ht="13.8" hidden="false" customHeight="false" outlineLevel="0" collapsed="false">
      <c r="A194" s="2" t="n">
        <v>39717</v>
      </c>
      <c r="B194" s="0" t="n">
        <v>1213.27</v>
      </c>
      <c r="C194" s="0" t="n">
        <v>190.6</v>
      </c>
      <c r="D194" s="3" t="n">
        <f aca="false">B194*100/B$2</f>
        <v>83.8379999447193</v>
      </c>
      <c r="E194" s="3" t="n">
        <f aca="false">C194*100/C$2</f>
        <v>81.0029749256269</v>
      </c>
      <c r="F194" s="0" t="n">
        <v>89.7060449431991</v>
      </c>
      <c r="G194" s="0" t="n">
        <v>96.396108110667</v>
      </c>
      <c r="H194" s="0" t="n">
        <v>85.6353591160221</v>
      </c>
      <c r="I194" s="0" t="n">
        <v>-10.7607489946449</v>
      </c>
    </row>
    <row r="195" customFormat="false" ht="13.8" hidden="false" customHeight="false" outlineLevel="0" collapsed="false">
      <c r="A195" s="2" t="n">
        <v>39720</v>
      </c>
      <c r="B195" s="0" t="n">
        <v>1106.42</v>
      </c>
      <c r="C195" s="0" t="n">
        <v>188.1</v>
      </c>
      <c r="D195" s="3" t="n">
        <f aca="false">B195*100/B$2</f>
        <v>76.4545730948893</v>
      </c>
      <c r="E195" s="3" t="n">
        <f aca="false">C195*100/C$2</f>
        <v>79.9405014874628</v>
      </c>
      <c r="F195" s="0" t="n">
        <v>88.3523591033472</v>
      </c>
      <c r="G195" s="0" t="n">
        <v>95.9439226033573</v>
      </c>
      <c r="H195" s="0" t="n">
        <v>85.4101147471313</v>
      </c>
      <c r="I195" s="0" t="n">
        <v>-10.533807856226</v>
      </c>
    </row>
    <row r="196" customFormat="false" ht="13.8" hidden="false" customHeight="false" outlineLevel="0" collapsed="false">
      <c r="A196" s="2" t="n">
        <v>39721</v>
      </c>
      <c r="B196" s="0" t="n">
        <v>1164.74</v>
      </c>
      <c r="C196" s="0" t="n">
        <v>186.62</v>
      </c>
      <c r="D196" s="3" t="n">
        <f aca="false">B196*100/B$2</f>
        <v>80.4845352276182</v>
      </c>
      <c r="E196" s="3" t="n">
        <f aca="false">C196*100/C$2</f>
        <v>79.3115172120697</v>
      </c>
      <c r="F196" s="0" t="n">
        <v>87.5286768567401</v>
      </c>
      <c r="G196" s="0" t="n">
        <v>95.6687796096292</v>
      </c>
      <c r="H196" s="0" t="n">
        <v>83.9609009774756</v>
      </c>
      <c r="I196" s="0" t="n">
        <v>-11.7078786321537</v>
      </c>
    </row>
    <row r="197" customFormat="false" ht="13.8" hidden="false" customHeight="false" outlineLevel="0" collapsed="false">
      <c r="A197" s="2" t="n">
        <v>39722</v>
      </c>
      <c r="B197" s="0" t="n">
        <v>1161.06</v>
      </c>
      <c r="C197" s="0" t="n">
        <v>185.52</v>
      </c>
      <c r="D197" s="3" t="n">
        <f aca="false">B197*100/B$2</f>
        <v>80.2302440642362</v>
      </c>
      <c r="E197" s="3" t="n">
        <f aca="false">C197*100/C$2</f>
        <v>78.8440288992775</v>
      </c>
      <c r="F197" s="0" t="n">
        <v>88.0718096133116</v>
      </c>
      <c r="G197" s="0" t="n">
        <v>95.8502077917352</v>
      </c>
      <c r="H197" s="0" t="n">
        <v>83.8716532086698</v>
      </c>
      <c r="I197" s="0" t="n">
        <v>-11.9785545830654</v>
      </c>
    </row>
    <row r="198" customFormat="false" ht="13.8" hidden="false" customHeight="false" outlineLevel="0" collapsed="false">
      <c r="A198" s="2" t="n">
        <v>39723</v>
      </c>
      <c r="B198" s="0" t="n">
        <v>1114.28</v>
      </c>
      <c r="C198" s="0" t="n">
        <v>185.52</v>
      </c>
      <c r="D198" s="3" t="n">
        <f aca="false">B198*100/B$2</f>
        <v>76.9977058514608</v>
      </c>
      <c r="E198" s="3" t="n">
        <f aca="false">C198*100/C$2</f>
        <v>78.8440288992775</v>
      </c>
      <c r="F198" s="0" t="n">
        <v>88.2915503468863</v>
      </c>
      <c r="G198" s="0" t="n">
        <v>95.9236100333505</v>
      </c>
      <c r="H198" s="0" t="n">
        <v>82.3841903952401</v>
      </c>
      <c r="I198" s="0" t="n">
        <v>-13.5394196381104</v>
      </c>
    </row>
    <row r="199" customFormat="false" ht="13.8" hidden="false" customHeight="false" outlineLevel="0" collapsed="false">
      <c r="A199" s="2" t="n">
        <v>39724</v>
      </c>
      <c r="B199" s="0" t="n">
        <v>1099.23</v>
      </c>
      <c r="C199" s="0" t="n">
        <v>185.52</v>
      </c>
      <c r="D199" s="3" t="n">
        <f aca="false">B199*100/B$2</f>
        <v>75.9577379142597</v>
      </c>
      <c r="E199" s="3" t="n">
        <f aca="false">C199*100/C$2</f>
        <v>78.8440288992775</v>
      </c>
      <c r="F199" s="0" t="n">
        <v>89.2914397855109</v>
      </c>
      <c r="G199" s="0" t="n">
        <v>96.2576133151663</v>
      </c>
      <c r="H199" s="0" t="n">
        <v>81.6149596260093</v>
      </c>
      <c r="I199" s="0" t="n">
        <v>-14.642653689157</v>
      </c>
    </row>
    <row r="200" customFormat="false" ht="13.8" hidden="false" customHeight="false" outlineLevel="0" collapsed="false">
      <c r="A200" s="2" t="n">
        <v>39727</v>
      </c>
      <c r="B200" s="0" t="n">
        <v>1056.89</v>
      </c>
      <c r="C200" s="0" t="n">
        <v>175.03</v>
      </c>
      <c r="D200" s="3" t="n">
        <f aca="false">B200*100/B$2</f>
        <v>73.0320075181735</v>
      </c>
      <c r="E200" s="3" t="n">
        <f aca="false">C200*100/C$2</f>
        <v>74.3858903527412</v>
      </c>
      <c r="F200" s="0" t="n">
        <v>87.5397329942784</v>
      </c>
      <c r="G200" s="0" t="n">
        <v>95.6724728041759</v>
      </c>
      <c r="H200" s="0" t="n">
        <v>82.0186995325117</v>
      </c>
      <c r="I200" s="0" t="n">
        <v>-13.6537732716642</v>
      </c>
    </row>
    <row r="201" customFormat="false" ht="13.8" hidden="false" customHeight="false" outlineLevel="0" collapsed="false">
      <c r="A201" s="2" t="n">
        <v>39728</v>
      </c>
      <c r="B201" s="0" t="n">
        <v>996.23</v>
      </c>
      <c r="C201" s="0" t="n">
        <v>176.46</v>
      </c>
      <c r="D201" s="3" t="n">
        <f aca="false">B201*100/B$2</f>
        <v>68.8403493739462</v>
      </c>
      <c r="E201" s="3" t="n">
        <f aca="false">C201*100/C$2</f>
        <v>74.993625159371</v>
      </c>
      <c r="F201" s="0" t="n">
        <v>87.8624340086791</v>
      </c>
      <c r="G201" s="0" t="n">
        <v>95.7802679200073</v>
      </c>
      <c r="H201" s="0" t="n">
        <v>81.3259668508287</v>
      </c>
      <c r="I201" s="0" t="n">
        <v>-14.4543010691786</v>
      </c>
    </row>
    <row r="202" customFormat="false" ht="13.8" hidden="false" customHeight="false" outlineLevel="0" collapsed="false">
      <c r="A202" s="2" t="n">
        <v>39729</v>
      </c>
      <c r="B202" s="0" t="n">
        <v>984.94</v>
      </c>
      <c r="C202" s="0" t="n">
        <v>167.16</v>
      </c>
      <c r="D202" s="3" t="n">
        <f aca="false">B202*100/B$2</f>
        <v>68.0602006688963</v>
      </c>
      <c r="E202" s="3" t="n">
        <f aca="false">C202*100/C$2</f>
        <v>71.0412239694008</v>
      </c>
      <c r="F202" s="0" t="n">
        <v>88.5638077337682</v>
      </c>
      <c r="G202" s="0" t="n">
        <v>96.0145549490627</v>
      </c>
      <c r="H202" s="0" t="n">
        <v>81.4279643008925</v>
      </c>
      <c r="I202" s="0" t="n">
        <v>-14.5865906481702</v>
      </c>
    </row>
    <row r="203" customFormat="false" ht="13.8" hidden="false" customHeight="false" outlineLevel="0" collapsed="false">
      <c r="A203" s="2" t="n">
        <v>39730</v>
      </c>
      <c r="B203" s="0" t="n">
        <v>909.92</v>
      </c>
      <c r="C203" s="0" t="n">
        <v>168.86</v>
      </c>
      <c r="D203" s="3" t="n">
        <f aca="false">B203*100/B$2</f>
        <v>62.876254180602</v>
      </c>
      <c r="E203" s="3" t="n">
        <f aca="false">C203*100/C$2</f>
        <v>71.7637059073523</v>
      </c>
      <c r="F203" s="0" t="n">
        <v>89.8781060836397</v>
      </c>
      <c r="G203" s="0" t="n">
        <v>96.4535834507998</v>
      </c>
      <c r="H203" s="0" t="n">
        <v>80.2167445813855</v>
      </c>
      <c r="I203" s="0" t="n">
        <v>-16.2368388694144</v>
      </c>
    </row>
    <row r="204" customFormat="false" ht="13.8" hidden="false" customHeight="false" outlineLevel="0" collapsed="false">
      <c r="A204" s="2" t="n">
        <v>39731</v>
      </c>
      <c r="B204" s="0" t="n">
        <v>899.22</v>
      </c>
      <c r="C204" s="0" t="n">
        <v>162.05</v>
      </c>
      <c r="D204" s="3" t="n">
        <f aca="false">B204*100/B$2</f>
        <v>62.1368749827248</v>
      </c>
      <c r="E204" s="3" t="n">
        <f aca="false">C204*100/C$2</f>
        <v>68.8695282617935</v>
      </c>
      <c r="F204" s="0" t="n">
        <v>88.6439647309213</v>
      </c>
      <c r="G204" s="0" t="n">
        <v>96.0413306095261</v>
      </c>
      <c r="H204" s="0" t="n">
        <v>80.3059923501912</v>
      </c>
      <c r="I204" s="0" t="n">
        <v>-15.7353382593349</v>
      </c>
    </row>
    <row r="205" customFormat="false" ht="13.8" hidden="false" customHeight="false" outlineLevel="0" collapsed="false">
      <c r="A205" s="2" t="n">
        <v>39734</v>
      </c>
      <c r="B205" s="0" t="n">
        <v>1003.35</v>
      </c>
      <c r="C205" s="0" t="n">
        <v>167.91</v>
      </c>
      <c r="D205" s="3" t="n">
        <f aca="false">B205*100/B$2</f>
        <v>69.3323474944028</v>
      </c>
      <c r="E205" s="3" t="n">
        <f aca="false">C205*100/C$2</f>
        <v>71.35996600085</v>
      </c>
      <c r="F205" s="0" t="n">
        <v>88.6439647309213</v>
      </c>
      <c r="G205" s="0" t="n">
        <v>96.0413306095261</v>
      </c>
      <c r="H205" s="0" t="n">
        <v>77.4033149171271</v>
      </c>
      <c r="I205" s="0" t="n">
        <v>-18.638015692399</v>
      </c>
    </row>
    <row r="206" customFormat="false" ht="13.8" hidden="false" customHeight="false" outlineLevel="0" collapsed="false">
      <c r="A206" s="2" t="n">
        <v>39735</v>
      </c>
      <c r="B206" s="0" t="n">
        <v>998.01</v>
      </c>
      <c r="C206" s="0" t="n">
        <v>178.15</v>
      </c>
      <c r="D206" s="3" t="n">
        <f aca="false">B206*100/B$2</f>
        <v>68.9633489040604</v>
      </c>
      <c r="E206" s="3" t="n">
        <f aca="false">C206*100/C$2</f>
        <v>75.7118572035699</v>
      </c>
      <c r="F206" s="0" t="n">
        <v>88.2811852179441</v>
      </c>
      <c r="G206" s="0" t="n">
        <v>95.920147663463</v>
      </c>
      <c r="H206" s="0" t="n">
        <v>77.5223119422014</v>
      </c>
      <c r="I206" s="0" t="n">
        <v>-18.3978357212616</v>
      </c>
    </row>
    <row r="207" customFormat="false" ht="13.8" hidden="false" customHeight="false" outlineLevel="0" collapsed="false">
      <c r="A207" s="2" t="n">
        <v>39736</v>
      </c>
      <c r="B207" s="0" t="n">
        <v>907.84</v>
      </c>
      <c r="C207" s="0" t="n">
        <v>174.28</v>
      </c>
      <c r="D207" s="3" t="n">
        <f aca="false">B207*100/B$2</f>
        <v>62.7325243926034</v>
      </c>
      <c r="E207" s="3" t="n">
        <f aca="false">C207*100/C$2</f>
        <v>74.067148321292</v>
      </c>
      <c r="F207" s="0" t="n">
        <v>88.1022139915421</v>
      </c>
      <c r="G207" s="0" t="n">
        <v>95.8603640767385</v>
      </c>
      <c r="H207" s="0" t="n">
        <v>78.3510412239694</v>
      </c>
      <c r="I207" s="0" t="n">
        <v>-17.5093228527691</v>
      </c>
    </row>
    <row r="208" customFormat="false" ht="13.8" hidden="false" customHeight="false" outlineLevel="0" collapsed="false">
      <c r="A208" s="2" t="n">
        <v>39737</v>
      </c>
      <c r="B208" s="0" t="n">
        <v>946.43</v>
      </c>
      <c r="C208" s="0" t="n">
        <v>157.63</v>
      </c>
      <c r="D208" s="3" t="n">
        <f aca="false">B208*100/B$2</f>
        <v>65.3991265651345</v>
      </c>
      <c r="E208" s="3" t="n">
        <f aca="false">C208*100/C$2</f>
        <v>66.9910752231194</v>
      </c>
      <c r="F208" s="0" t="n">
        <v>85.4653251886453</v>
      </c>
      <c r="G208" s="0" t="n">
        <v>94.9795371773542</v>
      </c>
      <c r="H208" s="0" t="n">
        <v>78.0152996175096</v>
      </c>
      <c r="I208" s="0" t="n">
        <v>-16.9642375598446</v>
      </c>
    </row>
    <row r="209" customFormat="false" ht="13.8" hidden="false" customHeight="false" outlineLevel="0" collapsed="false">
      <c r="A209" s="2" t="n">
        <v>39738</v>
      </c>
      <c r="B209" s="0" t="n">
        <v>940.55</v>
      </c>
      <c r="C209" s="0" t="n">
        <v>153.06</v>
      </c>
      <c r="D209" s="3" t="n">
        <f aca="false">B209*100/B$2</f>
        <v>64.9928135106001</v>
      </c>
      <c r="E209" s="3" t="n">
        <f aca="false">C209*100/C$2</f>
        <v>65.0488737781555</v>
      </c>
      <c r="F209" s="0" t="n">
        <v>85.84468890793</v>
      </c>
      <c r="G209" s="0" t="n">
        <v>95.1062599152373</v>
      </c>
      <c r="H209" s="0" t="n">
        <v>76.7063323416915</v>
      </c>
      <c r="I209" s="0" t="n">
        <v>-18.3999275735458</v>
      </c>
    </row>
    <row r="210" customFormat="false" ht="13.8" hidden="false" customHeight="false" outlineLevel="0" collapsed="false">
      <c r="A210" s="2" t="n">
        <v>39741</v>
      </c>
      <c r="B210" s="0" t="n">
        <v>985.4</v>
      </c>
      <c r="C210" s="0" t="n">
        <v>157.51</v>
      </c>
      <c r="D210" s="3" t="n">
        <f aca="false">B210*100/B$2</f>
        <v>68.0919870643191</v>
      </c>
      <c r="E210" s="3" t="n">
        <f aca="false">C210*100/C$2</f>
        <v>66.9400764980876</v>
      </c>
      <c r="F210" s="0" t="n">
        <v>87.6053788109124</v>
      </c>
      <c r="G210" s="0" t="n">
        <v>95.6944011467969</v>
      </c>
      <c r="H210" s="0" t="n">
        <v>80.7352316192095</v>
      </c>
      <c r="I210" s="0" t="n">
        <v>-14.9591695275874</v>
      </c>
    </row>
    <row r="211" customFormat="false" ht="13.8" hidden="false" customHeight="false" outlineLevel="0" collapsed="false">
      <c r="A211" s="2" t="n">
        <v>39742</v>
      </c>
      <c r="B211" s="0" t="n">
        <v>955.05</v>
      </c>
      <c r="C211" s="0" t="n">
        <v>155.8</v>
      </c>
      <c r="D211" s="3" t="n">
        <f aca="false">B211*100/B$2</f>
        <v>65.9947759750131</v>
      </c>
      <c r="E211" s="3" t="n">
        <f aca="false">C211*100/C$2</f>
        <v>66.2133446663834</v>
      </c>
      <c r="F211" s="0" t="n">
        <v>84.6146936067885</v>
      </c>
      <c r="G211" s="0" t="n">
        <v>94.6953920219186</v>
      </c>
      <c r="H211" s="0" t="n">
        <v>79.468763280918</v>
      </c>
      <c r="I211" s="0" t="n">
        <v>-15.2266287410006</v>
      </c>
    </row>
    <row r="212" customFormat="false" ht="13.8" hidden="false" customHeight="false" outlineLevel="0" collapsed="false">
      <c r="A212" s="2" t="n">
        <v>39743</v>
      </c>
      <c r="B212" s="0" t="n">
        <v>896.78</v>
      </c>
      <c r="C212" s="0" t="n">
        <v>148.13</v>
      </c>
      <c r="D212" s="3" t="n">
        <f aca="false">B212*100/B$2</f>
        <v>61.9682688852649</v>
      </c>
      <c r="E212" s="3" t="n">
        <f aca="false">C212*100/C$2</f>
        <v>62.9536761580961</v>
      </c>
      <c r="F212" s="0" t="n">
        <v>85.1350230796871</v>
      </c>
      <c r="G212" s="0" t="n">
        <v>94.8692029902719</v>
      </c>
      <c r="H212" s="0" t="n">
        <v>80.1104972375691</v>
      </c>
      <c r="I212" s="0" t="n">
        <v>-14.7587057527029</v>
      </c>
    </row>
    <row r="213" customFormat="false" ht="13.8" hidden="false" customHeight="false" outlineLevel="0" collapsed="false">
      <c r="A213" s="2" t="n">
        <v>39744</v>
      </c>
      <c r="B213" s="0" t="n">
        <v>908.11</v>
      </c>
      <c r="C213" s="0" t="n">
        <v>137.47</v>
      </c>
      <c r="D213" s="3" t="n">
        <f aca="false">B213*100/B$2</f>
        <v>62.7511816246994</v>
      </c>
      <c r="E213" s="3" t="n">
        <f aca="false">C213*100/C$2</f>
        <v>58.4232894177646</v>
      </c>
      <c r="F213" s="0" t="n">
        <v>86.3104287017331</v>
      </c>
      <c r="G213" s="0" t="n">
        <v>95.2618357355164</v>
      </c>
      <c r="H213" s="0" t="n">
        <v>78.7377815554611</v>
      </c>
      <c r="I213" s="0" t="n">
        <v>-16.5240541800553</v>
      </c>
    </row>
    <row r="214" customFormat="false" ht="13.8" hidden="false" customHeight="false" outlineLevel="0" collapsed="false">
      <c r="A214" s="2" t="n">
        <v>39745</v>
      </c>
      <c r="B214" s="0" t="n">
        <v>876.77</v>
      </c>
      <c r="C214" s="0" t="n">
        <v>123.27</v>
      </c>
      <c r="D214" s="3" t="n">
        <f aca="false">B214*100/B$2</f>
        <v>60.5855606843749</v>
      </c>
      <c r="E214" s="3" t="n">
        <f aca="false">C214*100/C$2</f>
        <v>52.3884402889928</v>
      </c>
      <c r="F214" s="0" t="n">
        <v>86.4928549711158</v>
      </c>
      <c r="G214" s="0" t="n">
        <v>95.3227734455367</v>
      </c>
      <c r="H214" s="0" t="n">
        <v>80.7054823629409</v>
      </c>
      <c r="I214" s="0" t="n">
        <v>-14.6172910825958</v>
      </c>
    </row>
    <row r="215" customFormat="false" ht="13.8" hidden="false" customHeight="false" outlineLevel="0" collapsed="false">
      <c r="A215" s="2" t="n">
        <v>39748</v>
      </c>
      <c r="B215" s="0" t="n">
        <v>848.92</v>
      </c>
      <c r="C215" s="0" t="n">
        <v>125.93</v>
      </c>
      <c r="D215" s="3" t="n">
        <f aca="false">B215*100/B$2</f>
        <v>58.6611017441057</v>
      </c>
      <c r="E215" s="3" t="n">
        <f aca="false">C215*100/C$2</f>
        <v>53.5189120271993</v>
      </c>
      <c r="F215" s="0" t="n">
        <v>82.4159042538489</v>
      </c>
      <c r="G215" s="0" t="n">
        <v>93.9609079564466</v>
      </c>
      <c r="H215" s="0" t="n">
        <v>80.7054823629409</v>
      </c>
      <c r="I215" s="0" t="n">
        <v>-13.2554255935057</v>
      </c>
    </row>
    <row r="216" customFormat="false" ht="13.8" hidden="false" customHeight="false" outlineLevel="0" collapsed="false">
      <c r="A216" s="2" t="n">
        <v>39749</v>
      </c>
      <c r="B216" s="0" t="n">
        <v>940.51</v>
      </c>
      <c r="C216" s="0" t="n">
        <v>132.42</v>
      </c>
      <c r="D216" s="3" t="n">
        <f aca="false">B216*100/B$2</f>
        <v>64.9900494762155</v>
      </c>
      <c r="E216" s="3" t="n">
        <f aca="false">C216*100/C$2</f>
        <v>56.2770930726732</v>
      </c>
      <c r="F216" s="0" t="n">
        <v>83.8608032283922</v>
      </c>
      <c r="G216" s="0" t="n">
        <v>94.4435623187665</v>
      </c>
      <c r="H216" s="0" t="n">
        <v>76.0730981725457</v>
      </c>
      <c r="I216" s="0" t="n">
        <v>-18.3704641462208</v>
      </c>
    </row>
    <row r="217" customFormat="false" ht="13.8" hidden="false" customHeight="false" outlineLevel="0" collapsed="false">
      <c r="A217" s="2" t="n">
        <v>39750</v>
      </c>
      <c r="B217" s="0" t="n">
        <v>930.09</v>
      </c>
      <c r="C217" s="0" t="n">
        <v>128.68</v>
      </c>
      <c r="D217" s="3" t="n">
        <f aca="false">B217*100/B$2</f>
        <v>64.2700185190304</v>
      </c>
      <c r="E217" s="3" t="n">
        <f aca="false">C217*100/C$2</f>
        <v>54.6876328091798</v>
      </c>
      <c r="F217" s="0" t="n">
        <v>79.9075430498355</v>
      </c>
      <c r="G217" s="0" t="n">
        <v>93.1230144436674</v>
      </c>
      <c r="H217" s="0" t="n">
        <v>78.0025499362516</v>
      </c>
      <c r="I217" s="0" t="n">
        <v>-15.1204645074159</v>
      </c>
    </row>
    <row r="218" customFormat="false" ht="13.8" hidden="false" customHeight="false" outlineLevel="0" collapsed="false">
      <c r="A218" s="2" t="n">
        <v>39751</v>
      </c>
      <c r="B218" s="0" t="n">
        <v>954.09</v>
      </c>
      <c r="C218" s="0" t="n">
        <v>144.42</v>
      </c>
      <c r="D218" s="3" t="n">
        <f aca="false">B218*100/B$2</f>
        <v>65.928439149783</v>
      </c>
      <c r="E218" s="3" t="n">
        <f aca="false">C218*100/C$2</f>
        <v>61.3769655758606</v>
      </c>
      <c r="F218" s="0" t="n">
        <v>83.370878133724</v>
      </c>
      <c r="G218" s="0" t="n">
        <v>94.2799076354165</v>
      </c>
      <c r="H218" s="0" t="n">
        <v>76.1793455163621</v>
      </c>
      <c r="I218" s="0" t="n">
        <v>-18.1005621190544</v>
      </c>
    </row>
    <row r="219" customFormat="false" ht="13.8" hidden="false" customHeight="false" outlineLevel="0" collapsed="false">
      <c r="A219" s="2" t="n">
        <v>39752</v>
      </c>
      <c r="B219" s="0" t="n">
        <v>968.75</v>
      </c>
      <c r="C219" s="0" t="n">
        <v>147.5</v>
      </c>
      <c r="D219" s="3" t="n">
        <f aca="false">B219*100/B$2</f>
        <v>66.9414577517344</v>
      </c>
      <c r="E219" s="3" t="n">
        <f aca="false">C219*100/C$2</f>
        <v>62.6859328516787</v>
      </c>
      <c r="F219" s="0" t="n">
        <v>86.7264158766135</v>
      </c>
      <c r="G219" s="0" t="n">
        <v>95.4007921803354</v>
      </c>
      <c r="H219" s="0" t="n">
        <v>80.0297492562686</v>
      </c>
      <c r="I219" s="0" t="n">
        <v>-15.3710429240668</v>
      </c>
    </row>
    <row r="220" customFormat="false" ht="13.8" hidden="false" customHeight="false" outlineLevel="0" collapsed="false">
      <c r="A220" s="2" t="n">
        <v>39755</v>
      </c>
      <c r="B220" s="0" t="n">
        <v>966.3</v>
      </c>
      <c r="C220" s="0" t="n">
        <v>148.81</v>
      </c>
      <c r="D220" s="3" t="n">
        <f aca="false">B220*100/B$2</f>
        <v>66.7721606456784</v>
      </c>
      <c r="E220" s="3" t="n">
        <f aca="false">C220*100/C$2</f>
        <v>63.2426689332767</v>
      </c>
      <c r="F220" s="0" t="n">
        <v>83.4109566323005</v>
      </c>
      <c r="G220" s="0" t="n">
        <v>94.2932954656483</v>
      </c>
      <c r="H220" s="0" t="n">
        <v>80.3909902252444</v>
      </c>
      <c r="I220" s="0" t="n">
        <v>-13.9023052404039</v>
      </c>
    </row>
    <row r="221" customFormat="false" ht="13.8" hidden="false" customHeight="false" outlineLevel="0" collapsed="false">
      <c r="A221" s="2" t="n">
        <v>39756</v>
      </c>
      <c r="B221" s="0" t="n">
        <v>1005.75</v>
      </c>
      <c r="C221" s="0" t="n">
        <v>151.63</v>
      </c>
      <c r="D221" s="3" t="n">
        <f aca="false">B221*100/B$2</f>
        <v>69.4981895574781</v>
      </c>
      <c r="E221" s="3" t="n">
        <f aca="false">C221*100/C$2</f>
        <v>64.4411389715257</v>
      </c>
      <c r="F221" s="0" t="n">
        <v>82.1070234113712</v>
      </c>
      <c r="G221" s="0" t="n">
        <v>93.8577293337986</v>
      </c>
      <c r="H221" s="0" t="n">
        <v>81.4194645133872</v>
      </c>
      <c r="I221" s="0" t="n">
        <v>-12.4382648204114</v>
      </c>
    </row>
    <row r="222" customFormat="false" ht="13.8" hidden="false" customHeight="false" outlineLevel="0" collapsed="false">
      <c r="A222" s="2" t="n">
        <v>39757</v>
      </c>
      <c r="B222" s="0" t="n">
        <v>952.77</v>
      </c>
      <c r="C222" s="0" t="n">
        <v>154.93</v>
      </c>
      <c r="D222" s="3" t="n">
        <f aca="false">B222*100/B$2</f>
        <v>65.8372260150916</v>
      </c>
      <c r="E222" s="3" t="n">
        <f aca="false">C222*100/C$2</f>
        <v>65.8436039099022</v>
      </c>
      <c r="F222" s="0" t="n">
        <v>81.9446363912767</v>
      </c>
      <c r="G222" s="0" t="n">
        <v>93.8034855388942</v>
      </c>
      <c r="H222" s="0" t="n">
        <v>82.0994475138122</v>
      </c>
      <c r="I222" s="0" t="n">
        <v>-11.704038025082</v>
      </c>
    </row>
    <row r="223" customFormat="false" ht="13.8" hidden="false" customHeight="false" outlineLevel="0" collapsed="false">
      <c r="A223" s="2" t="n">
        <v>39758</v>
      </c>
      <c r="B223" s="0" t="n">
        <v>904.88</v>
      </c>
      <c r="C223" s="0" t="n">
        <v>143.37</v>
      </c>
      <c r="D223" s="3" t="n">
        <f aca="false">B223*100/B$2</f>
        <v>62.5279858481439</v>
      </c>
      <c r="E223" s="3" t="n">
        <f aca="false">C223*100/C$2</f>
        <v>60.9307267318317</v>
      </c>
      <c r="F223" s="0" t="n">
        <v>83.5553774288952</v>
      </c>
      <c r="G223" s="0" t="n">
        <v>94.3415378194143</v>
      </c>
      <c r="H223" s="0" t="n">
        <v>82.3926901827454</v>
      </c>
      <c r="I223" s="0" t="n">
        <v>-11.9488476366689</v>
      </c>
    </row>
    <row r="224" customFormat="false" ht="13.8" hidden="false" customHeight="false" outlineLevel="0" collapsed="false">
      <c r="A224" s="2" t="n">
        <v>39759</v>
      </c>
      <c r="B224" s="0" t="n">
        <v>930.99</v>
      </c>
      <c r="C224" s="0" t="n">
        <v>148.44</v>
      </c>
      <c r="D224" s="3" t="n">
        <f aca="false">B224*100/B$2</f>
        <v>64.3322092926836</v>
      </c>
      <c r="E224" s="3" t="n">
        <f aca="false">C224*100/C$2</f>
        <v>63.0854228644284</v>
      </c>
      <c r="F224" s="0" t="n">
        <v>83.8379999447193</v>
      </c>
      <c r="G224" s="0" t="n">
        <v>94.435945105014</v>
      </c>
      <c r="H224" s="0" t="n">
        <v>81.0029749256269</v>
      </c>
      <c r="I224" s="0" t="n">
        <v>-13.4329701793871</v>
      </c>
    </row>
    <row r="225" customFormat="false" ht="13.8" hidden="false" customHeight="false" outlineLevel="0" collapsed="false">
      <c r="A225" s="2" t="n">
        <v>39762</v>
      </c>
      <c r="B225" s="0" t="n">
        <v>919.21</v>
      </c>
      <c r="C225" s="0" t="n">
        <v>150.84</v>
      </c>
      <c r="D225" s="3" t="n">
        <f aca="false">B225*100/B$2</f>
        <v>63.5182011664225</v>
      </c>
      <c r="E225" s="3" t="n">
        <f aca="false">C225*100/C$2</f>
        <v>64.1053973650659</v>
      </c>
      <c r="F225" s="0" t="n">
        <v>76.4545730948893</v>
      </c>
      <c r="G225" s="0" t="n">
        <v>91.9695836218059</v>
      </c>
      <c r="H225" s="0" t="n">
        <v>79.9405014874628</v>
      </c>
      <c r="I225" s="0" t="n">
        <v>-12.0290821343431</v>
      </c>
    </row>
    <row r="226" customFormat="false" ht="13.8" hidden="false" customHeight="false" outlineLevel="0" collapsed="false">
      <c r="A226" s="2" t="n">
        <v>39763</v>
      </c>
      <c r="B226" s="0" t="n">
        <v>898.95</v>
      </c>
      <c r="C226" s="0" t="n">
        <v>147.67</v>
      </c>
      <c r="D226" s="3" t="n">
        <f aca="false">B226*100/B$2</f>
        <v>62.1182177506288</v>
      </c>
      <c r="E226" s="3" t="n">
        <f aca="false">C226*100/C$2</f>
        <v>62.7581810454739</v>
      </c>
      <c r="F226" s="0" t="n">
        <v>80.4845352276182</v>
      </c>
      <c r="G226" s="0" t="n">
        <v>93.3157530340726</v>
      </c>
      <c r="H226" s="0" t="n">
        <v>79.3115172120697</v>
      </c>
      <c r="I226" s="0" t="n">
        <v>-14.0042358220029</v>
      </c>
    </row>
    <row r="227" customFormat="false" ht="13.8" hidden="false" customHeight="false" outlineLevel="0" collapsed="false">
      <c r="A227" s="2" t="n">
        <v>39764</v>
      </c>
      <c r="B227" s="0" t="n">
        <v>852.3</v>
      </c>
      <c r="C227" s="0" t="n">
        <v>147.27</v>
      </c>
      <c r="D227" s="3" t="n">
        <f aca="false">B227*100/B$2</f>
        <v>58.8946626496034</v>
      </c>
      <c r="E227" s="3" t="n">
        <f aca="false">C227*100/C$2</f>
        <v>62.5881852953676</v>
      </c>
      <c r="F227" s="0" t="n">
        <v>80.2302440642362</v>
      </c>
      <c r="G227" s="0" t="n">
        <v>93.2308095594988</v>
      </c>
      <c r="H227" s="0" t="n">
        <v>78.8440288992775</v>
      </c>
      <c r="I227" s="0" t="n">
        <v>-14.3867806602213</v>
      </c>
    </row>
    <row r="228" customFormat="false" ht="13.8" hidden="false" customHeight="false" outlineLevel="0" collapsed="false">
      <c r="A228" s="2" t="n">
        <v>39765</v>
      </c>
      <c r="B228" s="0" t="n">
        <v>911.29</v>
      </c>
      <c r="C228" s="0" t="n">
        <v>142.7</v>
      </c>
      <c r="D228" s="3" t="n">
        <f aca="false">B228*100/B$2</f>
        <v>62.9709223582741</v>
      </c>
      <c r="E228" s="3" t="n">
        <f aca="false">C228*100/C$2</f>
        <v>60.6459838504037</v>
      </c>
      <c r="F228" s="0" t="n">
        <v>76.9977058514608</v>
      </c>
      <c r="G228" s="0" t="n">
        <v>92.1510118039118</v>
      </c>
      <c r="H228" s="0" t="n">
        <v>78.8440288992775</v>
      </c>
      <c r="I228" s="0" t="n">
        <v>-13.3069829046343</v>
      </c>
    </row>
    <row r="229" customFormat="false" ht="13.8" hidden="false" customHeight="false" outlineLevel="0" collapsed="false">
      <c r="A229" s="2" t="n">
        <v>39766</v>
      </c>
      <c r="B229" s="0" t="n">
        <v>873.29</v>
      </c>
      <c r="C229" s="0" t="n">
        <v>142.26</v>
      </c>
      <c r="D229" s="3" t="n">
        <f aca="false">B229*100/B$2</f>
        <v>60.3450896929158</v>
      </c>
      <c r="E229" s="3" t="n">
        <f aca="false">C229*100/C$2</f>
        <v>60.4589885252869</v>
      </c>
      <c r="F229" s="0" t="n">
        <v>75.9577379142597</v>
      </c>
      <c r="G229" s="0" t="n">
        <v>91.8036206918642</v>
      </c>
      <c r="H229" s="0" t="n">
        <v>78.8440288992775</v>
      </c>
      <c r="I229" s="0" t="n">
        <v>-12.9595917925867</v>
      </c>
    </row>
    <row r="230" customFormat="false" ht="13.8" hidden="false" customHeight="false" outlineLevel="0" collapsed="false">
      <c r="A230" s="2" t="n">
        <v>39769</v>
      </c>
      <c r="B230" s="0" t="n">
        <v>850.75</v>
      </c>
      <c r="C230" s="0" t="n">
        <v>140.57</v>
      </c>
      <c r="D230" s="3" t="n">
        <f aca="false">B230*100/B$2</f>
        <v>58.7875563172006</v>
      </c>
      <c r="E230" s="3" t="n">
        <f aca="false">C230*100/C$2</f>
        <v>59.740756481088</v>
      </c>
      <c r="F230" s="0" t="n">
        <v>73.0320075181735</v>
      </c>
      <c r="G230" s="0" t="n">
        <v>90.8263090849477</v>
      </c>
      <c r="H230" s="0" t="n">
        <v>74.3858903527412</v>
      </c>
      <c r="I230" s="0" t="n">
        <v>-16.4404187322066</v>
      </c>
    </row>
    <row r="231" customFormat="false" ht="13.8" hidden="false" customHeight="false" outlineLevel="0" collapsed="false">
      <c r="A231" s="2" t="n">
        <v>39770</v>
      </c>
      <c r="B231" s="0" t="n">
        <v>859.12</v>
      </c>
      <c r="C231" s="0" t="n">
        <v>134.88</v>
      </c>
      <c r="D231" s="3" t="n">
        <f aca="false">B231*100/B$2</f>
        <v>59.3659305121756</v>
      </c>
      <c r="E231" s="3" t="n">
        <f aca="false">C231*100/C$2</f>
        <v>57.3225669358266</v>
      </c>
      <c r="F231" s="0" t="n">
        <v>68.8403493739462</v>
      </c>
      <c r="G231" s="0" t="n">
        <v>89.4261267024358</v>
      </c>
      <c r="H231" s="0" t="n">
        <v>74.993625159371</v>
      </c>
      <c r="I231" s="0" t="n">
        <v>-14.4325015430648</v>
      </c>
    </row>
    <row r="232" customFormat="false" ht="13.8" hidden="false" customHeight="false" outlineLevel="0" collapsed="false">
      <c r="A232" s="2" t="n">
        <v>39771</v>
      </c>
      <c r="B232" s="0" t="n">
        <v>806.58</v>
      </c>
      <c r="C232" s="0" t="n">
        <v>132.33</v>
      </c>
      <c r="D232" s="3" t="n">
        <f aca="false">B232*100/B$2</f>
        <v>55.7353713480196</v>
      </c>
      <c r="E232" s="3" t="n">
        <f aca="false">C232*100/C$2</f>
        <v>56.2388440288993</v>
      </c>
      <c r="F232" s="0" t="n">
        <v>68.0602006688963</v>
      </c>
      <c r="G232" s="0" t="n">
        <v>89.1655256622353</v>
      </c>
      <c r="H232" s="0" t="n">
        <v>71.0412239694008</v>
      </c>
      <c r="I232" s="0" t="n">
        <v>-18.1243016928346</v>
      </c>
    </row>
    <row r="233" customFormat="false" ht="13.8" hidden="false" customHeight="false" outlineLevel="0" collapsed="false">
      <c r="A233" s="2" t="n">
        <v>39772</v>
      </c>
      <c r="B233" s="0" t="n">
        <v>752.44</v>
      </c>
      <c r="C233" s="0" t="n">
        <v>123.54</v>
      </c>
      <c r="D233" s="3" t="n">
        <f aca="false">B233*100/B$2</f>
        <v>51.9942508084801</v>
      </c>
      <c r="E233" s="3" t="n">
        <f aca="false">C233*100/C$2</f>
        <v>52.5031874203145</v>
      </c>
      <c r="F233" s="0" t="n">
        <v>62.876254180602</v>
      </c>
      <c r="G233" s="0" t="n">
        <v>87.4338790691584</v>
      </c>
      <c r="H233" s="0" t="n">
        <v>71.7637059073523</v>
      </c>
      <c r="I233" s="0" t="n">
        <v>-15.6701731618061</v>
      </c>
    </row>
    <row r="234" customFormat="false" ht="13.8" hidden="false" customHeight="false" outlineLevel="0" collapsed="false">
      <c r="A234" s="2" t="n">
        <v>39773</v>
      </c>
      <c r="B234" s="0" t="n">
        <v>800.03</v>
      </c>
      <c r="C234" s="0" t="n">
        <v>130.76</v>
      </c>
      <c r="D234" s="3" t="n">
        <f aca="false">B234*100/B$2</f>
        <v>55.2827607175433</v>
      </c>
      <c r="E234" s="3" t="n">
        <f aca="false">C234*100/C$2</f>
        <v>55.5716107097323</v>
      </c>
      <c r="F234" s="0" t="n">
        <v>62.1368749827248</v>
      </c>
      <c r="G234" s="0" t="n">
        <v>87.1868966838488</v>
      </c>
      <c r="H234" s="0" t="n">
        <v>68.8695282617935</v>
      </c>
      <c r="I234" s="0" t="n">
        <v>-18.3173684220554</v>
      </c>
    </row>
    <row r="235" customFormat="false" ht="13.8" hidden="false" customHeight="false" outlineLevel="0" collapsed="false">
      <c r="A235" s="2" t="n">
        <v>39776</v>
      </c>
      <c r="B235" s="0" t="n">
        <v>851.81</v>
      </c>
      <c r="C235" s="0" t="n">
        <v>126.02</v>
      </c>
      <c r="D235" s="3" t="n">
        <f aca="false">B235*100/B$2</f>
        <v>58.8608032283922</v>
      </c>
      <c r="E235" s="3" t="n">
        <f aca="false">C235*100/C$2</f>
        <v>53.5571610709732</v>
      </c>
      <c r="F235" s="0" t="n">
        <v>69.3323474944028</v>
      </c>
      <c r="G235" s="0" t="n">
        <v>89.5904738597632</v>
      </c>
      <c r="H235" s="0" t="n">
        <v>71.35996600085</v>
      </c>
      <c r="I235" s="0" t="n">
        <v>-18.2305078589133</v>
      </c>
    </row>
    <row r="236" customFormat="false" ht="13.8" hidden="false" customHeight="false" outlineLevel="0" collapsed="false">
      <c r="A236" s="2" t="n">
        <v>39777</v>
      </c>
      <c r="B236" s="0" t="n">
        <v>857.39</v>
      </c>
      <c r="C236" s="0" t="n">
        <v>128.01</v>
      </c>
      <c r="D236" s="3" t="n">
        <f aca="false">B236*100/B$2</f>
        <v>59.2463860250422</v>
      </c>
      <c r="E236" s="3" t="n">
        <f aca="false">C236*100/C$2</f>
        <v>54.4028899277518</v>
      </c>
      <c r="F236" s="0" t="n">
        <v>68.9633489040604</v>
      </c>
      <c r="G236" s="0" t="n">
        <v>89.4672134917676</v>
      </c>
      <c r="H236" s="0" t="n">
        <v>75.7118572035699</v>
      </c>
      <c r="I236" s="0" t="n">
        <v>-13.7553562881977</v>
      </c>
    </row>
    <row r="237" customFormat="false" ht="13.8" hidden="false" customHeight="false" outlineLevel="0" collapsed="false">
      <c r="A237" s="2" t="n">
        <v>39778</v>
      </c>
      <c r="B237" s="0" t="n">
        <v>887.68</v>
      </c>
      <c r="C237" s="0" t="n">
        <v>134.5</v>
      </c>
      <c r="D237" s="3" t="n">
        <f aca="false">B237*100/B$2</f>
        <v>61.3394510627712</v>
      </c>
      <c r="E237" s="3" t="n">
        <f aca="false">C237*100/C$2</f>
        <v>57.1610709732257</v>
      </c>
      <c r="F237" s="0" t="n">
        <v>62.7325243926034</v>
      </c>
      <c r="G237" s="0" t="n">
        <v>87.3858675400515</v>
      </c>
      <c r="H237" s="0" t="n">
        <v>74.067148321292</v>
      </c>
      <c r="I237" s="0" t="n">
        <v>-13.3187192187595</v>
      </c>
    </row>
    <row r="238" customFormat="false" ht="13.8" hidden="false" customHeight="false" outlineLevel="0" collapsed="false">
      <c r="A238" s="2" t="n">
        <v>39779</v>
      </c>
      <c r="B238" s="0" t="n">
        <v>887.68</v>
      </c>
      <c r="C238" s="0" t="n">
        <v>139.17</v>
      </c>
      <c r="D238" s="3" t="n">
        <f aca="false">B238*100/B$2</f>
        <v>61.3394510627712</v>
      </c>
      <c r="E238" s="3" t="n">
        <f aca="false">C238*100/C$2</f>
        <v>59.1457713557161</v>
      </c>
      <c r="F238" s="0" t="n">
        <v>65.3991265651345</v>
      </c>
      <c r="G238" s="0" t="n">
        <v>88.2766198997801</v>
      </c>
      <c r="H238" s="0" t="n">
        <v>66.9910752231194</v>
      </c>
      <c r="I238" s="0" t="n">
        <v>-21.2855446766606</v>
      </c>
    </row>
    <row r="239" customFormat="false" ht="13.8" hidden="false" customHeight="false" outlineLevel="0" collapsed="false">
      <c r="A239" s="2" t="n">
        <v>39780</v>
      </c>
      <c r="B239" s="0" t="n">
        <v>896.24</v>
      </c>
      <c r="C239" s="0" t="n">
        <v>140.66</v>
      </c>
      <c r="D239" s="3" t="n">
        <f aca="false">B239*100/B$2</f>
        <v>61.930954421073</v>
      </c>
      <c r="E239" s="3" t="n">
        <f aca="false">C239*100/C$2</f>
        <v>59.7790055248619</v>
      </c>
      <c r="F239" s="0" t="n">
        <v>64.9928135106001</v>
      </c>
      <c r="G239" s="0" t="n">
        <v>88.1408950001894</v>
      </c>
      <c r="H239" s="0" t="n">
        <v>65.0488737781555</v>
      </c>
      <c r="I239" s="0" t="n">
        <v>-23.0920212220339</v>
      </c>
    </row>
    <row r="240" customFormat="false" ht="13.8" hidden="false" customHeight="false" outlineLevel="0" collapsed="false">
      <c r="A240" s="2" t="n">
        <v>39783</v>
      </c>
      <c r="B240" s="0" t="n">
        <v>816.21</v>
      </c>
      <c r="C240" s="0" t="n">
        <v>138.35</v>
      </c>
      <c r="D240" s="3" t="n">
        <f aca="false">B240*100/B$2</f>
        <v>56.4008126261091</v>
      </c>
      <c r="E240" s="3" t="n">
        <f aca="false">C240*100/C$2</f>
        <v>58.7972800679983</v>
      </c>
      <c r="F240" s="0" t="n">
        <v>68.0919870643191</v>
      </c>
      <c r="G240" s="0" t="n">
        <v>89.176143596557</v>
      </c>
      <c r="H240" s="0" t="n">
        <v>66.9400764980876</v>
      </c>
      <c r="I240" s="0" t="n">
        <v>-22.2360670984695</v>
      </c>
    </row>
    <row r="241" customFormat="false" ht="13.8" hidden="false" customHeight="false" outlineLevel="0" collapsed="false">
      <c r="A241" s="2" t="n">
        <v>39784</v>
      </c>
      <c r="B241" s="0" t="n">
        <v>848.81</v>
      </c>
      <c r="C241" s="0" t="n">
        <v>133.7</v>
      </c>
      <c r="D241" s="3" t="n">
        <f aca="false">B241*100/B$2</f>
        <v>58.6535006495481</v>
      </c>
      <c r="E241" s="3" t="n">
        <f aca="false">C241*100/C$2</f>
        <v>56.8210794730132</v>
      </c>
      <c r="F241" s="0" t="n">
        <v>65.9947759750131</v>
      </c>
      <c r="G241" s="0" t="n">
        <v>88.4755907559827</v>
      </c>
      <c r="H241" s="0" t="n">
        <v>66.2133446663834</v>
      </c>
      <c r="I241" s="0" t="n">
        <v>-22.2622460895994</v>
      </c>
    </row>
    <row r="242" customFormat="false" ht="13.8" hidden="false" customHeight="false" outlineLevel="0" collapsed="false">
      <c r="A242" s="2" t="n">
        <v>39785</v>
      </c>
      <c r="B242" s="0" t="n">
        <v>870.74</v>
      </c>
      <c r="C242" s="0" t="n">
        <v>133.62</v>
      </c>
      <c r="D242" s="3" t="n">
        <f aca="false">B242*100/B$2</f>
        <v>60.1688825008983</v>
      </c>
      <c r="E242" s="3" t="n">
        <f aca="false">C242*100/C$2</f>
        <v>56.7870803229919</v>
      </c>
      <c r="F242" s="0" t="n">
        <v>61.9682688852649</v>
      </c>
      <c r="G242" s="0" t="n">
        <v>87.1305754670119</v>
      </c>
      <c r="H242" s="0" t="n">
        <v>62.9536761580961</v>
      </c>
      <c r="I242" s="0" t="n">
        <v>-24.1768993089158</v>
      </c>
    </row>
    <row r="243" customFormat="false" ht="13.8" hidden="false" customHeight="false" outlineLevel="0" collapsed="false">
      <c r="A243" s="2" t="n">
        <v>39786</v>
      </c>
      <c r="B243" s="0" t="n">
        <v>845.22</v>
      </c>
      <c r="C243" s="0" t="n">
        <v>131.43</v>
      </c>
      <c r="D243" s="3" t="n">
        <f aca="false">B243*100/B$2</f>
        <v>58.4054285635313</v>
      </c>
      <c r="E243" s="3" t="n">
        <f aca="false">C243*100/C$2</f>
        <v>55.8563535911602</v>
      </c>
      <c r="F243" s="0" t="n">
        <v>62.7511816246994</v>
      </c>
      <c r="G243" s="0" t="n">
        <v>87.392099805849</v>
      </c>
      <c r="H243" s="0" t="n">
        <v>58.4232894177646</v>
      </c>
      <c r="I243" s="0" t="n">
        <v>-28.9688103880845</v>
      </c>
    </row>
    <row r="244" customFormat="false" ht="13.8" hidden="false" customHeight="false" outlineLevel="0" collapsed="false">
      <c r="A244" s="2" t="n">
        <v>39787</v>
      </c>
      <c r="B244" s="0" t="n">
        <v>876.07</v>
      </c>
      <c r="C244" s="0" t="n">
        <v>134.33</v>
      </c>
      <c r="D244" s="3" t="n">
        <f aca="false">B244*100/B$2</f>
        <v>60.5371900826446</v>
      </c>
      <c r="E244" s="3" t="n">
        <f aca="false">C244*100/C$2</f>
        <v>57.0888227794305</v>
      </c>
      <c r="F244" s="0" t="n">
        <v>60.5855606843749</v>
      </c>
      <c r="G244" s="0" t="n">
        <v>86.6686953240171</v>
      </c>
      <c r="H244" s="0" t="n">
        <v>52.3884402889928</v>
      </c>
      <c r="I244" s="0" t="n">
        <v>-34.2802550350243</v>
      </c>
    </row>
    <row r="245" customFormat="false" ht="13.8" hidden="false" customHeight="false" outlineLevel="0" collapsed="false">
      <c r="A245" s="2" t="n">
        <v>39790</v>
      </c>
      <c r="B245" s="0" t="n">
        <v>909.7</v>
      </c>
      <c r="C245" s="0" t="n">
        <v>144.89</v>
      </c>
      <c r="D245" s="3" t="n">
        <f aca="false">B245*100/B$2</f>
        <v>62.8610519914868</v>
      </c>
      <c r="E245" s="3" t="n">
        <f aca="false">C245*100/C$2</f>
        <v>61.5767105822354</v>
      </c>
      <c r="F245" s="0" t="n">
        <v>58.6611017441057</v>
      </c>
      <c r="G245" s="0" t="n">
        <v>86.0258486482347</v>
      </c>
      <c r="H245" s="0" t="n">
        <v>53.5189120271993</v>
      </c>
      <c r="I245" s="0" t="n">
        <v>-32.5069366210354</v>
      </c>
    </row>
    <row r="246" customFormat="false" ht="13.8" hidden="false" customHeight="false" outlineLevel="0" collapsed="false">
      <c r="A246" s="2" t="n">
        <v>39791</v>
      </c>
      <c r="B246" s="0" t="n">
        <v>888.67</v>
      </c>
      <c r="C246" s="0" t="n">
        <v>145.2</v>
      </c>
      <c r="D246" s="3" t="n">
        <f aca="false">B246*100/B$2</f>
        <v>61.4078609137898</v>
      </c>
      <c r="E246" s="3" t="n">
        <f aca="false">C246*100/C$2</f>
        <v>61.7084572885678</v>
      </c>
      <c r="F246" s="0" t="n">
        <v>64.9900494762155</v>
      </c>
      <c r="G246" s="0" t="n">
        <v>88.1399717015527</v>
      </c>
      <c r="H246" s="0" t="n">
        <v>56.2770930726732</v>
      </c>
      <c r="I246" s="0" t="n">
        <v>-31.8628786288795</v>
      </c>
    </row>
    <row r="247" customFormat="false" ht="13.8" hidden="false" customHeight="false" outlineLevel="0" collapsed="false">
      <c r="A247" s="2" t="n">
        <v>39792</v>
      </c>
      <c r="B247" s="0" t="n">
        <v>899.24</v>
      </c>
      <c r="C247" s="0" t="n">
        <v>150.73</v>
      </c>
      <c r="D247" s="3" t="n">
        <f aca="false">B247*100/B$2</f>
        <v>62.1382569999171</v>
      </c>
      <c r="E247" s="3" t="n">
        <f aca="false">C247*100/C$2</f>
        <v>64.0586485337866</v>
      </c>
      <c r="F247" s="0" t="n">
        <v>64.2700185190304</v>
      </c>
      <c r="G247" s="0" t="n">
        <v>87.8994524066999</v>
      </c>
      <c r="H247" s="0" t="n">
        <v>54.6876328091798</v>
      </c>
      <c r="I247" s="0" t="n">
        <v>-33.2118195975201</v>
      </c>
    </row>
    <row r="248" customFormat="false" ht="13.8" hidden="false" customHeight="false" outlineLevel="0" collapsed="false">
      <c r="A248" s="2" t="n">
        <v>39793</v>
      </c>
      <c r="B248" s="0" t="n">
        <v>873.59</v>
      </c>
      <c r="C248" s="0" t="n">
        <v>151.93</v>
      </c>
      <c r="D248" s="3" t="n">
        <f aca="false">B248*100/B$2</f>
        <v>60.3658199508002</v>
      </c>
      <c r="E248" s="3" t="n">
        <f aca="false">C248*100/C$2</f>
        <v>64.5686357841054</v>
      </c>
      <c r="F248" s="0" t="n">
        <v>65.928439149783</v>
      </c>
      <c r="G248" s="0" t="n">
        <v>88.4534315887026</v>
      </c>
      <c r="H248" s="0" t="n">
        <v>61.3769655758606</v>
      </c>
      <c r="I248" s="0" t="n">
        <v>-27.076466012842</v>
      </c>
    </row>
    <row r="249" customFormat="false" ht="13.8" hidden="false" customHeight="false" outlineLevel="0" collapsed="false">
      <c r="A249" s="2" t="n">
        <v>39794</v>
      </c>
      <c r="B249" s="0" t="n">
        <v>879.73</v>
      </c>
      <c r="C249" s="0" t="n">
        <v>144.38</v>
      </c>
      <c r="D249" s="3" t="n">
        <f aca="false">B249*100/B$2</f>
        <v>60.7900992288344</v>
      </c>
      <c r="E249" s="3" t="n">
        <f aca="false">C249*100/C$2</f>
        <v>61.35996600085</v>
      </c>
      <c r="F249" s="0" t="n">
        <v>66.9414577517344</v>
      </c>
      <c r="G249" s="0" t="n">
        <v>88.7918205390426</v>
      </c>
      <c r="H249" s="0" t="n">
        <v>62.6859328516787</v>
      </c>
      <c r="I249" s="0" t="n">
        <v>-26.1058876873639</v>
      </c>
    </row>
    <row r="250" customFormat="false" ht="13.8" hidden="false" customHeight="false" outlineLevel="0" collapsed="false">
      <c r="A250" s="2" t="n">
        <v>39797</v>
      </c>
      <c r="B250" s="0" t="n">
        <v>868.57</v>
      </c>
      <c r="C250" s="0" t="n">
        <v>151.43</v>
      </c>
      <c r="D250" s="3" t="n">
        <f aca="false">B250*100/B$2</f>
        <v>60.0189336355344</v>
      </c>
      <c r="E250" s="3" t="n">
        <f aca="false">C250*100/C$2</f>
        <v>64.3561410964726</v>
      </c>
      <c r="F250" s="0" t="n">
        <v>66.7721606456784</v>
      </c>
      <c r="G250" s="0" t="n">
        <v>88.7352684975465</v>
      </c>
      <c r="H250" s="0" t="n">
        <v>63.2426689332767</v>
      </c>
      <c r="I250" s="0" t="n">
        <v>-25.4925995642698</v>
      </c>
    </row>
    <row r="251" customFormat="false" ht="13.8" hidden="false" customHeight="false" outlineLevel="0" collapsed="false">
      <c r="A251" s="2" t="n">
        <v>39798</v>
      </c>
      <c r="B251" s="0" t="n">
        <v>913.18</v>
      </c>
      <c r="C251" s="0" t="n">
        <v>151.35</v>
      </c>
      <c r="D251" s="3" t="n">
        <f aca="false">B251*100/B$2</f>
        <v>63.1015229829459</v>
      </c>
      <c r="E251" s="3" t="n">
        <f aca="false">C251*100/C$2</f>
        <v>64.3221419464513</v>
      </c>
      <c r="F251" s="0" t="n">
        <v>69.4981895574781</v>
      </c>
      <c r="G251" s="0" t="n">
        <v>89.6458717779635</v>
      </c>
      <c r="H251" s="0" t="n">
        <v>64.4411389715257</v>
      </c>
      <c r="I251" s="0" t="n">
        <v>-25.2047328064378</v>
      </c>
    </row>
    <row r="252" customFormat="false" ht="13.8" hidden="false" customHeight="false" outlineLevel="0" collapsed="false">
      <c r="A252" s="2" t="n">
        <v>39799</v>
      </c>
      <c r="B252" s="0" t="n">
        <v>904.42</v>
      </c>
      <c r="C252" s="0" t="n">
        <v>152.62</v>
      </c>
      <c r="D252" s="3" t="n">
        <f aca="false">B252*100/B$2</f>
        <v>62.4961994527212</v>
      </c>
      <c r="E252" s="3" t="n">
        <f aca="false">C252*100/C$2</f>
        <v>64.8618784530387</v>
      </c>
      <c r="F252" s="0" t="n">
        <v>65.8372260150916</v>
      </c>
      <c r="G252" s="0" t="n">
        <v>88.4229627336925</v>
      </c>
      <c r="H252" s="0" t="n">
        <v>65.8436039099022</v>
      </c>
      <c r="I252" s="0" t="n">
        <v>-22.5793588237902</v>
      </c>
    </row>
    <row r="253" customFormat="false" ht="13.8" hidden="false" customHeight="false" outlineLevel="0" collapsed="false">
      <c r="A253" s="2" t="n">
        <v>39800</v>
      </c>
      <c r="B253" s="0" t="n">
        <v>885.28</v>
      </c>
      <c r="C253" s="0" t="n">
        <v>153.24</v>
      </c>
      <c r="D253" s="3" t="n">
        <f aca="false">B253*100/B$2</f>
        <v>61.173608999696</v>
      </c>
      <c r="E253" s="3" t="n">
        <f aca="false">C253*100/C$2</f>
        <v>65.1253718657034</v>
      </c>
      <c r="F253" s="0" t="n">
        <v>62.5279858481439</v>
      </c>
      <c r="G253" s="0" t="n">
        <v>87.3175434409378</v>
      </c>
      <c r="H253" s="0" t="n">
        <v>60.9307267318317</v>
      </c>
      <c r="I253" s="0" t="n">
        <v>-26.3868167091061</v>
      </c>
    </row>
    <row r="254" customFormat="false" ht="13.8" hidden="false" customHeight="false" outlineLevel="0" collapsed="false">
      <c r="A254" s="2" t="n">
        <v>39801</v>
      </c>
      <c r="B254" s="0" t="n">
        <v>887.88</v>
      </c>
      <c r="C254" s="0" t="n">
        <v>154.1</v>
      </c>
      <c r="D254" s="3" t="n">
        <f aca="false">B254*100/B$2</f>
        <v>61.3532712346942</v>
      </c>
      <c r="E254" s="3" t="n">
        <f aca="false">C254*100/C$2</f>
        <v>65.4908627284318</v>
      </c>
      <c r="F254" s="0" t="n">
        <v>64.3322092926836</v>
      </c>
      <c r="G254" s="0" t="n">
        <v>87.920226626025</v>
      </c>
      <c r="H254" s="0" t="n">
        <v>63.0854228644284</v>
      </c>
      <c r="I254" s="0" t="n">
        <v>-24.8348037615966</v>
      </c>
    </row>
    <row r="255" customFormat="false" ht="13.8" hidden="false" customHeight="false" outlineLevel="0" collapsed="false">
      <c r="A255" s="2" t="n">
        <v>39804</v>
      </c>
      <c r="B255" s="0" t="n">
        <v>871.63</v>
      </c>
      <c r="C255" s="0" t="n">
        <v>153.98</v>
      </c>
      <c r="D255" s="3" t="n">
        <f aca="false">B255*100/B$2</f>
        <v>60.2303822659554</v>
      </c>
      <c r="E255" s="3" t="n">
        <f aca="false">C255*100/C$2</f>
        <v>65.4398640033999</v>
      </c>
      <c r="F255" s="0" t="n">
        <v>63.5182011664225</v>
      </c>
      <c r="G255" s="0" t="n">
        <v>87.6483151775253</v>
      </c>
      <c r="H255" s="0" t="n">
        <v>64.1053973650659</v>
      </c>
      <c r="I255" s="0" t="n">
        <v>-23.5429178124594</v>
      </c>
    </row>
    <row r="256" customFormat="false" ht="13.8" hidden="false" customHeight="false" outlineLevel="0" collapsed="false">
      <c r="A256" s="2" t="n">
        <v>39805</v>
      </c>
      <c r="B256" s="0" t="n">
        <v>863.16</v>
      </c>
      <c r="C256" s="0" t="n">
        <v>148.93</v>
      </c>
      <c r="D256" s="3" t="n">
        <f aca="false">B256*100/B$2</f>
        <v>59.6450979850189</v>
      </c>
      <c r="E256" s="3" t="n">
        <f aca="false">C256*100/C$2</f>
        <v>63.2936676583085</v>
      </c>
      <c r="F256" s="0" t="n">
        <v>62.1182177506288</v>
      </c>
      <c r="G256" s="0" t="n">
        <v>87.1806644180513</v>
      </c>
      <c r="H256" s="0" t="n">
        <v>62.7581810454739</v>
      </c>
      <c r="I256" s="0" t="n">
        <v>-24.4224833725774</v>
      </c>
    </row>
    <row r="257" customFormat="false" ht="13.8" hidden="false" customHeight="false" outlineLevel="0" collapsed="false">
      <c r="A257" s="2" t="n">
        <v>39806</v>
      </c>
      <c r="B257" s="0" t="n">
        <v>865.02</v>
      </c>
      <c r="C257" s="0" t="n">
        <v>147.02</v>
      </c>
      <c r="D257" s="3" t="n">
        <f aca="false">B257*100/B$2</f>
        <v>59.7736255839023</v>
      </c>
      <c r="E257" s="3" t="n">
        <f aca="false">C257*100/C$2</f>
        <v>62.4819379515512</v>
      </c>
      <c r="F257" s="0" t="n">
        <v>58.8946626496034</v>
      </c>
      <c r="G257" s="0" t="n">
        <v>86.1038673830334</v>
      </c>
      <c r="H257" s="0" t="n">
        <v>62.5881852953676</v>
      </c>
      <c r="I257" s="0" t="n">
        <v>-23.5156820876658</v>
      </c>
    </row>
    <row r="258" customFormat="false" ht="13.8" hidden="false" customHeight="false" outlineLevel="0" collapsed="false">
      <c r="A258" s="2" t="n">
        <v>39808</v>
      </c>
      <c r="B258" s="0" t="n">
        <v>872.8</v>
      </c>
      <c r="C258" s="0" t="n">
        <v>145.81</v>
      </c>
      <c r="D258" s="3" t="n">
        <f aca="false">B258*100/B$2</f>
        <v>60.3112302717046</v>
      </c>
      <c r="E258" s="3" t="n">
        <f aca="false">C258*100/C$2</f>
        <v>61.9677008074798</v>
      </c>
      <c r="F258" s="0" t="n">
        <v>62.9709223582741</v>
      </c>
      <c r="G258" s="0" t="n">
        <v>87.4655020474644</v>
      </c>
      <c r="H258" s="0" t="n">
        <v>60.6459838504037</v>
      </c>
      <c r="I258" s="0" t="n">
        <v>-26.8195181970606</v>
      </c>
    </row>
    <row r="259" customFormat="false" ht="13.8" hidden="false" customHeight="false" outlineLevel="0" collapsed="false">
      <c r="A259" s="2" t="n">
        <v>39811</v>
      </c>
      <c r="B259" s="0" t="n">
        <v>869.42</v>
      </c>
      <c r="C259" s="0" t="n">
        <v>145.72</v>
      </c>
      <c r="D259" s="3" t="n">
        <f aca="false">B259*100/B$2</f>
        <v>60.0776693662069</v>
      </c>
      <c r="E259" s="3" t="n">
        <f aca="false">C259*100/C$2</f>
        <v>61.9294517637059</v>
      </c>
      <c r="F259" s="0" t="n">
        <v>60.3450896929158</v>
      </c>
      <c r="G259" s="0" t="n">
        <v>86.5883683426267</v>
      </c>
      <c r="H259" s="0" t="n">
        <v>60.4589885252869</v>
      </c>
      <c r="I259" s="0" t="n">
        <v>-26.1293798173398</v>
      </c>
    </row>
    <row r="260" customFormat="false" ht="13.8" hidden="false" customHeight="false" outlineLevel="0" collapsed="false">
      <c r="A260" s="2" t="n">
        <v>39812</v>
      </c>
      <c r="B260" s="0" t="n">
        <v>890.64</v>
      </c>
      <c r="C260" s="0" t="n">
        <v>146.35</v>
      </c>
      <c r="D260" s="3" t="n">
        <f aca="false">B260*100/B$2</f>
        <v>61.5439896072307</v>
      </c>
      <c r="E260" s="3" t="n">
        <f aca="false">C260*100/C$2</f>
        <v>62.1971950701232</v>
      </c>
      <c r="F260" s="0" t="n">
        <v>58.7875563172006</v>
      </c>
      <c r="G260" s="0" t="n">
        <v>86.0680895608624</v>
      </c>
      <c r="H260" s="0" t="n">
        <v>59.740756481088</v>
      </c>
      <c r="I260" s="0" t="n">
        <v>-26.3273330797745</v>
      </c>
    </row>
    <row r="261" customFormat="false" ht="13.8" hidden="false" customHeight="false" outlineLevel="0" collapsed="false">
      <c r="A261" s="2" t="n">
        <v>39813</v>
      </c>
      <c r="B261" s="0" t="n">
        <v>903.25</v>
      </c>
      <c r="C261" s="0" t="n">
        <v>146.35</v>
      </c>
      <c r="D261" s="3" t="n">
        <f aca="false">B261*100/B$2</f>
        <v>62.415351446972</v>
      </c>
      <c r="E261" s="3" t="n">
        <f aca="false">C261*100/C$2</f>
        <v>62.1971950701232</v>
      </c>
      <c r="F261" s="0" t="n">
        <v>59.3659305121756</v>
      </c>
      <c r="G261" s="0" t="n">
        <v>86.2612898005859</v>
      </c>
      <c r="H261" s="0" t="n">
        <v>57.3225669358266</v>
      </c>
      <c r="I261" s="0" t="n">
        <v>-28.9387228647593</v>
      </c>
    </row>
    <row r="262" customFormat="false" ht="13.8" hidden="false" customHeight="false" outlineLevel="0" collapsed="false">
      <c r="A262" s="2" t="n">
        <v>39815</v>
      </c>
      <c r="B262" s="0" t="n">
        <v>931.8</v>
      </c>
      <c r="C262" s="0" t="n">
        <v>151.15</v>
      </c>
      <c r="D262" s="3" t="n">
        <f aca="false">B262*100/B$2</f>
        <v>64.3881809889715</v>
      </c>
      <c r="E262" s="3" t="n">
        <f aca="false">C262*100/C$2</f>
        <v>64.2371440713982</v>
      </c>
      <c r="F262" s="0" t="n">
        <v>55.7353713480196</v>
      </c>
      <c r="G262" s="0" t="n">
        <v>85.0485370413182</v>
      </c>
      <c r="H262" s="0" t="n">
        <v>56.2388440288993</v>
      </c>
      <c r="I262" s="0" t="n">
        <v>-28.8096930124189</v>
      </c>
    </row>
    <row r="263" customFormat="false" ht="13.8" hidden="false" customHeight="false" outlineLevel="0" collapsed="false">
      <c r="A263" s="2" t="n">
        <v>39818</v>
      </c>
      <c r="B263" s="0" t="n">
        <v>927.45</v>
      </c>
      <c r="C263" s="0" t="n">
        <v>153.83</v>
      </c>
      <c r="D263" s="3" t="n">
        <f aca="false">B263*100/B$2</f>
        <v>64.0875922496476</v>
      </c>
      <c r="E263" s="3" t="n">
        <f aca="false">C263*100/C$2</f>
        <v>65.3761155971101</v>
      </c>
      <c r="F263" s="0" t="n">
        <v>51.9942508084801</v>
      </c>
      <c r="G263" s="0" t="n">
        <v>83.7988523365837</v>
      </c>
      <c r="H263" s="0" t="n">
        <v>52.5031874203145</v>
      </c>
      <c r="I263" s="0" t="n">
        <v>-31.2956649162692</v>
      </c>
    </row>
    <row r="264" customFormat="false" ht="13.8" hidden="false" customHeight="false" outlineLevel="0" collapsed="false">
      <c r="A264" s="2" t="n">
        <v>39819</v>
      </c>
      <c r="B264" s="0" t="n">
        <v>934.7</v>
      </c>
      <c r="C264" s="0" t="n">
        <v>156.79</v>
      </c>
      <c r="D264" s="3" t="n">
        <f aca="false">B264*100/B$2</f>
        <v>64.5885734818541</v>
      </c>
      <c r="E264" s="3" t="n">
        <f aca="false">C264*100/C$2</f>
        <v>66.6340841478963</v>
      </c>
      <c r="F264" s="0" t="n">
        <v>55.2827607175433</v>
      </c>
      <c r="G264" s="0" t="n">
        <v>84.8973468895633</v>
      </c>
      <c r="H264" s="0" t="n">
        <v>55.5716107097323</v>
      </c>
      <c r="I264" s="0" t="n">
        <v>-29.325736179831</v>
      </c>
    </row>
    <row r="265" customFormat="false" ht="13.8" hidden="false" customHeight="false" outlineLevel="0" collapsed="false">
      <c r="A265" s="2" t="n">
        <v>39820</v>
      </c>
      <c r="B265" s="0" t="n">
        <v>906.65</v>
      </c>
      <c r="C265" s="0" t="n">
        <v>161.36</v>
      </c>
      <c r="D265" s="3" t="n">
        <f aca="false">B265*100/B$2</f>
        <v>62.650294369662</v>
      </c>
      <c r="E265" s="3" t="n">
        <f aca="false">C265*100/C$2</f>
        <v>68.5762855928602</v>
      </c>
      <c r="F265" s="0" t="n">
        <v>58.8608032283922</v>
      </c>
      <c r="G265" s="0" t="n">
        <v>86.0925569747342</v>
      </c>
      <c r="H265" s="0" t="n">
        <v>53.5571610709732</v>
      </c>
      <c r="I265" s="0" t="n">
        <v>-32.535395903761</v>
      </c>
    </row>
    <row r="266" customFormat="false" ht="13.8" hidden="false" customHeight="false" outlineLevel="0" collapsed="false">
      <c r="A266" s="2" t="n">
        <v>39821</v>
      </c>
      <c r="B266" s="0" t="n">
        <v>909.73</v>
      </c>
      <c r="C266" s="0" t="n">
        <v>157.76</v>
      </c>
      <c r="D266" s="3" t="n">
        <f aca="false">B266*100/B$2</f>
        <v>62.8631250172752</v>
      </c>
      <c r="E266" s="3" t="n">
        <f aca="false">C266*100/C$2</f>
        <v>67.046323841904</v>
      </c>
      <c r="F266" s="0" t="n">
        <v>59.2463860250422</v>
      </c>
      <c r="G266" s="0" t="n">
        <v>86.2213571345499</v>
      </c>
      <c r="H266" s="0" t="n">
        <v>54.4028899277518</v>
      </c>
      <c r="I266" s="0" t="n">
        <v>-31.8184672067981</v>
      </c>
    </row>
    <row r="267" customFormat="false" ht="13.8" hidden="false" customHeight="false" outlineLevel="0" collapsed="false">
      <c r="A267" s="2" t="n">
        <v>39822</v>
      </c>
      <c r="B267" s="0" t="n">
        <v>890.35</v>
      </c>
      <c r="C267" s="0" t="n">
        <v>154.17</v>
      </c>
      <c r="D267" s="3" t="n">
        <f aca="false">B267*100/B$2</f>
        <v>61.5239503579424</v>
      </c>
      <c r="E267" s="3" t="n">
        <f aca="false">C267*100/C$2</f>
        <v>65.5206119847004</v>
      </c>
      <c r="F267" s="0" t="n">
        <v>61.3394510627712</v>
      </c>
      <c r="G267" s="0" t="n">
        <v>86.9205250271692</v>
      </c>
      <c r="H267" s="0" t="n">
        <v>57.1610709732257</v>
      </c>
      <c r="I267" s="0" t="n">
        <v>-29.7594540539435</v>
      </c>
    </row>
    <row r="268" customFormat="false" ht="13.8" hidden="false" customHeight="false" outlineLevel="0" collapsed="false">
      <c r="A268" s="2" t="n">
        <v>39825</v>
      </c>
      <c r="B268" s="0" t="n">
        <v>870.26</v>
      </c>
      <c r="C268" s="0" t="n">
        <v>151.01</v>
      </c>
      <c r="D268" s="3" t="n">
        <f aca="false">B268*100/B$2</f>
        <v>60.1357140882833</v>
      </c>
      <c r="E268" s="3" t="n">
        <f aca="false">C268*100/C$2</f>
        <v>64.177645558861</v>
      </c>
      <c r="F268" s="0" t="n">
        <v>61.3394510627712</v>
      </c>
      <c r="G268" s="0" t="n">
        <v>86.9205250271692</v>
      </c>
      <c r="H268" s="0" t="n">
        <v>59.1457713557161</v>
      </c>
      <c r="I268" s="0" t="n">
        <v>-27.7747536714531</v>
      </c>
    </row>
    <row r="269" customFormat="false" ht="13.8" hidden="false" customHeight="false" outlineLevel="0" collapsed="false">
      <c r="A269" s="2" t="n">
        <v>39826</v>
      </c>
      <c r="B269" s="0" t="n">
        <v>871.79</v>
      </c>
      <c r="C269" s="0" t="n">
        <v>152.45</v>
      </c>
      <c r="D269" s="3" t="n">
        <f aca="false">B269*100/B$2</f>
        <v>60.2414384034937</v>
      </c>
      <c r="E269" s="3" t="n">
        <f aca="false">C269*100/C$2</f>
        <v>64.7896302592435</v>
      </c>
      <c r="F269" s="0" t="n">
        <v>61.930954421073</v>
      </c>
      <c r="G269" s="0" t="n">
        <v>87.1181109354168</v>
      </c>
      <c r="H269" s="0" t="n">
        <v>59.7790055248619</v>
      </c>
      <c r="I269" s="0" t="n">
        <v>-27.3391054105549</v>
      </c>
    </row>
    <row r="270" customFormat="false" ht="13.8" hidden="false" customHeight="false" outlineLevel="0" collapsed="false">
      <c r="A270" s="2" t="n">
        <v>39827</v>
      </c>
      <c r="B270" s="0" t="n">
        <v>842.62</v>
      </c>
      <c r="C270" s="0" t="n">
        <v>154.5</v>
      </c>
      <c r="D270" s="3" t="n">
        <f aca="false">B270*100/B$2</f>
        <v>58.2257663285331</v>
      </c>
      <c r="E270" s="3" t="n">
        <f aca="false">C270*100/C$2</f>
        <v>65.660858478538</v>
      </c>
      <c r="F270" s="0" t="n">
        <v>56.4008126261091</v>
      </c>
      <c r="G270" s="0" t="n">
        <v>85.2708211880968</v>
      </c>
      <c r="H270" s="0" t="n">
        <v>58.7972800679983</v>
      </c>
      <c r="I270" s="0" t="n">
        <v>-26.4735411200985</v>
      </c>
    </row>
    <row r="271" customFormat="false" ht="13.8" hidden="false" customHeight="false" outlineLevel="0" collapsed="false">
      <c r="A271" s="2" t="n">
        <v>39828</v>
      </c>
      <c r="B271" s="0" t="n">
        <v>843.74</v>
      </c>
      <c r="C271" s="0" t="n">
        <v>145.05</v>
      </c>
      <c r="D271" s="3" t="n">
        <f aca="false">B271*100/B$2</f>
        <v>58.3031592913016</v>
      </c>
      <c r="E271" s="3" t="n">
        <f aca="false">C271*100/C$2</f>
        <v>61.644708882278</v>
      </c>
      <c r="F271" s="0" t="n">
        <v>58.6535006495481</v>
      </c>
      <c r="G271" s="0" t="n">
        <v>86.0233095769839</v>
      </c>
      <c r="H271" s="0" t="n">
        <v>56.8210794730132</v>
      </c>
      <c r="I271" s="0" t="n">
        <v>-29.2022301039707</v>
      </c>
    </row>
    <row r="272" customFormat="false" ht="13.8" hidden="false" customHeight="false" outlineLevel="0" collapsed="false">
      <c r="A272" s="2" t="n">
        <v>39829</v>
      </c>
      <c r="B272" s="0" t="n">
        <v>850.12</v>
      </c>
      <c r="C272" s="0" t="n">
        <v>148.03</v>
      </c>
      <c r="D272" s="3" t="n">
        <f aca="false">B272*100/B$2</f>
        <v>58.7440227756433</v>
      </c>
      <c r="E272" s="3" t="n">
        <f aca="false">C272*100/C$2</f>
        <v>62.9111772205695</v>
      </c>
      <c r="F272" s="0" t="n">
        <v>60.1688825008983</v>
      </c>
      <c r="G272" s="0" t="n">
        <v>86.5295080545389</v>
      </c>
      <c r="H272" s="0" t="n">
        <v>56.7870803229919</v>
      </c>
      <c r="I272" s="0" t="n">
        <v>-29.742427731547</v>
      </c>
    </row>
    <row r="273" customFormat="false" ht="13.8" hidden="false" customHeight="false" outlineLevel="0" collapsed="false">
      <c r="A273" s="2" t="n">
        <v>39832</v>
      </c>
      <c r="B273" s="0" t="n">
        <v>850.12</v>
      </c>
      <c r="C273" s="0" t="n">
        <v>150.02</v>
      </c>
      <c r="D273" s="3" t="n">
        <f aca="false">B273*100/B$2</f>
        <v>58.7440227756433</v>
      </c>
      <c r="E273" s="3" t="n">
        <f aca="false">C273*100/C$2</f>
        <v>63.7569060773481</v>
      </c>
      <c r="F273" s="0" t="n">
        <v>58.4054285635313</v>
      </c>
      <c r="G273" s="0" t="n">
        <v>85.9404435243426</v>
      </c>
      <c r="H273" s="0" t="n">
        <v>55.8563535911602</v>
      </c>
      <c r="I273" s="0" t="n">
        <v>-30.0840899331824</v>
      </c>
    </row>
    <row r="274" customFormat="false" ht="13.8" hidden="false" customHeight="false" outlineLevel="0" collapsed="false">
      <c r="A274" s="2" t="n">
        <v>39833</v>
      </c>
      <c r="B274" s="0" t="n">
        <v>805.22</v>
      </c>
      <c r="C274" s="0" t="n">
        <v>146.55</v>
      </c>
      <c r="D274" s="3" t="n">
        <f aca="false">B274*100/B$2</f>
        <v>55.6413941789436</v>
      </c>
      <c r="E274" s="3" t="n">
        <f aca="false">C274*100/C$2</f>
        <v>62.2821929451764</v>
      </c>
      <c r="F274" s="0" t="n">
        <v>60.5371900826446</v>
      </c>
      <c r="G274" s="0" t="n">
        <v>86.6525375978753</v>
      </c>
      <c r="H274" s="0" t="n">
        <v>57.0888227794305</v>
      </c>
      <c r="I274" s="0" t="n">
        <v>-29.5637148184448</v>
      </c>
    </row>
    <row r="275" customFormat="false" ht="13.8" hidden="false" customHeight="false" outlineLevel="0" collapsed="false">
      <c r="A275" s="2" t="n">
        <v>39834</v>
      </c>
      <c r="B275" s="0" t="n">
        <v>840.24</v>
      </c>
      <c r="C275" s="0" t="n">
        <v>143.29</v>
      </c>
      <c r="D275" s="3" t="n">
        <f aca="false">B275*100/B$2</f>
        <v>58.0613062826502</v>
      </c>
      <c r="E275" s="3" t="n">
        <f aca="false">C275*100/C$2</f>
        <v>60.8967275818105</v>
      </c>
      <c r="F275" s="0" t="n">
        <v>62.8610519914868</v>
      </c>
      <c r="G275" s="0" t="n">
        <v>87.4288009266567</v>
      </c>
      <c r="H275" s="0" t="n">
        <v>61.5767105822354</v>
      </c>
      <c r="I275" s="0" t="n">
        <v>-25.8520903444213</v>
      </c>
    </row>
    <row r="276" customFormat="false" ht="13.8" hidden="false" customHeight="false" outlineLevel="0" collapsed="false">
      <c r="A276" s="2" t="n">
        <v>39835</v>
      </c>
      <c r="B276" s="0" t="n">
        <v>827.5</v>
      </c>
      <c r="C276" s="0" t="n">
        <v>145.11</v>
      </c>
      <c r="D276" s="3" t="n">
        <f aca="false">B276*100/B$2</f>
        <v>57.180961331159</v>
      </c>
      <c r="E276" s="3" t="n">
        <f aca="false">C276*100/C$2</f>
        <v>61.6702082447939</v>
      </c>
      <c r="F276" s="0" t="n">
        <v>61.4078609137898</v>
      </c>
      <c r="G276" s="0" t="n">
        <v>86.9433766684268</v>
      </c>
      <c r="H276" s="0" t="n">
        <v>61.7084572885678</v>
      </c>
      <c r="I276" s="0" t="n">
        <v>-25.234919379859</v>
      </c>
    </row>
    <row r="277" customFormat="false" ht="13.8" hidden="false" customHeight="false" outlineLevel="0" collapsed="false">
      <c r="A277" s="2" t="n">
        <v>39836</v>
      </c>
      <c r="B277" s="0" t="n">
        <v>831.95</v>
      </c>
      <c r="C277" s="0" t="n">
        <v>141.75</v>
      </c>
      <c r="D277" s="3" t="n">
        <f aca="false">B277*100/B$2</f>
        <v>57.4884601564443</v>
      </c>
      <c r="E277" s="3" t="n">
        <f aca="false">C277*100/C$2</f>
        <v>60.2422439439014</v>
      </c>
      <c r="F277" s="0" t="n">
        <v>62.1382569999171</v>
      </c>
      <c r="G277" s="0" t="n">
        <v>87.1873583331672</v>
      </c>
      <c r="H277" s="0" t="n">
        <v>64.0586485337866</v>
      </c>
      <c r="I277" s="0" t="n">
        <v>-23.1287097993805</v>
      </c>
    </row>
    <row r="278" customFormat="false" ht="13.8" hidden="false" customHeight="false" outlineLevel="0" collapsed="false">
      <c r="A278" s="2" t="n">
        <v>39839</v>
      </c>
      <c r="B278" s="0" t="n">
        <v>836.57</v>
      </c>
      <c r="C278" s="0" t="n">
        <v>141.75</v>
      </c>
      <c r="D278" s="3" t="n">
        <f aca="false">B278*100/B$2</f>
        <v>57.8077061278642</v>
      </c>
      <c r="E278" s="3" t="n">
        <f aca="false">C278*100/C$2</f>
        <v>60.2422439439014</v>
      </c>
      <c r="F278" s="0" t="n">
        <v>60.3658199508002</v>
      </c>
      <c r="G278" s="0" t="n">
        <v>86.5952930824017</v>
      </c>
      <c r="H278" s="0" t="n">
        <v>64.5686357841054</v>
      </c>
      <c r="I278" s="0" t="n">
        <v>-22.0266572982963</v>
      </c>
    </row>
    <row r="279" customFormat="false" ht="13.8" hidden="false" customHeight="false" outlineLevel="0" collapsed="false">
      <c r="A279" s="2" t="n">
        <v>39840</v>
      </c>
      <c r="B279" s="0" t="n">
        <v>845.71</v>
      </c>
      <c r="C279" s="0" t="n">
        <v>141.75</v>
      </c>
      <c r="D279" s="3" t="n">
        <f aca="false">B279*100/B$2</f>
        <v>58.4392879847425</v>
      </c>
      <c r="E279" s="3" t="n">
        <f aca="false">C279*100/C$2</f>
        <v>60.2422439439014</v>
      </c>
      <c r="F279" s="0" t="n">
        <v>60.7900992288344</v>
      </c>
      <c r="G279" s="0" t="n">
        <v>86.7370194231308</v>
      </c>
      <c r="H279" s="0" t="n">
        <v>61.35996600085</v>
      </c>
      <c r="I279" s="0" t="n">
        <v>-25.3770534222808</v>
      </c>
    </row>
    <row r="280" customFormat="false" ht="13.8" hidden="false" customHeight="false" outlineLevel="0" collapsed="false">
      <c r="A280" s="2" t="n">
        <v>39841</v>
      </c>
      <c r="B280" s="0" t="n">
        <v>874.09</v>
      </c>
      <c r="C280" s="0" t="n">
        <v>151.04</v>
      </c>
      <c r="D280" s="3" t="n">
        <f aca="false">B280*100/B$2</f>
        <v>60.4003703806075</v>
      </c>
      <c r="E280" s="3" t="n">
        <f aca="false">C280*100/C$2</f>
        <v>64.190395240119</v>
      </c>
      <c r="F280" s="0" t="n">
        <v>60.0189336355344</v>
      </c>
      <c r="G280" s="0" t="n">
        <v>86.4794191034995</v>
      </c>
      <c r="H280" s="0" t="n">
        <v>64.3561410964726</v>
      </c>
      <c r="I280" s="0" t="n">
        <v>-22.1232780070269</v>
      </c>
    </row>
    <row r="281" customFormat="false" ht="13.8" hidden="false" customHeight="false" outlineLevel="0" collapsed="false">
      <c r="A281" s="2" t="n">
        <v>39842</v>
      </c>
      <c r="B281" s="0" t="n">
        <v>845.14</v>
      </c>
      <c r="C281" s="0" t="n">
        <v>152.29</v>
      </c>
      <c r="D281" s="3" t="n">
        <f aca="false">B281*100/B$2</f>
        <v>58.3999004947622</v>
      </c>
      <c r="E281" s="3" t="n">
        <f aca="false">C281*100/C$2</f>
        <v>64.721631959201</v>
      </c>
      <c r="F281" s="0" t="n">
        <v>63.1015229829459</v>
      </c>
      <c r="G281" s="0" t="n">
        <v>87.5091279080471</v>
      </c>
      <c r="H281" s="0" t="n">
        <v>64.3221419464513</v>
      </c>
      <c r="I281" s="0" t="n">
        <v>-23.1869859615958</v>
      </c>
    </row>
    <row r="282" customFormat="false" ht="13.8" hidden="false" customHeight="false" outlineLevel="0" collapsed="false">
      <c r="A282" s="2" t="n">
        <v>39843</v>
      </c>
      <c r="B282" s="0" t="n">
        <v>825.88</v>
      </c>
      <c r="C282" s="0" t="n">
        <v>151.33</v>
      </c>
      <c r="D282" s="3" t="n">
        <f aca="false">B282*100/B$2</f>
        <v>57.0690179385832</v>
      </c>
      <c r="E282" s="3" t="n">
        <f aca="false">C282*100/C$2</f>
        <v>64.313642158946</v>
      </c>
      <c r="F282" s="0" t="n">
        <v>62.4961994527212</v>
      </c>
      <c r="G282" s="0" t="n">
        <v>87.3069255066161</v>
      </c>
      <c r="H282" s="0" t="n">
        <v>64.8618784530387</v>
      </c>
      <c r="I282" s="0" t="n">
        <v>-22.4450470535774</v>
      </c>
    </row>
    <row r="283" customFormat="false" ht="13.8" hidden="false" customHeight="false" outlineLevel="0" collapsed="false">
      <c r="A283" s="2" t="n">
        <v>39846</v>
      </c>
      <c r="B283" s="0" t="n">
        <v>825.44</v>
      </c>
      <c r="C283" s="0" t="n">
        <v>149</v>
      </c>
      <c r="D283" s="3" t="n">
        <f aca="false">B283*100/B$2</f>
        <v>57.0386135603527</v>
      </c>
      <c r="E283" s="3" t="n">
        <f aca="false">C283*100/C$2</f>
        <v>63.3234169145771</v>
      </c>
      <c r="F283" s="0" t="n">
        <v>61.173608999696</v>
      </c>
      <c r="G283" s="0" t="n">
        <v>86.8651271089689</v>
      </c>
      <c r="H283" s="0" t="n">
        <v>65.1253718657034</v>
      </c>
      <c r="I283" s="0" t="n">
        <v>-21.7397552432655</v>
      </c>
    </row>
    <row r="284" customFormat="false" ht="13.8" hidden="false" customHeight="false" outlineLevel="0" collapsed="false">
      <c r="A284" s="2" t="n">
        <v>39847</v>
      </c>
      <c r="B284" s="0" t="n">
        <v>838.51</v>
      </c>
      <c r="C284" s="0" t="n">
        <v>151.42</v>
      </c>
      <c r="D284" s="3" t="n">
        <f aca="false">B284*100/B$2</f>
        <v>57.9417617955167</v>
      </c>
      <c r="E284" s="3" t="n">
        <f aca="false">C284*100/C$2</f>
        <v>64.3518912027199</v>
      </c>
      <c r="F284" s="0" t="n">
        <v>61.3532712346942</v>
      </c>
      <c r="G284" s="0" t="n">
        <v>86.9251415203525</v>
      </c>
      <c r="H284" s="0" t="n">
        <v>65.4908627284318</v>
      </c>
      <c r="I284" s="0" t="n">
        <v>-21.4342787919207</v>
      </c>
    </row>
    <row r="285" customFormat="false" ht="13.8" hidden="false" customHeight="false" outlineLevel="0" collapsed="false">
      <c r="A285" s="2" t="n">
        <v>39848</v>
      </c>
      <c r="B285" s="0" t="n">
        <v>832.23</v>
      </c>
      <c r="C285" s="0" t="n">
        <v>155.99</v>
      </c>
      <c r="D285" s="3" t="n">
        <f aca="false">B285*100/B$2</f>
        <v>57.5078083971365</v>
      </c>
      <c r="E285" s="3" t="n">
        <f aca="false">C285*100/C$2</f>
        <v>66.2940926476838</v>
      </c>
      <c r="F285" s="0" t="n">
        <v>60.2303822659554</v>
      </c>
      <c r="G285" s="0" t="n">
        <v>86.5500514492048</v>
      </c>
      <c r="H285" s="0" t="n">
        <v>65.4398640033999</v>
      </c>
      <c r="I285" s="0" t="n">
        <v>-21.1101874458049</v>
      </c>
    </row>
    <row r="286" customFormat="false" ht="13.8" hidden="false" customHeight="false" outlineLevel="0" collapsed="false">
      <c r="A286" s="2" t="n">
        <v>39849</v>
      </c>
      <c r="B286" s="0" t="n">
        <v>845.85</v>
      </c>
      <c r="C286" s="0" t="n">
        <v>154</v>
      </c>
      <c r="D286" s="3" t="n">
        <f aca="false">B286*100/B$2</f>
        <v>58.4489621050886</v>
      </c>
      <c r="E286" s="3" t="n">
        <f aca="false">C286*100/C$2</f>
        <v>65.4483637909052</v>
      </c>
      <c r="F286" s="0" t="n">
        <v>59.6450979850189</v>
      </c>
      <c r="G286" s="0" t="n">
        <v>86.3545429628897</v>
      </c>
      <c r="H286" s="0" t="n">
        <v>63.2936676583085</v>
      </c>
      <c r="I286" s="0" t="n">
        <v>-23.0608753045812</v>
      </c>
    </row>
    <row r="287" customFormat="false" ht="13.8" hidden="false" customHeight="false" outlineLevel="0" collapsed="false">
      <c r="A287" s="2" t="n">
        <v>39850</v>
      </c>
      <c r="B287" s="0" t="n">
        <v>868.6</v>
      </c>
      <c r="C287" s="0" t="n">
        <v>158.9</v>
      </c>
      <c r="D287" s="3" t="n">
        <f aca="false">B287*100/B$2</f>
        <v>60.0210066613229</v>
      </c>
      <c r="E287" s="3" t="n">
        <f aca="false">C287*100/C$2</f>
        <v>67.5308117297068</v>
      </c>
      <c r="F287" s="0" t="n">
        <v>59.7736255839023</v>
      </c>
      <c r="G287" s="0" t="n">
        <v>86.3974763494949</v>
      </c>
      <c r="H287" s="0" t="n">
        <v>62.4819379515512</v>
      </c>
      <c r="I287" s="0" t="n">
        <v>-23.9155383979437</v>
      </c>
    </row>
    <row r="288" customFormat="false" ht="13.8" hidden="false" customHeight="false" outlineLevel="0" collapsed="false">
      <c r="A288" s="2" t="n">
        <v>39853</v>
      </c>
      <c r="B288" s="0" t="n">
        <v>869.89</v>
      </c>
      <c r="C288" s="0" t="n">
        <v>157.7</v>
      </c>
      <c r="D288" s="3" t="n">
        <f aca="false">B288*100/B$2</f>
        <v>60.1101467702258</v>
      </c>
      <c r="E288" s="3" t="n">
        <f aca="false">C288*100/C$2</f>
        <v>67.020824479388</v>
      </c>
      <c r="F288" s="0" t="n">
        <v>60.3112302717046</v>
      </c>
      <c r="G288" s="0" t="n">
        <v>86.5770579343275</v>
      </c>
      <c r="H288" s="0" t="n">
        <v>61.9677008074798</v>
      </c>
      <c r="I288" s="0" t="n">
        <v>-24.6093571268476</v>
      </c>
    </row>
    <row r="289" customFormat="false" ht="13.8" hidden="false" customHeight="false" outlineLevel="0" collapsed="false">
      <c r="A289" s="2" t="n">
        <v>39854</v>
      </c>
      <c r="B289" s="0" t="n">
        <v>827.16</v>
      </c>
      <c r="C289" s="0" t="n">
        <v>156.84</v>
      </c>
      <c r="D289" s="3" t="n">
        <f aca="false">B289*100/B$2</f>
        <v>57.15746703889</v>
      </c>
      <c r="E289" s="3" t="n">
        <f aca="false">C289*100/C$2</f>
        <v>66.6553336166596</v>
      </c>
      <c r="F289" s="0" t="n">
        <v>60.0776693662069</v>
      </c>
      <c r="G289" s="0" t="n">
        <v>86.4990391995287</v>
      </c>
      <c r="H289" s="0" t="n">
        <v>61.9294517637059</v>
      </c>
      <c r="I289" s="0" t="n">
        <v>-24.5695874358228</v>
      </c>
    </row>
    <row r="290" customFormat="false" ht="13.8" hidden="false" customHeight="false" outlineLevel="0" collapsed="false">
      <c r="A290" s="2" t="n">
        <v>39855</v>
      </c>
      <c r="B290" s="0" t="n">
        <v>833.74</v>
      </c>
      <c r="C290" s="0" t="n">
        <v>155.26</v>
      </c>
      <c r="D290" s="3" t="n">
        <f aca="false">B290*100/B$2</f>
        <v>57.6121506951546</v>
      </c>
      <c r="E290" s="3" t="n">
        <f aca="false">C290*100/C$2</f>
        <v>65.9838504037399</v>
      </c>
      <c r="F290" s="0" t="n">
        <v>61.5439896072307</v>
      </c>
      <c r="G290" s="0" t="n">
        <v>86.9888491262828</v>
      </c>
      <c r="H290" s="0" t="n">
        <v>62.1971950701232</v>
      </c>
      <c r="I290" s="0" t="n">
        <v>-24.7916540561596</v>
      </c>
    </row>
    <row r="291" customFormat="false" ht="13.8" hidden="false" customHeight="false" outlineLevel="0" collapsed="false">
      <c r="A291" s="2" t="n">
        <v>39856</v>
      </c>
      <c r="B291" s="0" t="n">
        <v>835.19</v>
      </c>
      <c r="C291" s="0" t="n">
        <v>153.66</v>
      </c>
      <c r="D291" s="3" t="n">
        <f aca="false">B291*100/B$2</f>
        <v>57.712346941596</v>
      </c>
      <c r="E291" s="3" t="n">
        <f aca="false">C291*100/C$2</f>
        <v>65.3038674033149</v>
      </c>
      <c r="F291" s="0" t="n">
        <v>62.415351446972</v>
      </c>
      <c r="G291" s="0" t="n">
        <v>87.2799190214935</v>
      </c>
      <c r="H291" s="0" t="n">
        <v>62.1971950701232</v>
      </c>
      <c r="I291" s="0" t="n">
        <v>-25.0827239513702</v>
      </c>
    </row>
    <row r="292" customFormat="false" ht="13.8" hidden="false" customHeight="false" outlineLevel="0" collapsed="false">
      <c r="A292" s="2" t="n">
        <v>39857</v>
      </c>
      <c r="B292" s="0" t="n">
        <v>826.84</v>
      </c>
      <c r="C292" s="0" t="n">
        <v>155.19</v>
      </c>
      <c r="D292" s="3" t="n">
        <f aca="false">B292*100/B$2</f>
        <v>57.1353547638133</v>
      </c>
      <c r="E292" s="3" t="n">
        <f aca="false">C292*100/C$2</f>
        <v>65.9541011474713</v>
      </c>
      <c r="F292" s="0" t="n">
        <v>64.3881809889715</v>
      </c>
      <c r="G292" s="0" t="n">
        <v>87.9389234234175</v>
      </c>
      <c r="H292" s="0" t="n">
        <v>64.2371440713982</v>
      </c>
      <c r="I292" s="0" t="n">
        <v>-23.7017793520193</v>
      </c>
    </row>
    <row r="293" customFormat="false" ht="13.8" hidden="false" customHeight="false" outlineLevel="0" collapsed="false">
      <c r="A293" s="2" t="n">
        <v>39860</v>
      </c>
      <c r="B293" s="0" t="n">
        <v>826.84</v>
      </c>
      <c r="C293" s="0" t="n">
        <v>152.66</v>
      </c>
      <c r="D293" s="3" t="n">
        <f aca="false">B293*100/B$2</f>
        <v>57.1353547638133</v>
      </c>
      <c r="E293" s="3" t="n">
        <f aca="false">C293*100/C$2</f>
        <v>64.8788780280493</v>
      </c>
      <c r="F293" s="0" t="n">
        <v>64.0875922496476</v>
      </c>
      <c r="G293" s="0" t="n">
        <v>87.8385146966796</v>
      </c>
      <c r="H293" s="0" t="n">
        <v>65.3761155971101</v>
      </c>
      <c r="I293" s="0" t="n">
        <v>-22.4623990995695</v>
      </c>
    </row>
    <row r="294" customFormat="false" ht="13.8" hidden="false" customHeight="false" outlineLevel="0" collapsed="false">
      <c r="A294" s="2" t="n">
        <v>39861</v>
      </c>
      <c r="B294" s="0" t="n">
        <v>789.17</v>
      </c>
      <c r="C294" s="0" t="n">
        <v>146.6</v>
      </c>
      <c r="D294" s="3" t="n">
        <f aca="false">B294*100/B$2</f>
        <v>54.5323253821278</v>
      </c>
      <c r="E294" s="3" t="n">
        <f aca="false">C294*100/C$2</f>
        <v>62.3034424139397</v>
      </c>
      <c r="F294" s="0" t="n">
        <v>64.5885734818541</v>
      </c>
      <c r="G294" s="0" t="n">
        <v>88.0058625745762</v>
      </c>
      <c r="H294" s="0" t="n">
        <v>66.6340841478963</v>
      </c>
      <c r="I294" s="0" t="n">
        <v>-21.3717784266799</v>
      </c>
    </row>
    <row r="295" customFormat="false" ht="13.8" hidden="false" customHeight="false" outlineLevel="0" collapsed="false">
      <c r="A295" s="2" t="n">
        <v>39862</v>
      </c>
      <c r="B295" s="0" t="n">
        <v>788.42</v>
      </c>
      <c r="C295" s="0" t="n">
        <v>144.21</v>
      </c>
      <c r="D295" s="3" t="n">
        <f aca="false">B295*100/B$2</f>
        <v>54.4804997374167</v>
      </c>
      <c r="E295" s="3" t="n">
        <f aca="false">C295*100/C$2</f>
        <v>61.2877178070548</v>
      </c>
      <c r="F295" s="0" t="n">
        <v>62.650294369662</v>
      </c>
      <c r="G295" s="0" t="n">
        <v>87.3583994056105</v>
      </c>
      <c r="H295" s="0" t="n">
        <v>68.5762855928602</v>
      </c>
      <c r="I295" s="0" t="n">
        <v>-18.7821138127503</v>
      </c>
    </row>
    <row r="296" customFormat="false" ht="13.8" hidden="false" customHeight="false" outlineLevel="0" collapsed="false">
      <c r="A296" s="2" t="n">
        <v>39863</v>
      </c>
      <c r="B296" s="0" t="n">
        <v>778.94</v>
      </c>
      <c r="C296" s="0" t="n">
        <v>143.6</v>
      </c>
      <c r="D296" s="3" t="n">
        <f aca="false">B296*100/B$2</f>
        <v>53.8254235882694</v>
      </c>
      <c r="E296" s="3" t="n">
        <f aca="false">C296*100/C$2</f>
        <v>61.0284742881428</v>
      </c>
      <c r="F296" s="0" t="n">
        <v>62.8631250172752</v>
      </c>
      <c r="G296" s="0" t="n">
        <v>87.4294934006342</v>
      </c>
      <c r="H296" s="0" t="n">
        <v>67.046323841904</v>
      </c>
      <c r="I296" s="0" t="n">
        <v>-20.3831695587302</v>
      </c>
    </row>
    <row r="297" customFormat="false" ht="13.8" hidden="false" customHeight="false" outlineLevel="0" collapsed="false">
      <c r="A297" s="2" t="n">
        <v>39864</v>
      </c>
      <c r="B297" s="0" t="n">
        <v>770.05</v>
      </c>
      <c r="C297" s="0" t="n">
        <v>138.31</v>
      </c>
      <c r="D297" s="3" t="n">
        <f aca="false">B297*100/B$2</f>
        <v>53.2111169462948</v>
      </c>
      <c r="E297" s="3" t="n">
        <f aca="false">C297*100/C$2</f>
        <v>58.7802804929877</v>
      </c>
      <c r="F297" s="0" t="n">
        <v>61.5239503579424</v>
      </c>
      <c r="G297" s="0" t="n">
        <v>86.982155211167</v>
      </c>
      <c r="H297" s="0" t="n">
        <v>65.5206119847004</v>
      </c>
      <c r="I297" s="0" t="n">
        <v>-21.4615432264666</v>
      </c>
    </row>
    <row r="298" customFormat="false" ht="13.8" hidden="false" customHeight="false" outlineLevel="0" collapsed="false">
      <c r="A298" s="2" t="n">
        <v>39867</v>
      </c>
      <c r="B298" s="0" t="n">
        <v>743.33</v>
      </c>
      <c r="C298" s="0" t="n">
        <v>142.78</v>
      </c>
      <c r="D298" s="3" t="n">
        <f aca="false">B298*100/B$2</f>
        <v>51.3647419773902</v>
      </c>
      <c r="E298" s="3" t="n">
        <f aca="false">C298*100/C$2</f>
        <v>60.679983000425</v>
      </c>
      <c r="F298" s="0" t="n">
        <v>60.1357140882833</v>
      </c>
      <c r="G298" s="0" t="n">
        <v>86.5184284708989</v>
      </c>
      <c r="H298" s="0" t="n">
        <v>64.177645558861</v>
      </c>
      <c r="I298" s="0" t="n">
        <v>-22.3407829120378</v>
      </c>
    </row>
    <row r="299" customFormat="false" ht="13.8" hidden="false" customHeight="false" outlineLevel="0" collapsed="false">
      <c r="A299" s="2" t="n">
        <v>39868</v>
      </c>
      <c r="B299" s="0" t="n">
        <v>773.14</v>
      </c>
      <c r="C299" s="0" t="n">
        <v>137.82</v>
      </c>
      <c r="D299" s="3" t="n">
        <f aca="false">B299*100/B$2</f>
        <v>53.4246386025042</v>
      </c>
      <c r="E299" s="3" t="n">
        <f aca="false">C299*100/C$2</f>
        <v>58.5720356991075</v>
      </c>
      <c r="F299" s="0" t="n">
        <v>60.2414384034937</v>
      </c>
      <c r="G299" s="0" t="n">
        <v>86.5537446437515</v>
      </c>
      <c r="H299" s="0" t="n">
        <v>64.7896302592435</v>
      </c>
      <c r="I299" s="0" t="n">
        <v>-21.764114384508</v>
      </c>
    </row>
    <row r="300" customFormat="false" ht="13.8" hidden="false" customHeight="false" outlineLevel="0" collapsed="false">
      <c r="A300" s="2" t="n">
        <v>39869</v>
      </c>
      <c r="B300" s="0" t="n">
        <v>764.9</v>
      </c>
      <c r="C300" s="0" t="n">
        <v>138.65</v>
      </c>
      <c r="D300" s="3" t="n">
        <f aca="false">B300*100/B$2</f>
        <v>52.8552475192791</v>
      </c>
      <c r="E300" s="3" t="n">
        <f aca="false">C300*100/C$2</f>
        <v>58.924776880578</v>
      </c>
      <c r="F300" s="0" t="n">
        <v>58.2257663285331</v>
      </c>
      <c r="G300" s="0" t="n">
        <v>85.880429112959</v>
      </c>
      <c r="H300" s="0" t="n">
        <v>65.660858478538</v>
      </c>
      <c r="I300" s="0" t="n">
        <v>-20.219570634421</v>
      </c>
    </row>
    <row r="301" customFormat="false" ht="13.8" hidden="false" customHeight="false" outlineLevel="0" collapsed="false">
      <c r="A301" s="2" t="n">
        <v>39870</v>
      </c>
      <c r="B301" s="0" t="n">
        <v>752.83</v>
      </c>
      <c r="C301" s="0" t="n">
        <v>136.98</v>
      </c>
      <c r="D301" s="3" t="n">
        <f aca="false">B301*100/B$2</f>
        <v>52.0212001437298</v>
      </c>
      <c r="E301" s="3" t="n">
        <f aca="false">C301*100/C$2</f>
        <v>58.2150446238844</v>
      </c>
      <c r="F301" s="0" t="n">
        <v>58.3031592913016</v>
      </c>
      <c r="G301" s="0" t="n">
        <v>85.9062814747858</v>
      </c>
      <c r="H301" s="0" t="n">
        <v>61.644708882278</v>
      </c>
      <c r="I301" s="0" t="n">
        <v>-24.2615725925079</v>
      </c>
    </row>
    <row r="302" customFormat="false" ht="13.8" hidden="false" customHeight="false" outlineLevel="0" collapsed="false">
      <c r="A302" s="2" t="n">
        <v>39871</v>
      </c>
      <c r="B302" s="0" t="n">
        <v>735.09</v>
      </c>
      <c r="C302" s="0" t="n">
        <v>138.07</v>
      </c>
      <c r="D302" s="3" t="n">
        <f aca="false">B302*100/B$2</f>
        <v>50.7953508941651</v>
      </c>
      <c r="E302" s="3" t="n">
        <f aca="false">C302*100/C$2</f>
        <v>58.6782830429239</v>
      </c>
      <c r="F302" s="0" t="n">
        <v>58.7440227756433</v>
      </c>
      <c r="G302" s="0" t="n">
        <v>86.0535476073349</v>
      </c>
      <c r="H302" s="0" t="n">
        <v>62.9111772205695</v>
      </c>
      <c r="I302" s="0" t="n">
        <v>-23.1423703867654</v>
      </c>
    </row>
    <row r="303" customFormat="false" ht="13.8" hidden="false" customHeight="false" outlineLevel="0" collapsed="false">
      <c r="A303" s="2" t="n">
        <v>39874</v>
      </c>
      <c r="B303" s="0" t="n">
        <v>700.82</v>
      </c>
      <c r="C303" s="0" t="n">
        <v>132.47</v>
      </c>
      <c r="D303" s="3" t="n">
        <f aca="false">B303*100/B$2</f>
        <v>48.4272644351696</v>
      </c>
      <c r="E303" s="3" t="n">
        <f aca="false">C303*100/C$2</f>
        <v>56.2983425414365</v>
      </c>
      <c r="F303" s="0" t="n">
        <v>58.7440227756433</v>
      </c>
      <c r="G303" s="0" t="n">
        <v>86.0535476073349</v>
      </c>
      <c r="H303" s="0" t="n">
        <v>63.7569060773481</v>
      </c>
      <c r="I303" s="0" t="n">
        <v>-22.2966415299868</v>
      </c>
    </row>
    <row r="304" customFormat="false" ht="13.8" hidden="false" customHeight="false" outlineLevel="0" collapsed="false">
      <c r="A304" s="2" t="n">
        <v>39875</v>
      </c>
      <c r="B304" s="0" t="n">
        <v>696.33</v>
      </c>
      <c r="C304" s="0" t="n">
        <v>133.78</v>
      </c>
      <c r="D304" s="3" t="n">
        <f aca="false">B304*100/B$2</f>
        <v>48.1170015754996</v>
      </c>
      <c r="E304" s="3" t="n">
        <f aca="false">C304*100/C$2</f>
        <v>56.8550786230344</v>
      </c>
      <c r="F304" s="0" t="n">
        <v>55.6413941789436</v>
      </c>
      <c r="G304" s="0" t="n">
        <v>85.0171448876714</v>
      </c>
      <c r="H304" s="0" t="n">
        <v>62.2821929451764</v>
      </c>
      <c r="I304" s="0" t="n">
        <v>-22.734951942495</v>
      </c>
    </row>
    <row r="305" customFormat="false" ht="13.8" hidden="false" customHeight="false" outlineLevel="0" collapsed="false">
      <c r="A305" s="2" t="n">
        <v>39876</v>
      </c>
      <c r="B305" s="0" t="n">
        <v>712.87</v>
      </c>
      <c r="C305" s="0" t="n">
        <v>138.21</v>
      </c>
      <c r="D305" s="3" t="n">
        <f aca="false">B305*100/B$2</f>
        <v>49.2599297935266</v>
      </c>
      <c r="E305" s="3" t="n">
        <f aca="false">C305*100/C$2</f>
        <v>58.7377815554611</v>
      </c>
      <c r="F305" s="0" t="n">
        <v>58.0613062826502</v>
      </c>
      <c r="G305" s="0" t="n">
        <v>85.8254928440771</v>
      </c>
      <c r="H305" s="0" t="n">
        <v>60.8967275818105</v>
      </c>
      <c r="I305" s="0" t="n">
        <v>-24.9287652622666</v>
      </c>
    </row>
    <row r="306" customFormat="false" ht="13.8" hidden="false" customHeight="false" outlineLevel="0" collapsed="false">
      <c r="A306" s="2" t="n">
        <v>39877</v>
      </c>
      <c r="B306" s="0" t="n">
        <v>682.55</v>
      </c>
      <c r="C306" s="0" t="n">
        <v>138.25</v>
      </c>
      <c r="D306" s="3" t="n">
        <f aca="false">B306*100/B$2</f>
        <v>47.1647917300091</v>
      </c>
      <c r="E306" s="3" t="n">
        <f aca="false">C306*100/C$2</f>
        <v>58.7547811304717</v>
      </c>
      <c r="F306" s="0" t="n">
        <v>57.180961331159</v>
      </c>
      <c r="G306" s="0" t="n">
        <v>85.5314222282973</v>
      </c>
      <c r="H306" s="0" t="n">
        <v>61.6702082447939</v>
      </c>
      <c r="I306" s="0" t="n">
        <v>-23.8612139835034</v>
      </c>
    </row>
    <row r="307" customFormat="false" ht="13.8" hidden="false" customHeight="false" outlineLevel="0" collapsed="false">
      <c r="A307" s="2" t="n">
        <v>39878</v>
      </c>
      <c r="B307" s="0" t="n">
        <v>683.38</v>
      </c>
      <c r="C307" s="0" t="n">
        <v>137.83</v>
      </c>
      <c r="D307" s="3" t="n">
        <f aca="false">B307*100/B$2</f>
        <v>47.2221454434893</v>
      </c>
      <c r="E307" s="3" t="n">
        <f aca="false">C307*100/C$2</f>
        <v>58.5762855928602</v>
      </c>
      <c r="F307" s="0" t="n">
        <v>57.4884601564443</v>
      </c>
      <c r="G307" s="0" t="n">
        <v>85.634139201627</v>
      </c>
      <c r="H307" s="0" t="n">
        <v>60.2422439439014</v>
      </c>
      <c r="I307" s="0" t="n">
        <v>-25.3918952577256</v>
      </c>
    </row>
    <row r="308" customFormat="false" ht="13.8" hidden="false" customHeight="false" outlineLevel="0" collapsed="false">
      <c r="A308" s="2" t="n">
        <v>39881</v>
      </c>
      <c r="B308" s="0" t="n">
        <v>676.53</v>
      </c>
      <c r="C308" s="0" t="n">
        <v>140</v>
      </c>
      <c r="D308" s="3" t="n">
        <f aca="false">B308*100/B$2</f>
        <v>46.7488045551287</v>
      </c>
      <c r="E308" s="3" t="n">
        <f aca="false">C308*100/C$2</f>
        <v>59.4985125371866</v>
      </c>
      <c r="F308" s="0" t="n">
        <v>57.8077061278642</v>
      </c>
      <c r="G308" s="0" t="n">
        <v>85.7407801941625</v>
      </c>
      <c r="H308" s="0" t="n">
        <v>60.2422439439014</v>
      </c>
      <c r="I308" s="0" t="n">
        <v>-25.4985362502611</v>
      </c>
    </row>
    <row r="309" customFormat="false" ht="13.8" hidden="false" customHeight="false" outlineLevel="0" collapsed="false">
      <c r="A309" s="2" t="n">
        <v>39882</v>
      </c>
      <c r="B309" s="0" t="n">
        <v>719.6</v>
      </c>
      <c r="C309" s="0" t="n">
        <v>142.73</v>
      </c>
      <c r="D309" s="3" t="n">
        <f aca="false">B309*100/B$2</f>
        <v>49.7249785787335</v>
      </c>
      <c r="E309" s="3" t="n">
        <f aca="false">C309*100/C$2</f>
        <v>60.6587335316617</v>
      </c>
      <c r="F309" s="0" t="n">
        <v>58.4392879847425</v>
      </c>
      <c r="G309" s="0" t="n">
        <v>85.9517539326419</v>
      </c>
      <c r="H309" s="0" t="n">
        <v>60.2422439439014</v>
      </c>
      <c r="I309" s="0" t="n">
        <v>-25.7095099887405</v>
      </c>
    </row>
    <row r="310" customFormat="false" ht="13.8" hidden="false" customHeight="false" outlineLevel="0" collapsed="false">
      <c r="A310" s="2" t="n">
        <v>39883</v>
      </c>
      <c r="B310" s="0" t="n">
        <v>721.36</v>
      </c>
      <c r="C310" s="0" t="n">
        <v>147.6</v>
      </c>
      <c r="D310" s="3" t="n">
        <f aca="false">B310*100/B$2</f>
        <v>49.8465960916554</v>
      </c>
      <c r="E310" s="3" t="n">
        <f aca="false">C310*100/C$2</f>
        <v>62.7284317892053</v>
      </c>
      <c r="F310" s="0" t="n">
        <v>60.4003703806075</v>
      </c>
      <c r="G310" s="0" t="n">
        <v>86.6068343153601</v>
      </c>
      <c r="H310" s="0" t="n">
        <v>64.190395240119</v>
      </c>
      <c r="I310" s="0" t="n">
        <v>-22.4164390752411</v>
      </c>
    </row>
    <row r="311" customFormat="false" ht="13.8" hidden="false" customHeight="false" outlineLevel="0" collapsed="false">
      <c r="A311" s="2" t="n">
        <v>39884</v>
      </c>
      <c r="B311" s="0" t="n">
        <v>750.74</v>
      </c>
      <c r="C311" s="0" t="n">
        <v>148.02</v>
      </c>
      <c r="D311" s="3" t="n">
        <f aca="false">B311*100/B$2</f>
        <v>51.8767793471351</v>
      </c>
      <c r="E311" s="3" t="n">
        <f aca="false">C311*100/C$2</f>
        <v>62.9069273268168</v>
      </c>
      <c r="F311" s="0" t="n">
        <v>58.3999004947622</v>
      </c>
      <c r="G311" s="0" t="n">
        <v>85.9385969270693</v>
      </c>
      <c r="H311" s="0" t="n">
        <v>64.721631959201</v>
      </c>
      <c r="I311" s="0" t="n">
        <v>-21.2169649678683</v>
      </c>
    </row>
    <row r="312" customFormat="false" ht="13.8" hidden="false" customHeight="false" outlineLevel="0" collapsed="false">
      <c r="A312" s="2" t="n">
        <v>39885</v>
      </c>
      <c r="B312" s="0" t="n">
        <v>756.55</v>
      </c>
      <c r="C312" s="0" t="n">
        <v>147.29</v>
      </c>
      <c r="D312" s="3" t="n">
        <f aca="false">B312*100/B$2</f>
        <v>52.2782553414965</v>
      </c>
      <c r="E312" s="3" t="n">
        <f aca="false">C312*100/C$2</f>
        <v>62.5966850828729</v>
      </c>
      <c r="F312" s="0" t="n">
        <v>57.0690179385832</v>
      </c>
      <c r="G312" s="0" t="n">
        <v>85.4940286335121</v>
      </c>
      <c r="H312" s="0" t="n">
        <v>64.313642158946</v>
      </c>
      <c r="I312" s="0" t="n">
        <v>-21.1803864745661</v>
      </c>
    </row>
    <row r="313" customFormat="false" ht="13.8" hidden="false" customHeight="false" outlineLevel="0" collapsed="false">
      <c r="A313" s="2" t="n">
        <v>39888</v>
      </c>
      <c r="B313" s="0" t="n">
        <v>753.89</v>
      </c>
      <c r="C313" s="0" t="n">
        <v>147</v>
      </c>
      <c r="D313" s="3" t="n">
        <f aca="false">B313*100/B$2</f>
        <v>52.0944470549214</v>
      </c>
      <c r="E313" s="3" t="n">
        <f aca="false">C313*100/C$2</f>
        <v>62.4734381640459</v>
      </c>
      <c r="F313" s="0" t="n">
        <v>57.0386135603527</v>
      </c>
      <c r="G313" s="0" t="n">
        <v>85.4838723485087</v>
      </c>
      <c r="H313" s="0" t="n">
        <v>63.3234169145771</v>
      </c>
      <c r="I313" s="0" t="n">
        <v>-22.1604554339316</v>
      </c>
    </row>
    <row r="314" customFormat="false" ht="13.8" hidden="false" customHeight="false" outlineLevel="0" collapsed="false">
      <c r="A314" s="2" t="n">
        <v>39889</v>
      </c>
      <c r="B314" s="0" t="n">
        <v>778.12</v>
      </c>
      <c r="C314" s="0" t="n">
        <v>152.17</v>
      </c>
      <c r="D314" s="3" t="n">
        <f aca="false">B314*100/B$2</f>
        <v>53.7687608833854</v>
      </c>
      <c r="E314" s="3" t="n">
        <f aca="false">C314*100/C$2</f>
        <v>64.6706332341691</v>
      </c>
      <c r="F314" s="0" t="n">
        <v>57.9417617955167</v>
      </c>
      <c r="G314" s="0" t="n">
        <v>85.785560178041</v>
      </c>
      <c r="H314" s="0" t="n">
        <v>64.3518912027199</v>
      </c>
      <c r="I314" s="0" t="n">
        <v>-21.4336689753211</v>
      </c>
    </row>
    <row r="315" customFormat="false" ht="13.8" hidden="false" customHeight="false" outlineLevel="0" collapsed="false">
      <c r="A315" s="2" t="n">
        <v>39890</v>
      </c>
      <c r="B315" s="0" t="n">
        <v>794.35</v>
      </c>
      <c r="C315" s="0" t="n">
        <v>152.89</v>
      </c>
      <c r="D315" s="3" t="n">
        <f aca="false">B315*100/B$2</f>
        <v>54.8902678349319</v>
      </c>
      <c r="E315" s="3" t="n">
        <f aca="false">C315*100/C$2</f>
        <v>64.9766255843604</v>
      </c>
      <c r="F315" s="0" t="n">
        <v>57.5078083971365</v>
      </c>
      <c r="G315" s="0" t="n">
        <v>85.6406022920837</v>
      </c>
      <c r="H315" s="0" t="n">
        <v>66.2940926476838</v>
      </c>
      <c r="I315" s="0" t="n">
        <v>-19.3465096443998</v>
      </c>
    </row>
    <row r="316" customFormat="false" ht="13.8" hidden="false" customHeight="false" outlineLevel="0" collapsed="false">
      <c r="A316" s="2" t="n">
        <v>39891</v>
      </c>
      <c r="B316" s="0" t="n">
        <v>784.04</v>
      </c>
      <c r="C316" s="0" t="n">
        <v>151.51</v>
      </c>
      <c r="D316" s="3" t="n">
        <f aca="false">B316*100/B$2</f>
        <v>54.1778379723044</v>
      </c>
      <c r="E316" s="3" t="n">
        <f aca="false">C316*100/C$2</f>
        <v>64.3901402464938</v>
      </c>
      <c r="F316" s="0" t="n">
        <v>58.4489621050886</v>
      </c>
      <c r="G316" s="0" t="n">
        <v>85.9549854778702</v>
      </c>
      <c r="H316" s="0" t="n">
        <v>65.4483637909052</v>
      </c>
      <c r="I316" s="0" t="n">
        <v>-20.506621686965</v>
      </c>
    </row>
    <row r="317" customFormat="false" ht="13.8" hidden="false" customHeight="false" outlineLevel="0" collapsed="false">
      <c r="A317" s="2" t="n">
        <v>39892</v>
      </c>
      <c r="B317" s="0" t="n">
        <v>768.54</v>
      </c>
      <c r="C317" s="0" t="n">
        <v>152.58</v>
      </c>
      <c r="D317" s="3" t="n">
        <f aca="false">B317*100/B$2</f>
        <v>53.1067746482766</v>
      </c>
      <c r="E317" s="3" t="n">
        <f aca="false">C317*100/C$2</f>
        <v>64.8448788780281</v>
      </c>
      <c r="F317" s="0" t="n">
        <v>60.0210066613229</v>
      </c>
      <c r="G317" s="0" t="n">
        <v>86.480111577477</v>
      </c>
      <c r="H317" s="0" t="n">
        <v>67.5308117297068</v>
      </c>
      <c r="I317" s="0" t="n">
        <v>-18.9492998477702</v>
      </c>
    </row>
    <row r="318" customFormat="false" ht="13.8" hidden="false" customHeight="false" outlineLevel="0" collapsed="false">
      <c r="A318" s="2" t="n">
        <v>39895</v>
      </c>
      <c r="B318" s="0" t="n">
        <v>822.92</v>
      </c>
      <c r="C318" s="0" t="n">
        <v>156.42</v>
      </c>
      <c r="D318" s="3" t="n">
        <f aca="false">B318*100/B$2</f>
        <v>56.8644793941237</v>
      </c>
      <c r="E318" s="3" t="n">
        <f aca="false">C318*100/C$2</f>
        <v>66.476838079048</v>
      </c>
      <c r="F318" s="0" t="n">
        <v>60.1101467702258</v>
      </c>
      <c r="G318" s="0" t="n">
        <v>86.5098879585096</v>
      </c>
      <c r="H318" s="0" t="n">
        <v>67.020824479388</v>
      </c>
      <c r="I318" s="0" t="n">
        <v>-19.4890634791216</v>
      </c>
    </row>
    <row r="319" customFormat="false" ht="13.8" hidden="false" customHeight="false" outlineLevel="0" collapsed="false">
      <c r="A319" s="2" t="n">
        <v>39896</v>
      </c>
      <c r="B319" s="0" t="n">
        <v>806.25</v>
      </c>
      <c r="C319" s="0" t="n">
        <v>159.56</v>
      </c>
      <c r="D319" s="3" t="n">
        <f aca="false">B319*100/B$2</f>
        <v>55.7125680643467</v>
      </c>
      <c r="E319" s="3" t="n">
        <f aca="false">C319*100/C$2</f>
        <v>67.8113047173821</v>
      </c>
      <c r="F319" s="0" t="n">
        <v>57.15746703889</v>
      </c>
      <c r="G319" s="0" t="n">
        <v>85.5235741898856</v>
      </c>
      <c r="H319" s="0" t="n">
        <v>66.6553336166596</v>
      </c>
      <c r="I319" s="0" t="n">
        <v>-18.868240573226</v>
      </c>
    </row>
    <row r="320" customFormat="false" ht="13.8" hidden="false" customHeight="false" outlineLevel="0" collapsed="false">
      <c r="A320" s="2" t="n">
        <v>39897</v>
      </c>
      <c r="B320" s="0" t="n">
        <v>813.88</v>
      </c>
      <c r="C320" s="0" t="n">
        <v>160.28</v>
      </c>
      <c r="D320" s="3" t="n">
        <f aca="false">B320*100/B$2</f>
        <v>56.2398076232068</v>
      </c>
      <c r="E320" s="3" t="n">
        <f aca="false">C320*100/C$2</f>
        <v>68.1172970675733</v>
      </c>
      <c r="F320" s="0" t="n">
        <v>57.6121506951546</v>
      </c>
      <c r="G320" s="0" t="n">
        <v>85.675456815618</v>
      </c>
      <c r="H320" s="0" t="n">
        <v>65.9838504037399</v>
      </c>
      <c r="I320" s="0" t="n">
        <v>-19.6916064118781</v>
      </c>
    </row>
    <row r="321" customFormat="false" ht="13.8" hidden="false" customHeight="false" outlineLevel="0" collapsed="false">
      <c r="A321" s="2" t="n">
        <v>39898</v>
      </c>
      <c r="B321" s="0" t="n">
        <v>832.86</v>
      </c>
      <c r="C321" s="0" t="n">
        <v>162.22</v>
      </c>
      <c r="D321" s="3" t="n">
        <f aca="false">B321*100/B$2</f>
        <v>57.5513419386937</v>
      </c>
      <c r="E321" s="3" t="n">
        <f aca="false">C321*100/C$2</f>
        <v>68.9417764555886</v>
      </c>
      <c r="F321" s="0" t="n">
        <v>57.712346941596</v>
      </c>
      <c r="G321" s="0" t="n">
        <v>85.7089263911973</v>
      </c>
      <c r="H321" s="0" t="n">
        <v>65.3038674033149</v>
      </c>
      <c r="I321" s="0" t="n">
        <v>-20.4050589878824</v>
      </c>
    </row>
    <row r="322" customFormat="false" ht="13.8" hidden="false" customHeight="false" outlineLevel="0" collapsed="false">
      <c r="A322" s="2" t="n">
        <v>39899</v>
      </c>
      <c r="B322" s="0" t="n">
        <v>815.94</v>
      </c>
      <c r="C322" s="0" t="n">
        <v>161.66</v>
      </c>
      <c r="D322" s="3" t="n">
        <f aca="false">B322*100/B$2</f>
        <v>56.3821553940131</v>
      </c>
      <c r="E322" s="3" t="n">
        <f aca="false">C322*100/C$2</f>
        <v>68.7037824054399</v>
      </c>
      <c r="F322" s="0" t="n">
        <v>57.1353547638133</v>
      </c>
      <c r="G322" s="0" t="n">
        <v>85.5161878007922</v>
      </c>
      <c r="H322" s="0" t="n">
        <v>65.9541011474713</v>
      </c>
      <c r="I322" s="0" t="n">
        <v>-19.5620866533209</v>
      </c>
    </row>
    <row r="323" customFormat="false" ht="13.8" hidden="false" customHeight="false" outlineLevel="0" collapsed="false">
      <c r="A323" s="2" t="n">
        <v>39902</v>
      </c>
      <c r="B323" s="0" t="n">
        <v>787.53</v>
      </c>
      <c r="C323" s="0" t="n">
        <v>156.23</v>
      </c>
      <c r="D323" s="3" t="n">
        <f aca="false">B323*100/B$2</f>
        <v>54.4189999723597</v>
      </c>
      <c r="E323" s="3" t="n">
        <f aca="false">C323*100/C$2</f>
        <v>66.3960900977475</v>
      </c>
      <c r="F323" s="0" t="n">
        <v>57.1353547638133</v>
      </c>
      <c r="G323" s="0" t="n">
        <v>85.5161878007922</v>
      </c>
      <c r="H323" s="0" t="n">
        <v>64.8788780280493</v>
      </c>
      <c r="I323" s="0" t="n">
        <v>-20.6373097727429</v>
      </c>
    </row>
    <row r="324" customFormat="false" ht="13.8" hidden="false" customHeight="false" outlineLevel="0" collapsed="false">
      <c r="A324" s="2" t="n">
        <v>39903</v>
      </c>
      <c r="B324" s="0" t="n">
        <v>797.87</v>
      </c>
      <c r="C324" s="0" t="n">
        <v>157.01</v>
      </c>
      <c r="D324" s="3" t="n">
        <f aca="false">B324*100/B$2</f>
        <v>55.1335028607756</v>
      </c>
      <c r="E324" s="3" t="n">
        <f aca="false">C324*100/C$2</f>
        <v>66.7275818104547</v>
      </c>
      <c r="F324" s="0" t="n">
        <v>54.5323253821278</v>
      </c>
      <c r="G324" s="0" t="n">
        <v>84.6466713097071</v>
      </c>
      <c r="H324" s="0" t="n">
        <v>62.3034424139397</v>
      </c>
      <c r="I324" s="0" t="n">
        <v>-22.3432288957674</v>
      </c>
    </row>
    <row r="325" customFormat="false" ht="13.8" hidden="false" customHeight="false" outlineLevel="0" collapsed="false">
      <c r="A325" s="2" t="n">
        <v>39904</v>
      </c>
      <c r="B325" s="0" t="n">
        <v>811.08</v>
      </c>
      <c r="C325" s="0" t="n">
        <v>160.46</v>
      </c>
      <c r="D325" s="3" t="n">
        <f aca="false">B325*100/B$2</f>
        <v>56.0463252162857</v>
      </c>
      <c r="E325" s="3" t="n">
        <f aca="false">C325*100/C$2</f>
        <v>68.1937951551211</v>
      </c>
      <c r="F325" s="0" t="n">
        <v>54.4804997374167</v>
      </c>
      <c r="G325" s="0" t="n">
        <v>84.6293594602695</v>
      </c>
      <c r="H325" s="0" t="n">
        <v>61.2877178070548</v>
      </c>
      <c r="I325" s="0" t="n">
        <v>-23.3416416532147</v>
      </c>
    </row>
    <row r="326" customFormat="false" ht="13.8" hidden="false" customHeight="false" outlineLevel="0" collapsed="false">
      <c r="A326" s="2" t="n">
        <v>39905</v>
      </c>
      <c r="B326" s="0" t="n">
        <v>834.38</v>
      </c>
      <c r="C326" s="0" t="n">
        <v>166.18</v>
      </c>
      <c r="D326" s="3" t="n">
        <f aca="false">B326*100/B$2</f>
        <v>57.656375245308</v>
      </c>
      <c r="E326" s="3" t="n">
        <f aca="false">C326*100/C$2</f>
        <v>70.6247343816405</v>
      </c>
      <c r="F326" s="0" t="n">
        <v>53.8254235882694</v>
      </c>
      <c r="G326" s="0" t="n">
        <v>84.4105376833784</v>
      </c>
      <c r="H326" s="0" t="n">
        <v>61.0284742881428</v>
      </c>
      <c r="I326" s="0" t="n">
        <v>-23.3820633952356</v>
      </c>
    </row>
    <row r="327" customFormat="false" ht="13.8" hidden="false" customHeight="false" outlineLevel="0" collapsed="false">
      <c r="A327" s="2" t="n">
        <v>39906</v>
      </c>
      <c r="B327" s="0" t="n">
        <v>842.5</v>
      </c>
      <c r="C327" s="0" t="n">
        <v>167.11</v>
      </c>
      <c r="D327" s="3" t="n">
        <f aca="false">B327*100/B$2</f>
        <v>58.2174742253794</v>
      </c>
      <c r="E327" s="3" t="n">
        <f aca="false">C327*100/C$2</f>
        <v>71.0199745006375</v>
      </c>
      <c r="F327" s="0" t="n">
        <v>53.2111169462948</v>
      </c>
      <c r="G327" s="0" t="n">
        <v>84.2053345613782</v>
      </c>
      <c r="H327" s="0" t="n">
        <v>58.7802804929877</v>
      </c>
      <c r="I327" s="0" t="n">
        <v>-25.4250540683905</v>
      </c>
    </row>
    <row r="328" customFormat="false" ht="13.8" hidden="false" customHeight="false" outlineLevel="0" collapsed="false">
      <c r="A328" s="2" t="n">
        <v>39909</v>
      </c>
      <c r="B328" s="0" t="n">
        <v>835.48</v>
      </c>
      <c r="C328" s="0" t="n">
        <v>168.62</v>
      </c>
      <c r="D328" s="3" t="n">
        <f aca="false">B328*100/B$2</f>
        <v>57.7323861908842</v>
      </c>
      <c r="E328" s="3" t="n">
        <f aca="false">C328*100/C$2</f>
        <v>71.6617084572886</v>
      </c>
      <c r="F328" s="0" t="n">
        <v>51.3647419773902</v>
      </c>
      <c r="G328" s="0" t="n">
        <v>83.5885710720818</v>
      </c>
      <c r="H328" s="0" t="n">
        <v>60.679983000425</v>
      </c>
      <c r="I328" s="0" t="n">
        <v>-22.9085880716568</v>
      </c>
    </row>
    <row r="329" customFormat="false" ht="13.8" hidden="false" customHeight="false" outlineLevel="0" collapsed="false">
      <c r="A329" s="2" t="n">
        <v>39910</v>
      </c>
      <c r="B329" s="0" t="n">
        <v>815.55</v>
      </c>
      <c r="C329" s="0" t="n">
        <v>168.34</v>
      </c>
      <c r="D329" s="3" t="n">
        <f aca="false">B329*100/B$2</f>
        <v>56.3552060587634</v>
      </c>
      <c r="E329" s="3" t="n">
        <f aca="false">C329*100/C$2</f>
        <v>71.5427114322142</v>
      </c>
      <c r="F329" s="0" t="n">
        <v>53.4246386025042</v>
      </c>
      <c r="G329" s="0" t="n">
        <v>84.2766593810611</v>
      </c>
      <c r="H329" s="0" t="n">
        <v>58.5720356991075</v>
      </c>
      <c r="I329" s="0" t="n">
        <v>-25.7046236819535</v>
      </c>
    </row>
    <row r="330" customFormat="false" ht="13.8" hidden="false" customHeight="false" outlineLevel="0" collapsed="false">
      <c r="A330" s="2" t="n">
        <v>39911</v>
      </c>
      <c r="B330" s="0" t="n">
        <v>825.16</v>
      </c>
      <c r="C330" s="0" t="n">
        <v>162.68</v>
      </c>
      <c r="D330" s="3" t="n">
        <f aca="false">B330*100/B$2</f>
        <v>57.0192653196606</v>
      </c>
      <c r="E330" s="3" t="n">
        <f aca="false">C330*100/C$2</f>
        <v>69.1372715682108</v>
      </c>
      <c r="F330" s="0" t="n">
        <v>52.8552475192791</v>
      </c>
      <c r="G330" s="0" t="n">
        <v>84.0864598619068</v>
      </c>
      <c r="H330" s="0" t="n">
        <v>58.924776880578</v>
      </c>
      <c r="I330" s="0" t="n">
        <v>-25.1616829813288</v>
      </c>
    </row>
    <row r="331" customFormat="false" ht="13.8" hidden="false" customHeight="false" outlineLevel="0" collapsed="false">
      <c r="A331" s="2" t="n">
        <v>39912</v>
      </c>
      <c r="B331" s="0" t="n">
        <v>856.56</v>
      </c>
      <c r="C331" s="0" t="n">
        <v>169.48</v>
      </c>
      <c r="D331" s="3" t="n">
        <f aca="false">B331*100/B$2</f>
        <v>59.189032311562</v>
      </c>
      <c r="E331" s="3" t="n">
        <f aca="false">C331*100/C$2</f>
        <v>72.027199320017</v>
      </c>
      <c r="F331" s="0" t="n">
        <v>52.0212001437298</v>
      </c>
      <c r="G331" s="0" t="n">
        <v>83.8078544982912</v>
      </c>
      <c r="H331" s="0" t="n">
        <v>58.2150446238844</v>
      </c>
      <c r="I331" s="0" t="n">
        <v>-25.5928098744068</v>
      </c>
    </row>
    <row r="332" customFormat="false" ht="13.8" hidden="false" customHeight="false" outlineLevel="0" collapsed="false">
      <c r="A332" s="2" t="n">
        <v>39913</v>
      </c>
      <c r="B332" s="0" t="n">
        <v>856.56</v>
      </c>
      <c r="C332" s="0" t="n">
        <v>172.01</v>
      </c>
      <c r="D332" s="3" t="n">
        <f aca="false">B332*100/B$2</f>
        <v>59.189032311562</v>
      </c>
      <c r="E332" s="3" t="n">
        <f aca="false">C332*100/C$2</f>
        <v>73.102422439439</v>
      </c>
      <c r="F332" s="0" t="n">
        <v>50.7953508941651</v>
      </c>
      <c r="G332" s="0" t="n">
        <v>83.3983715529275</v>
      </c>
      <c r="H332" s="0" t="n">
        <v>58.6782830429239</v>
      </c>
      <c r="I332" s="0" t="n">
        <v>-24.7200885100036</v>
      </c>
    </row>
    <row r="333" customFormat="false" ht="13.8" hidden="false" customHeight="false" outlineLevel="0" collapsed="false">
      <c r="A333" s="2" t="n">
        <v>39916</v>
      </c>
      <c r="B333" s="0" t="n">
        <v>858.73</v>
      </c>
      <c r="C333" s="0" t="n">
        <v>171.69</v>
      </c>
      <c r="D333" s="3" t="n">
        <f aca="false">B333*100/B$2</f>
        <v>59.3389811769258</v>
      </c>
      <c r="E333" s="3" t="n">
        <f aca="false">C333*100/C$2</f>
        <v>72.966425839354</v>
      </c>
      <c r="F333" s="0" t="n">
        <v>48.4272644351696</v>
      </c>
      <c r="G333" s="0" t="n">
        <v>82.6073354459594</v>
      </c>
      <c r="H333" s="0" t="n">
        <v>56.2983425414365</v>
      </c>
      <c r="I333" s="0" t="n">
        <v>-26.308992904523</v>
      </c>
    </row>
    <row r="334" customFormat="false" ht="13.8" hidden="false" customHeight="false" outlineLevel="0" collapsed="false">
      <c r="A334" s="2" t="n">
        <v>39917</v>
      </c>
      <c r="B334" s="0" t="n">
        <v>841.5</v>
      </c>
      <c r="C334" s="0" t="n">
        <v>172.03</v>
      </c>
      <c r="D334" s="3" t="n">
        <f aca="false">B334*100/B$2</f>
        <v>58.1483733657647</v>
      </c>
      <c r="E334" s="3" t="n">
        <f aca="false">C334*100/C$2</f>
        <v>73.1109222269443</v>
      </c>
      <c r="F334" s="0" t="n">
        <v>48.1170015754996</v>
      </c>
      <c r="G334" s="0" t="n">
        <v>82.5036951739931</v>
      </c>
      <c r="H334" s="0" t="n">
        <v>56.8550786230344</v>
      </c>
      <c r="I334" s="0" t="n">
        <v>-25.6486165509587</v>
      </c>
    </row>
    <row r="335" customFormat="false" ht="13.8" hidden="false" customHeight="false" outlineLevel="0" collapsed="false">
      <c r="A335" s="2" t="n">
        <v>39918</v>
      </c>
      <c r="B335" s="0" t="n">
        <v>852.06</v>
      </c>
      <c r="C335" s="0" t="n">
        <v>171.21</v>
      </c>
      <c r="D335" s="3" t="n">
        <f aca="false">B335*100/B$2</f>
        <v>58.8780784432958</v>
      </c>
      <c r="E335" s="3" t="n">
        <f aca="false">C335*100/C$2</f>
        <v>72.7624309392265</v>
      </c>
      <c r="F335" s="0" t="n">
        <v>49.2599297935266</v>
      </c>
      <c r="G335" s="0" t="n">
        <v>82.8854791602567</v>
      </c>
      <c r="H335" s="0" t="n">
        <v>58.7377815554611</v>
      </c>
      <c r="I335" s="0" t="n">
        <v>-24.1476976047955</v>
      </c>
    </row>
    <row r="336" customFormat="false" ht="13.8" hidden="false" customHeight="false" outlineLevel="0" collapsed="false">
      <c r="A336" s="2" t="n">
        <v>39919</v>
      </c>
      <c r="B336" s="0" t="n">
        <v>865.3</v>
      </c>
      <c r="C336" s="0" t="n">
        <v>171.73</v>
      </c>
      <c r="D336" s="3" t="n">
        <f aca="false">B336*100/B$2</f>
        <v>59.7929738245944</v>
      </c>
      <c r="E336" s="3" t="n">
        <f aca="false">C336*100/C$2</f>
        <v>72.9834254143646</v>
      </c>
      <c r="F336" s="0" t="n">
        <v>47.1647917300091</v>
      </c>
      <c r="G336" s="0" t="n">
        <v>82.1856187936598</v>
      </c>
      <c r="H336" s="0" t="n">
        <v>58.7547811304717</v>
      </c>
      <c r="I336" s="0" t="n">
        <v>-23.4308376631881</v>
      </c>
    </row>
    <row r="337" customFormat="false" ht="13.8" hidden="false" customHeight="false" outlineLevel="0" collapsed="false">
      <c r="A337" s="2" t="n">
        <v>39920</v>
      </c>
      <c r="B337" s="0" t="n">
        <v>869.6</v>
      </c>
      <c r="C337" s="0" t="n">
        <v>171.33</v>
      </c>
      <c r="D337" s="3" t="n">
        <f aca="false">B337*100/B$2</f>
        <v>60.0901075209376</v>
      </c>
      <c r="E337" s="3" t="n">
        <f aca="false">C337*100/C$2</f>
        <v>72.8134296642584</v>
      </c>
      <c r="F337" s="0" t="n">
        <v>47.2221454434893</v>
      </c>
      <c r="G337" s="0" t="n">
        <v>82.2047772403708</v>
      </c>
      <c r="H337" s="0" t="n">
        <v>58.5762855928602</v>
      </c>
      <c r="I337" s="0" t="n">
        <v>-23.6284916475106</v>
      </c>
    </row>
    <row r="338" customFormat="false" ht="13.8" hidden="false" customHeight="false" outlineLevel="0" collapsed="false">
      <c r="A338" s="2" t="n">
        <v>39923</v>
      </c>
      <c r="B338" s="0" t="n">
        <v>832.39</v>
      </c>
      <c r="C338" s="0" t="n">
        <v>172.3</v>
      </c>
      <c r="D338" s="3" t="n">
        <f aca="false">B338*100/B$2</f>
        <v>57.5188645346748</v>
      </c>
      <c r="E338" s="3" t="n">
        <f aca="false">C338*100/C$2</f>
        <v>73.2256693582661</v>
      </c>
      <c r="F338" s="0" t="n">
        <v>46.7488045551287</v>
      </c>
      <c r="G338" s="0" t="n">
        <v>82.0466623488408</v>
      </c>
      <c r="H338" s="0" t="n">
        <v>59.4985125371866</v>
      </c>
      <c r="I338" s="0" t="n">
        <v>-22.5481498116542</v>
      </c>
    </row>
    <row r="339" customFormat="false" ht="13.8" hidden="false" customHeight="false" outlineLevel="0" collapsed="false">
      <c r="A339" s="2" t="n">
        <v>39924</v>
      </c>
      <c r="B339" s="0" t="n">
        <v>850.08</v>
      </c>
      <c r="C339" s="0" t="n">
        <v>171.96</v>
      </c>
      <c r="D339" s="3" t="n">
        <f aca="false">B339*100/B$2</f>
        <v>58.7412587412587</v>
      </c>
      <c r="E339" s="3" t="n">
        <f aca="false">C339*100/C$2</f>
        <v>73.0811729706757</v>
      </c>
      <c r="F339" s="0" t="n">
        <v>49.7249785787335</v>
      </c>
      <c r="G339" s="0" t="n">
        <v>83.0408241558766</v>
      </c>
      <c r="H339" s="0" t="n">
        <v>60.6587335316617</v>
      </c>
      <c r="I339" s="0" t="n">
        <v>-22.3820906242149</v>
      </c>
    </row>
    <row r="340" customFormat="false" ht="13.8" hidden="false" customHeight="false" outlineLevel="0" collapsed="false">
      <c r="A340" s="2" t="n">
        <v>39925</v>
      </c>
      <c r="B340" s="0" t="n">
        <v>843.55</v>
      </c>
      <c r="C340" s="0" t="n">
        <v>174.4</v>
      </c>
      <c r="D340" s="3" t="n">
        <f aca="false">B340*100/B$2</f>
        <v>58.2900301279748</v>
      </c>
      <c r="E340" s="3" t="n">
        <f aca="false">C340*100/C$2</f>
        <v>74.1181470463238</v>
      </c>
      <c r="F340" s="0" t="n">
        <v>49.8465960916554</v>
      </c>
      <c r="G340" s="0" t="n">
        <v>83.0814492958901</v>
      </c>
      <c r="H340" s="0" t="n">
        <v>62.7284317892053</v>
      </c>
      <c r="I340" s="0" t="n">
        <v>-20.3530175066849</v>
      </c>
    </row>
    <row r="341" customFormat="false" ht="13.8" hidden="false" customHeight="false" outlineLevel="0" collapsed="false">
      <c r="A341" s="2" t="n">
        <v>39926</v>
      </c>
      <c r="B341" s="0" t="n">
        <v>851.92</v>
      </c>
      <c r="C341" s="0" t="n">
        <v>176.14</v>
      </c>
      <c r="D341" s="3" t="n">
        <f aca="false">B341*100/B$2</f>
        <v>58.8684043229498</v>
      </c>
      <c r="E341" s="3" t="n">
        <f aca="false">C341*100/C$2</f>
        <v>74.857628559286</v>
      </c>
      <c r="F341" s="0" t="n">
        <v>51.8767793471351</v>
      </c>
      <c r="G341" s="0" t="n">
        <v>83.7596121445251</v>
      </c>
      <c r="H341" s="0" t="n">
        <v>62.9069273268168</v>
      </c>
      <c r="I341" s="0" t="n">
        <v>-20.8526848177083</v>
      </c>
    </row>
    <row r="342" customFormat="false" ht="13.8" hidden="false" customHeight="false" outlineLevel="0" collapsed="false">
      <c r="A342" s="2" t="n">
        <v>39927</v>
      </c>
      <c r="B342" s="0" t="n">
        <v>866.23</v>
      </c>
      <c r="C342" s="0" t="n">
        <v>174.13</v>
      </c>
      <c r="D342" s="3" t="n">
        <f aca="false">B342*100/B$2</f>
        <v>59.857237624036</v>
      </c>
      <c r="E342" s="3" t="n">
        <f aca="false">C342*100/C$2</f>
        <v>74.0033999150021</v>
      </c>
      <c r="F342" s="0" t="n">
        <v>52.2782553414965</v>
      </c>
      <c r="G342" s="0" t="n">
        <v>83.8937212715016</v>
      </c>
      <c r="H342" s="0" t="n">
        <v>62.5966850828729</v>
      </c>
      <c r="I342" s="0" t="n">
        <v>-21.2970361886287</v>
      </c>
    </row>
    <row r="343" customFormat="false" ht="13.8" hidden="false" customHeight="false" outlineLevel="0" collapsed="false">
      <c r="A343" s="2" t="n">
        <v>39930</v>
      </c>
      <c r="B343" s="0" t="n">
        <v>857.51</v>
      </c>
      <c r="C343" s="0" t="n">
        <v>172.13</v>
      </c>
      <c r="D343" s="3" t="n">
        <f aca="false">B343*100/B$2</f>
        <v>59.2546781281959</v>
      </c>
      <c r="E343" s="3" t="n">
        <f aca="false">C343*100/C$2</f>
        <v>73.1534211644709</v>
      </c>
      <c r="F343" s="0" t="n">
        <v>52.0944470549214</v>
      </c>
      <c r="G343" s="0" t="n">
        <v>83.832321912163</v>
      </c>
      <c r="H343" s="0" t="n">
        <v>62.4734381640459</v>
      </c>
      <c r="I343" s="0" t="n">
        <v>-21.3588837481171</v>
      </c>
    </row>
    <row r="344" customFormat="false" ht="13.8" hidden="false" customHeight="false" outlineLevel="0" collapsed="false">
      <c r="A344" s="2" t="n">
        <v>39931</v>
      </c>
      <c r="B344" s="0" t="n">
        <v>855.16</v>
      </c>
      <c r="C344" s="0" t="n">
        <v>167.24</v>
      </c>
      <c r="D344" s="3" t="n">
        <f aca="false">B344*100/B$2</f>
        <v>59.0922911081014</v>
      </c>
      <c r="E344" s="3" t="n">
        <f aca="false">C344*100/C$2</f>
        <v>71.075223119422</v>
      </c>
      <c r="F344" s="0" t="n">
        <v>53.7687608833854</v>
      </c>
      <c r="G344" s="0" t="n">
        <v>84.3916100613266</v>
      </c>
      <c r="H344" s="0" t="n">
        <v>64.6706332341691</v>
      </c>
      <c r="I344" s="0" t="n">
        <v>-19.7209768271575</v>
      </c>
    </row>
    <row r="345" customFormat="false" ht="13.8" hidden="false" customHeight="false" outlineLevel="0" collapsed="false">
      <c r="A345" s="2" t="n">
        <v>39932</v>
      </c>
      <c r="B345" s="0" t="n">
        <v>873.64</v>
      </c>
      <c r="C345" s="0" t="n">
        <v>172.08</v>
      </c>
      <c r="D345" s="3" t="n">
        <f aca="false">B345*100/B$2</f>
        <v>60.3692749937809</v>
      </c>
      <c r="E345" s="3" t="n">
        <f aca="false">C345*100/C$2</f>
        <v>73.1321716957076</v>
      </c>
      <c r="F345" s="0" t="n">
        <v>54.8902678349319</v>
      </c>
      <c r="G345" s="0" t="n">
        <v>84.766238483156</v>
      </c>
      <c r="H345" s="0" t="n">
        <v>64.9766255843604</v>
      </c>
      <c r="I345" s="0" t="n">
        <v>-19.7896128987956</v>
      </c>
    </row>
    <row r="346" customFormat="false" ht="13.8" hidden="false" customHeight="false" outlineLevel="0" collapsed="false">
      <c r="A346" s="2" t="n">
        <v>39933</v>
      </c>
      <c r="B346" s="0" t="n">
        <v>872.81</v>
      </c>
      <c r="C346" s="0" t="n">
        <v>176</v>
      </c>
      <c r="D346" s="3" t="n">
        <f aca="false">B346*100/B$2</f>
        <v>60.3119212803007</v>
      </c>
      <c r="E346" s="3" t="n">
        <f aca="false">C346*100/C$2</f>
        <v>74.7981300467488</v>
      </c>
      <c r="F346" s="0" t="n">
        <v>54.1778379723044</v>
      </c>
      <c r="G346" s="0" t="n">
        <v>84.528258259554</v>
      </c>
      <c r="H346" s="0" t="n">
        <v>64.3901402464938</v>
      </c>
      <c r="I346" s="0" t="n">
        <v>-20.1381180130601</v>
      </c>
    </row>
    <row r="347" customFormat="false" ht="13.8" hidden="false" customHeight="false" outlineLevel="0" collapsed="false">
      <c r="A347" s="2" t="n">
        <v>39934</v>
      </c>
      <c r="B347" s="0" t="n">
        <v>877.52</v>
      </c>
      <c r="C347" s="0" t="n">
        <v>176</v>
      </c>
      <c r="D347" s="3" t="n">
        <f aca="false">B347*100/B$2</f>
        <v>60.6373863290859</v>
      </c>
      <c r="E347" s="3" t="n">
        <f aca="false">C347*100/C$2</f>
        <v>74.7981300467488</v>
      </c>
      <c r="F347" s="0" t="n">
        <v>53.1067746482766</v>
      </c>
      <c r="G347" s="0" t="n">
        <v>84.1704800378439</v>
      </c>
      <c r="H347" s="0" t="n">
        <v>64.8448788780281</v>
      </c>
      <c r="I347" s="0" t="n">
        <v>-19.3256011598158</v>
      </c>
    </row>
    <row r="348" customFormat="false" ht="13.8" hidden="false" customHeight="false" outlineLevel="0" collapsed="false">
      <c r="A348" s="2" t="n">
        <v>39937</v>
      </c>
      <c r="B348" s="0" t="n">
        <v>907.24</v>
      </c>
      <c r="C348" s="0" t="n">
        <v>179.69</v>
      </c>
      <c r="D348" s="3" t="n">
        <f aca="false">B348*100/B$2</f>
        <v>62.6910638768346</v>
      </c>
      <c r="E348" s="3" t="n">
        <f aca="false">C348*100/C$2</f>
        <v>76.366340841479</v>
      </c>
      <c r="F348" s="0" t="n">
        <v>56.8644793941237</v>
      </c>
      <c r="G348" s="0" t="n">
        <v>85.4257045343984</v>
      </c>
      <c r="H348" s="0" t="n">
        <v>66.476838079048</v>
      </c>
      <c r="I348" s="0" t="n">
        <v>-18.9488664553504</v>
      </c>
    </row>
    <row r="349" customFormat="false" ht="13.8" hidden="false" customHeight="false" outlineLevel="0" collapsed="false">
      <c r="A349" s="2" t="n">
        <v>39938</v>
      </c>
      <c r="B349" s="0" t="n">
        <v>903.8</v>
      </c>
      <c r="C349" s="0" t="n">
        <v>179.69</v>
      </c>
      <c r="D349" s="3" t="n">
        <f aca="false">B349*100/B$2</f>
        <v>62.4533569197601</v>
      </c>
      <c r="E349" s="3" t="n">
        <f aca="false">C349*100/C$2</f>
        <v>76.366340841479</v>
      </c>
      <c r="F349" s="0" t="n">
        <v>55.7125680643467</v>
      </c>
      <c r="G349" s="0" t="n">
        <v>85.0409198275657</v>
      </c>
      <c r="H349" s="0" t="n">
        <v>67.8113047173821</v>
      </c>
      <c r="I349" s="0" t="n">
        <v>-17.2296151101836</v>
      </c>
    </row>
    <row r="350" customFormat="false" ht="13.8" hidden="false" customHeight="false" outlineLevel="0" collapsed="false">
      <c r="A350" s="2" t="n">
        <v>39939</v>
      </c>
      <c r="B350" s="0" t="n">
        <v>919.53</v>
      </c>
      <c r="C350" s="0" t="n">
        <v>178.82</v>
      </c>
      <c r="D350" s="3" t="n">
        <f aca="false">B350*100/B$2</f>
        <v>63.5403134414992</v>
      </c>
      <c r="E350" s="3" t="n">
        <f aca="false">C350*100/C$2</f>
        <v>75.9966000849979</v>
      </c>
      <c r="F350" s="0" t="n">
        <v>56.2398076232068</v>
      </c>
      <c r="G350" s="0" t="n">
        <v>85.2170390425107</v>
      </c>
      <c r="H350" s="0" t="n">
        <v>68.1172970675733</v>
      </c>
      <c r="I350" s="0" t="n">
        <v>-17.0997419749374</v>
      </c>
    </row>
    <row r="351" customFormat="false" ht="13.8" hidden="false" customHeight="false" outlineLevel="0" collapsed="false">
      <c r="A351" s="2" t="n">
        <v>39940</v>
      </c>
      <c r="B351" s="0" t="n">
        <v>907.39</v>
      </c>
      <c r="C351" s="0" t="n">
        <v>179.74</v>
      </c>
      <c r="D351" s="3" t="n">
        <f aca="false">B351*100/B$2</f>
        <v>62.7014290057768</v>
      </c>
      <c r="E351" s="3" t="n">
        <f aca="false">C351*100/C$2</f>
        <v>76.3875903102422</v>
      </c>
      <c r="F351" s="0" t="n">
        <v>57.5513419386937</v>
      </c>
      <c r="G351" s="0" t="n">
        <v>85.6551442456112</v>
      </c>
      <c r="H351" s="0" t="n">
        <v>68.9417764555886</v>
      </c>
      <c r="I351" s="0" t="n">
        <v>-16.7133677900226</v>
      </c>
    </row>
    <row r="352" customFormat="false" ht="13.8" hidden="false" customHeight="false" outlineLevel="0" collapsed="false">
      <c r="A352" s="2" t="n">
        <v>39941</v>
      </c>
      <c r="B352" s="0" t="n">
        <v>929.23</v>
      </c>
      <c r="C352" s="0" t="n">
        <v>181.04</v>
      </c>
      <c r="D352" s="3" t="n">
        <f aca="false">B352*100/B$2</f>
        <v>64.2105917797617</v>
      </c>
      <c r="E352" s="3" t="n">
        <f aca="false">C352*100/C$2</f>
        <v>76.9400764980876</v>
      </c>
      <c r="F352" s="0" t="n">
        <v>56.3821553940131</v>
      </c>
      <c r="G352" s="0" t="n">
        <v>85.2645889222993</v>
      </c>
      <c r="H352" s="0" t="n">
        <v>68.7037824054399</v>
      </c>
      <c r="I352" s="0" t="n">
        <v>-16.5608065168594</v>
      </c>
    </row>
    <row r="353" customFormat="false" ht="13.8" hidden="false" customHeight="false" outlineLevel="0" collapsed="false">
      <c r="A353" s="2" t="n">
        <v>39944</v>
      </c>
      <c r="B353" s="0" t="n">
        <v>909.24</v>
      </c>
      <c r="C353" s="0" t="n">
        <v>181.35</v>
      </c>
      <c r="D353" s="3" t="n">
        <f aca="false">B353*100/B$2</f>
        <v>62.829265596064</v>
      </c>
      <c r="E353" s="3" t="n">
        <f aca="false">C353*100/C$2</f>
        <v>77.0718232044199</v>
      </c>
      <c r="F353" s="0" t="n">
        <v>54.4189999723597</v>
      </c>
      <c r="G353" s="0" t="n">
        <v>84.6088160656035</v>
      </c>
      <c r="H353" s="0" t="n">
        <v>66.3960900977475</v>
      </c>
      <c r="I353" s="0" t="n">
        <v>-18.212725967856</v>
      </c>
    </row>
    <row r="354" customFormat="false" ht="13.8" hidden="false" customHeight="false" outlineLevel="0" collapsed="false">
      <c r="A354" s="2" t="n">
        <v>39945</v>
      </c>
      <c r="B354" s="0" t="n">
        <v>908.35</v>
      </c>
      <c r="C354" s="0" t="n">
        <v>179.73</v>
      </c>
      <c r="D354" s="3" t="n">
        <f aca="false">B354*100/B$2</f>
        <v>62.7677658310069</v>
      </c>
      <c r="E354" s="3" t="n">
        <f aca="false">C354*100/C$2</f>
        <v>76.3833404164896</v>
      </c>
      <c r="F354" s="0" t="n">
        <v>55.1335028607756</v>
      </c>
      <c r="G354" s="0" t="n">
        <v>84.8474887631831</v>
      </c>
      <c r="H354" s="0" t="n">
        <v>66.7275818104547</v>
      </c>
      <c r="I354" s="0" t="n">
        <v>-18.1199069527283</v>
      </c>
    </row>
    <row r="355" customFormat="false" ht="13.8" hidden="false" customHeight="false" outlineLevel="0" collapsed="false">
      <c r="A355" s="2" t="n">
        <v>39946</v>
      </c>
      <c r="B355" s="0" t="n">
        <v>883.92</v>
      </c>
      <c r="C355" s="0" t="n">
        <v>181.14</v>
      </c>
      <c r="D355" s="3" t="n">
        <f aca="false">B355*100/B$2</f>
        <v>61.07963183062</v>
      </c>
      <c r="E355" s="3" t="n">
        <f aca="false">C355*100/C$2</f>
        <v>76.9825754356141</v>
      </c>
      <c r="F355" s="0" t="n">
        <v>56.0463252162857</v>
      </c>
      <c r="G355" s="0" t="n">
        <v>85.1524081379437</v>
      </c>
      <c r="H355" s="0" t="n">
        <v>68.1937951551211</v>
      </c>
      <c r="I355" s="0" t="n">
        <v>-16.9586129828226</v>
      </c>
    </row>
    <row r="356" customFormat="false" ht="13.8" hidden="false" customHeight="false" outlineLevel="0" collapsed="false">
      <c r="A356" s="2" t="n">
        <v>39947</v>
      </c>
      <c r="B356" s="0" t="n">
        <v>893.07</v>
      </c>
      <c r="C356" s="0" t="n">
        <v>176.29</v>
      </c>
      <c r="D356" s="3" t="n">
        <f aca="false">B356*100/B$2</f>
        <v>61.7119046960944</v>
      </c>
      <c r="E356" s="3" t="n">
        <f aca="false">C356*100/C$2</f>
        <v>74.9213769655759</v>
      </c>
      <c r="F356" s="0" t="n">
        <v>57.656375245308</v>
      </c>
      <c r="G356" s="0" t="n">
        <v>85.6902295938047</v>
      </c>
      <c r="H356" s="0" t="n">
        <v>70.6247343816405</v>
      </c>
      <c r="I356" s="0" t="n">
        <v>-15.0654952121643</v>
      </c>
    </row>
    <row r="357" customFormat="false" ht="13.8" hidden="false" customHeight="false" outlineLevel="0" collapsed="false">
      <c r="A357" s="2" t="n">
        <v>39948</v>
      </c>
      <c r="B357" s="0" t="n">
        <v>882.88</v>
      </c>
      <c r="C357" s="0" t="n">
        <v>177.8</v>
      </c>
      <c r="D357" s="3" t="n">
        <f aca="false">B357*100/B$2</f>
        <v>61.0077669366207</v>
      </c>
      <c r="E357" s="3" t="n">
        <f aca="false">C357*100/C$2</f>
        <v>75.5631109222269</v>
      </c>
      <c r="F357" s="0" t="n">
        <v>58.2174742253794</v>
      </c>
      <c r="G357" s="0" t="n">
        <v>85.877659217049</v>
      </c>
      <c r="H357" s="0" t="n">
        <v>71.0199745006375</v>
      </c>
      <c r="I357" s="0" t="n">
        <v>-14.8576847164115</v>
      </c>
    </row>
    <row r="358" customFormat="false" ht="13.8" hidden="false" customHeight="false" outlineLevel="0" collapsed="false">
      <c r="A358" s="2" t="n">
        <v>39951</v>
      </c>
      <c r="B358" s="0" t="n">
        <v>909.71</v>
      </c>
      <c r="C358" s="0" t="n">
        <v>177.26</v>
      </c>
      <c r="D358" s="3" t="n">
        <f aca="false">B358*100/B$2</f>
        <v>62.8617430000829</v>
      </c>
      <c r="E358" s="3" t="n">
        <f aca="false">C358*100/C$2</f>
        <v>75.3336166595835</v>
      </c>
      <c r="F358" s="0" t="n">
        <v>57.7323861908842</v>
      </c>
      <c r="G358" s="0" t="n">
        <v>85.7156203063132</v>
      </c>
      <c r="H358" s="0" t="n">
        <v>71.6617084572886</v>
      </c>
      <c r="I358" s="0" t="n">
        <v>-14.0539118490246</v>
      </c>
    </row>
    <row r="359" customFormat="false" ht="13.8" hidden="false" customHeight="false" outlineLevel="0" collapsed="false">
      <c r="A359" s="2" t="n">
        <v>39952</v>
      </c>
      <c r="B359" s="0" t="n">
        <v>908.13</v>
      </c>
      <c r="C359" s="0" t="n">
        <v>182.76</v>
      </c>
      <c r="D359" s="3" t="n">
        <f aca="false">B359*100/B$2</f>
        <v>62.7525636418917</v>
      </c>
      <c r="E359" s="3" t="n">
        <f aca="false">C359*100/C$2</f>
        <v>77.6710582235444</v>
      </c>
      <c r="F359" s="0" t="n">
        <v>56.3552060587634</v>
      </c>
      <c r="G359" s="0" t="n">
        <v>85.2555867605917</v>
      </c>
      <c r="H359" s="0" t="n">
        <v>71.5427114322142</v>
      </c>
      <c r="I359" s="0" t="n">
        <v>-13.7128753283776</v>
      </c>
    </row>
    <row r="360" customFormat="false" ht="13.8" hidden="false" customHeight="false" outlineLevel="0" collapsed="false">
      <c r="A360" s="2" t="n">
        <v>39953</v>
      </c>
      <c r="B360" s="0" t="n">
        <v>903.47</v>
      </c>
      <c r="C360" s="0" t="n">
        <v>183.8</v>
      </c>
      <c r="D360" s="3" t="n">
        <f aca="false">B360*100/B$2</f>
        <v>62.4305536360872</v>
      </c>
      <c r="E360" s="3" t="n">
        <f aca="false">C360*100/C$2</f>
        <v>78.1130471738206</v>
      </c>
      <c r="F360" s="0" t="n">
        <v>57.0192653196606</v>
      </c>
      <c r="G360" s="0" t="n">
        <v>85.477409258052</v>
      </c>
      <c r="H360" s="0" t="n">
        <v>69.1372715682108</v>
      </c>
      <c r="I360" s="0" t="n">
        <v>-16.3401376898412</v>
      </c>
    </row>
    <row r="361" customFormat="false" ht="13.8" hidden="false" customHeight="false" outlineLevel="0" collapsed="false">
      <c r="A361" s="2" t="n">
        <v>39954</v>
      </c>
      <c r="B361" s="0" t="n">
        <v>888.33</v>
      </c>
      <c r="C361" s="0" t="n">
        <v>181.82</v>
      </c>
      <c r="D361" s="3" t="n">
        <f aca="false">B361*100/B$2</f>
        <v>61.3843666215208</v>
      </c>
      <c r="E361" s="3" t="n">
        <f aca="false">C361*100/C$2</f>
        <v>77.2715682107947</v>
      </c>
      <c r="F361" s="0" t="n">
        <v>59.189032311562</v>
      </c>
      <c r="G361" s="0" t="n">
        <v>86.202198687839</v>
      </c>
      <c r="H361" s="0" t="n">
        <v>72.027199320017</v>
      </c>
      <c r="I361" s="0" t="n">
        <v>-14.174999367822</v>
      </c>
    </row>
    <row r="362" customFormat="false" ht="13.8" hidden="false" customHeight="false" outlineLevel="0" collapsed="false">
      <c r="A362" s="2" t="n">
        <v>39955</v>
      </c>
      <c r="B362" s="0" t="n">
        <v>887</v>
      </c>
      <c r="C362" s="0" t="n">
        <v>179.01</v>
      </c>
      <c r="D362" s="3" t="n">
        <f aca="false">B362*100/B$2</f>
        <v>61.2924624782332</v>
      </c>
      <c r="E362" s="3" t="n">
        <f aca="false">C362*100/C$2</f>
        <v>76.0773480662983</v>
      </c>
      <c r="F362" s="0" t="n">
        <v>59.189032311562</v>
      </c>
      <c r="G362" s="0" t="n">
        <v>86.202198687839</v>
      </c>
      <c r="H362" s="0" t="n">
        <v>73.102422439439</v>
      </c>
      <c r="I362" s="0" t="n">
        <v>-13.0997762483999</v>
      </c>
    </row>
    <row r="363" customFormat="false" ht="13.8" hidden="false" customHeight="false" outlineLevel="0" collapsed="false">
      <c r="A363" s="2" t="n">
        <v>39958</v>
      </c>
      <c r="B363" s="0" t="n">
        <v>887</v>
      </c>
      <c r="C363" s="0" t="n">
        <v>178.57</v>
      </c>
      <c r="D363" s="3" t="n">
        <f aca="false">B363*100/B$2</f>
        <v>61.2924624782332</v>
      </c>
      <c r="E363" s="3" t="n">
        <f aca="false">C363*100/C$2</f>
        <v>75.8903527411815</v>
      </c>
      <c r="F363" s="0" t="n">
        <v>59.3389811769258</v>
      </c>
      <c r="G363" s="0" t="n">
        <v>86.2522876388784</v>
      </c>
      <c r="H363" s="0" t="n">
        <v>72.966425839354</v>
      </c>
      <c r="I363" s="0" t="n">
        <v>-13.2858617995243</v>
      </c>
    </row>
    <row r="364" customFormat="false" ht="13.8" hidden="false" customHeight="false" outlineLevel="0" collapsed="false">
      <c r="A364" s="2" t="n">
        <v>39959</v>
      </c>
      <c r="B364" s="0" t="n">
        <v>910.33</v>
      </c>
      <c r="C364" s="0" t="n">
        <v>174.77</v>
      </c>
      <c r="D364" s="3" t="n">
        <f aca="false">B364*100/B$2</f>
        <v>62.904585533044</v>
      </c>
      <c r="E364" s="3" t="n">
        <f aca="false">C364*100/C$2</f>
        <v>74.2753931151721</v>
      </c>
      <c r="F364" s="0" t="n">
        <v>58.1483733657647</v>
      </c>
      <c r="G364" s="0" t="n">
        <v>85.8545767511322</v>
      </c>
      <c r="H364" s="0" t="n">
        <v>73.1109222269443</v>
      </c>
      <c r="I364" s="0" t="n">
        <v>-12.7436545241879</v>
      </c>
    </row>
    <row r="365" customFormat="false" ht="13.8" hidden="false" customHeight="false" outlineLevel="0" collapsed="false">
      <c r="A365" s="2" t="n">
        <v>39960</v>
      </c>
      <c r="B365" s="0" t="n">
        <v>893.06</v>
      </c>
      <c r="C365" s="0" t="n">
        <v>173.75</v>
      </c>
      <c r="D365" s="3" t="n">
        <f aca="false">B365*100/B$2</f>
        <v>61.7112136874983</v>
      </c>
      <c r="E365" s="3" t="n">
        <f aca="false">C365*100/C$2</f>
        <v>73.8419039524012</v>
      </c>
      <c r="F365" s="0" t="n">
        <v>58.8780784432958</v>
      </c>
      <c r="G365" s="0" t="n">
        <v>86.0983275912134</v>
      </c>
      <c r="H365" s="0" t="n">
        <v>72.7624309392265</v>
      </c>
      <c r="I365" s="0" t="n">
        <v>-13.3358966519869</v>
      </c>
    </row>
    <row r="366" customFormat="false" ht="13.8" hidden="false" customHeight="false" outlineLevel="0" collapsed="false">
      <c r="A366" s="2" t="n">
        <v>39961</v>
      </c>
      <c r="B366" s="0" t="n">
        <v>906.83</v>
      </c>
      <c r="C366" s="0" t="n">
        <v>178.19</v>
      </c>
      <c r="D366" s="3" t="n">
        <f aca="false">B366*100/B$2</f>
        <v>62.6627325243926</v>
      </c>
      <c r="E366" s="3" t="n">
        <f aca="false">C366*100/C$2</f>
        <v>75.7288567785805</v>
      </c>
      <c r="F366" s="0" t="n">
        <v>59.7929738245944</v>
      </c>
      <c r="G366" s="0" t="n">
        <v>86.4039394399516</v>
      </c>
      <c r="H366" s="0" t="n">
        <v>72.9834254143646</v>
      </c>
      <c r="I366" s="0" t="n">
        <v>-13.420514025587</v>
      </c>
    </row>
    <row r="367" customFormat="false" ht="13.8" hidden="false" customHeight="false" outlineLevel="0" collapsed="false">
      <c r="A367" s="2" t="n">
        <v>39962</v>
      </c>
      <c r="B367" s="0" t="n">
        <v>919.14</v>
      </c>
      <c r="C367" s="0" t="n">
        <v>178.7</v>
      </c>
      <c r="D367" s="3" t="n">
        <f aca="false">B367*100/B$2</f>
        <v>63.5133641062495</v>
      </c>
      <c r="E367" s="3" t="n">
        <f aca="false">C367*100/C$2</f>
        <v>75.945601359966</v>
      </c>
      <c r="F367" s="0" t="n">
        <v>60.0901075209376</v>
      </c>
      <c r="G367" s="0" t="n">
        <v>86.5031940433938</v>
      </c>
      <c r="H367" s="0" t="n">
        <v>72.8134296642584</v>
      </c>
      <c r="I367" s="0" t="n">
        <v>-13.6897643791354</v>
      </c>
    </row>
    <row r="368" customFormat="false" ht="13.8" hidden="false" customHeight="false" outlineLevel="0" collapsed="false">
      <c r="A368" s="2" t="n">
        <v>39965</v>
      </c>
      <c r="B368" s="0" t="n">
        <v>942.87</v>
      </c>
      <c r="C368" s="0" t="n">
        <v>180.9</v>
      </c>
      <c r="D368" s="3" t="n">
        <f aca="false">B368*100/B$2</f>
        <v>65.1531275049062</v>
      </c>
      <c r="E368" s="3" t="n">
        <f aca="false">C368*100/C$2</f>
        <v>76.8805779855504</v>
      </c>
      <c r="F368" s="0" t="n">
        <v>57.5188645346748</v>
      </c>
      <c r="G368" s="0" t="n">
        <v>85.6442954866303</v>
      </c>
      <c r="H368" s="0" t="n">
        <v>73.2256693582661</v>
      </c>
      <c r="I368" s="0" t="n">
        <v>-12.4186261283643</v>
      </c>
    </row>
    <row r="369" customFormat="false" ht="13.8" hidden="false" customHeight="false" outlineLevel="0" collapsed="false">
      <c r="A369" s="2" t="n">
        <v>39966</v>
      </c>
      <c r="B369" s="0" t="n">
        <v>944.74</v>
      </c>
      <c r="C369" s="0" t="n">
        <v>180.47</v>
      </c>
      <c r="D369" s="3" t="n">
        <f aca="false">B369*100/B$2</f>
        <v>65.2823461123856</v>
      </c>
      <c r="E369" s="3" t="n">
        <f aca="false">C369*100/C$2</f>
        <v>76.6978325541861</v>
      </c>
      <c r="F369" s="0" t="n">
        <v>58.7412587412587</v>
      </c>
      <c r="G369" s="0" t="n">
        <v>86.0526243086982</v>
      </c>
      <c r="H369" s="0" t="n">
        <v>73.0811729706757</v>
      </c>
      <c r="I369" s="0" t="n">
        <v>-12.9714513380225</v>
      </c>
    </row>
    <row r="370" customFormat="false" ht="13.8" hidden="false" customHeight="false" outlineLevel="0" collapsed="false">
      <c r="A370" s="2" t="n">
        <v>39967</v>
      </c>
      <c r="B370" s="0" t="n">
        <v>931.76</v>
      </c>
      <c r="C370" s="0" t="n">
        <v>180.31</v>
      </c>
      <c r="D370" s="3" t="n">
        <f aca="false">B370*100/B$2</f>
        <v>64.3854169545869</v>
      </c>
      <c r="E370" s="3" t="n">
        <f aca="false">C370*100/C$2</f>
        <v>76.6298342541437</v>
      </c>
      <c r="F370" s="0" t="n">
        <v>58.2900301279748</v>
      </c>
      <c r="G370" s="0" t="n">
        <v>85.9018958062616</v>
      </c>
      <c r="H370" s="0" t="n">
        <v>74.1181470463238</v>
      </c>
      <c r="I370" s="0" t="n">
        <v>-11.7837487599378</v>
      </c>
    </row>
    <row r="371" customFormat="false" ht="13.8" hidden="false" customHeight="false" outlineLevel="0" collapsed="false">
      <c r="A371" s="2" t="n">
        <v>39968</v>
      </c>
      <c r="B371" s="0" t="n">
        <v>942.46</v>
      </c>
      <c r="C371" s="0" t="n">
        <v>175.75</v>
      </c>
      <c r="D371" s="3" t="n">
        <f aca="false">B371*100/B$2</f>
        <v>65.1247961524641</v>
      </c>
      <c r="E371" s="3" t="n">
        <f aca="false">C371*100/C$2</f>
        <v>74.6918827029324</v>
      </c>
      <c r="F371" s="0" t="n">
        <v>58.8684043229498</v>
      </c>
      <c r="G371" s="0" t="n">
        <v>86.0950960459851</v>
      </c>
      <c r="H371" s="0" t="n">
        <v>74.857628559286</v>
      </c>
      <c r="I371" s="0" t="n">
        <v>-11.2374674866991</v>
      </c>
    </row>
    <row r="372" customFormat="false" ht="13.8" hidden="false" customHeight="false" outlineLevel="0" collapsed="false">
      <c r="A372" s="2" t="n">
        <v>39969</v>
      </c>
      <c r="B372" s="0" t="n">
        <v>940.09</v>
      </c>
      <c r="C372" s="0" t="n">
        <v>177.77</v>
      </c>
      <c r="D372" s="3" t="n">
        <f aca="false">B372*100/B$2</f>
        <v>64.9610271151773</v>
      </c>
      <c r="E372" s="3" t="n">
        <f aca="false">C372*100/C$2</f>
        <v>75.550361240969</v>
      </c>
      <c r="F372" s="0" t="n">
        <v>59.857237624036</v>
      </c>
      <c r="G372" s="0" t="n">
        <v>86.4254061332542</v>
      </c>
      <c r="H372" s="0" t="n">
        <v>74.0033999150021</v>
      </c>
      <c r="I372" s="0" t="n">
        <v>-12.4220062182521</v>
      </c>
    </row>
    <row r="373" customFormat="false" ht="13.8" hidden="false" customHeight="false" outlineLevel="0" collapsed="false">
      <c r="A373" s="2" t="n">
        <v>39972</v>
      </c>
      <c r="B373" s="0" t="n">
        <v>939.14</v>
      </c>
      <c r="C373" s="0" t="n">
        <v>177.67</v>
      </c>
      <c r="D373" s="3" t="n">
        <f aca="false">B373*100/B$2</f>
        <v>64.8953812985434</v>
      </c>
      <c r="E373" s="3" t="n">
        <f aca="false">C373*100/C$2</f>
        <v>75.5078623034424</v>
      </c>
      <c r="F373" s="0" t="n">
        <v>59.2546781281959</v>
      </c>
      <c r="G373" s="0" t="n">
        <v>86.2241270304599</v>
      </c>
      <c r="H373" s="0" t="n">
        <v>73.1534211644709</v>
      </c>
      <c r="I373" s="0" t="n">
        <v>-13.070705865989</v>
      </c>
    </row>
    <row r="374" customFormat="false" ht="13.8" hidden="false" customHeight="false" outlineLevel="0" collapsed="false">
      <c r="A374" s="2" t="n">
        <v>39973</v>
      </c>
      <c r="B374" s="0" t="n">
        <v>942.43</v>
      </c>
      <c r="C374" s="0" t="n">
        <v>174.91</v>
      </c>
      <c r="D374" s="3" t="n">
        <f aca="false">B374*100/B$2</f>
        <v>65.1227231266757</v>
      </c>
      <c r="E374" s="3" t="n">
        <f aca="false">C374*100/C$2</f>
        <v>74.3348916277093</v>
      </c>
      <c r="F374" s="0" t="n">
        <v>59.0922911081014</v>
      </c>
      <c r="G374" s="0" t="n">
        <v>86.1698832355554</v>
      </c>
      <c r="H374" s="0" t="n">
        <v>71.075223119422</v>
      </c>
      <c r="I374" s="0" t="n">
        <v>-15.0946601161334</v>
      </c>
    </row>
    <row r="375" customFormat="false" ht="13.8" hidden="false" customHeight="false" outlineLevel="0" collapsed="false">
      <c r="A375" s="2" t="n">
        <v>39974</v>
      </c>
      <c r="B375" s="0" t="n">
        <v>939.15</v>
      </c>
      <c r="C375" s="0" t="n">
        <v>180.91</v>
      </c>
      <c r="D375" s="3" t="n">
        <f aca="false">B375*100/B$2</f>
        <v>64.8960723071395</v>
      </c>
      <c r="E375" s="3" t="n">
        <f aca="false">C375*100/C$2</f>
        <v>76.884827879303</v>
      </c>
      <c r="F375" s="0" t="n">
        <v>60.3692749937809</v>
      </c>
      <c r="G375" s="0" t="n">
        <v>86.5964472056976</v>
      </c>
      <c r="H375" s="0" t="n">
        <v>73.1321716957076</v>
      </c>
      <c r="I375" s="0" t="n">
        <v>-13.46427550999</v>
      </c>
    </row>
    <row r="376" customFormat="false" ht="13.8" hidden="false" customHeight="false" outlineLevel="0" collapsed="false">
      <c r="A376" s="2" t="n">
        <v>39975</v>
      </c>
      <c r="B376" s="0" t="n">
        <v>944.89</v>
      </c>
      <c r="C376" s="0" t="n">
        <v>181.43</v>
      </c>
      <c r="D376" s="3" t="n">
        <f aca="false">B376*100/B$2</f>
        <v>65.2927112413278</v>
      </c>
      <c r="E376" s="3" t="n">
        <f aca="false">C376*100/C$2</f>
        <v>77.1058223544411</v>
      </c>
      <c r="F376" s="0" t="n">
        <v>60.3119212803007</v>
      </c>
      <c r="G376" s="0" t="n">
        <v>86.5772887589866</v>
      </c>
      <c r="H376" s="0" t="n">
        <v>74.7981300467488</v>
      </c>
      <c r="I376" s="0" t="n">
        <v>-11.7791587122378</v>
      </c>
    </row>
    <row r="377" customFormat="false" ht="13.8" hidden="false" customHeight="false" outlineLevel="0" collapsed="false">
      <c r="A377" s="2" t="n">
        <v>39976</v>
      </c>
      <c r="B377" s="0" t="n">
        <v>946.21</v>
      </c>
      <c r="C377" s="0" t="n">
        <v>182.69</v>
      </c>
      <c r="D377" s="3" t="n">
        <f aca="false">B377*100/B$2</f>
        <v>65.3839243760192</v>
      </c>
      <c r="E377" s="3" t="n">
        <f aca="false">C377*100/C$2</f>
        <v>77.6413089672758</v>
      </c>
      <c r="F377" s="0" t="n">
        <v>60.6373863290859</v>
      </c>
      <c r="G377" s="0" t="n">
        <v>86.6860071734547</v>
      </c>
      <c r="H377" s="0" t="n">
        <v>74.7981300467488</v>
      </c>
      <c r="I377" s="0" t="n">
        <v>-11.8878771267058</v>
      </c>
    </row>
    <row r="378" customFormat="false" ht="13.8" hidden="false" customHeight="false" outlineLevel="0" collapsed="false">
      <c r="A378" s="2" t="n">
        <v>39979</v>
      </c>
      <c r="B378" s="0" t="n">
        <v>923.72</v>
      </c>
      <c r="C378" s="0" t="n">
        <v>180.66</v>
      </c>
      <c r="D378" s="3" t="n">
        <f aca="false">B378*100/B$2</f>
        <v>63.8298460432848</v>
      </c>
      <c r="E378" s="3" t="n">
        <f aca="false">C378*100/C$2</f>
        <v>76.7785805354866</v>
      </c>
      <c r="F378" s="0" t="n">
        <v>62.6910638768346</v>
      </c>
      <c r="G378" s="0" t="n">
        <v>87.3720180605014</v>
      </c>
      <c r="H378" s="0" t="n">
        <v>76.366340841479</v>
      </c>
      <c r="I378" s="0" t="n">
        <v>-11.0056772190224</v>
      </c>
    </row>
    <row r="379" customFormat="false" ht="13.8" hidden="false" customHeight="false" outlineLevel="0" collapsed="false">
      <c r="A379" s="2" t="n">
        <v>39980</v>
      </c>
      <c r="B379" s="0" t="n">
        <v>911.97</v>
      </c>
      <c r="C379" s="0" t="n">
        <v>178.88</v>
      </c>
      <c r="D379" s="3" t="n">
        <f aca="false">B379*100/B$2</f>
        <v>63.0179109428121</v>
      </c>
      <c r="E379" s="3" t="n">
        <f aca="false">C379*100/C$2</f>
        <v>76.0220994475138</v>
      </c>
      <c r="F379" s="0" t="n">
        <v>62.4533569197601</v>
      </c>
      <c r="G379" s="0" t="n">
        <v>87.2926143777477</v>
      </c>
      <c r="H379" s="0" t="n">
        <v>76.366340841479</v>
      </c>
      <c r="I379" s="0" t="n">
        <v>-10.9262735362687</v>
      </c>
    </row>
    <row r="380" customFormat="false" ht="13.8" hidden="false" customHeight="false" outlineLevel="0" collapsed="false">
      <c r="A380" s="2" t="n">
        <v>39981</v>
      </c>
      <c r="B380" s="0" t="n">
        <v>910.71</v>
      </c>
      <c r="C380" s="0" t="n">
        <v>177.8</v>
      </c>
      <c r="D380" s="3" t="n">
        <f aca="false">B380*100/B$2</f>
        <v>62.9308438596976</v>
      </c>
      <c r="E380" s="3" t="n">
        <f aca="false">C380*100/C$2</f>
        <v>75.5631109222269</v>
      </c>
      <c r="F380" s="0" t="n">
        <v>63.5403134414992</v>
      </c>
      <c r="G380" s="0" t="n">
        <v>87.6557015666187</v>
      </c>
      <c r="H380" s="0" t="n">
        <v>75.9966000849979</v>
      </c>
      <c r="I380" s="0" t="n">
        <v>-11.6591014816208</v>
      </c>
    </row>
    <row r="381" customFormat="false" ht="13.8" hidden="false" customHeight="false" outlineLevel="0" collapsed="false">
      <c r="A381" s="2" t="n">
        <v>39982</v>
      </c>
      <c r="B381" s="0" t="n">
        <v>918.37</v>
      </c>
      <c r="C381" s="0" t="n">
        <v>175.54</v>
      </c>
      <c r="D381" s="3" t="n">
        <f aca="false">B381*100/B$2</f>
        <v>63.4601564443462</v>
      </c>
      <c r="E381" s="3" t="n">
        <f aca="false">C381*100/C$2</f>
        <v>74.6026349341266</v>
      </c>
      <c r="F381" s="0" t="n">
        <v>62.7014290057768</v>
      </c>
      <c r="G381" s="0" t="n">
        <v>87.3754804303889</v>
      </c>
      <c r="H381" s="0" t="n">
        <v>76.3875903102422</v>
      </c>
      <c r="I381" s="0" t="n">
        <v>-10.9878901201467</v>
      </c>
    </row>
    <row r="382" customFormat="false" ht="13.8" hidden="false" customHeight="false" outlineLevel="0" collapsed="false">
      <c r="A382" s="2" t="n">
        <v>39983</v>
      </c>
      <c r="B382" s="0" t="n">
        <v>921.23</v>
      </c>
      <c r="C382" s="0" t="n">
        <v>176.63</v>
      </c>
      <c r="D382" s="3" t="n">
        <f aca="false">B382*100/B$2</f>
        <v>63.6577849028442</v>
      </c>
      <c r="E382" s="3" t="n">
        <f aca="false">C382*100/C$2</f>
        <v>75.0658733531662</v>
      </c>
      <c r="F382" s="0" t="n">
        <v>64.2105917797617</v>
      </c>
      <c r="G382" s="0" t="n">
        <v>87.8796014860114</v>
      </c>
      <c r="H382" s="0" t="n">
        <v>76.9400764980876</v>
      </c>
      <c r="I382" s="0" t="n">
        <v>-10.9395249879239</v>
      </c>
    </row>
    <row r="383" customFormat="false" ht="13.8" hidden="false" customHeight="false" outlineLevel="0" collapsed="false">
      <c r="A383" s="2" t="n">
        <v>39986</v>
      </c>
      <c r="B383" s="0" t="n">
        <v>893.04</v>
      </c>
      <c r="C383" s="0" t="n">
        <v>179.02</v>
      </c>
      <c r="D383" s="3" t="n">
        <f aca="false">B383*100/B$2</f>
        <v>61.709831670306</v>
      </c>
      <c r="E383" s="3" t="n">
        <f aca="false">C383*100/C$2</f>
        <v>76.081597960051</v>
      </c>
      <c r="F383" s="0" t="n">
        <v>62.829265596064</v>
      </c>
      <c r="G383" s="0" t="n">
        <v>87.418182992335</v>
      </c>
      <c r="H383" s="0" t="n">
        <v>77.0718232044199</v>
      </c>
      <c r="I383" s="0" t="n">
        <v>-10.3463597879151</v>
      </c>
    </row>
    <row r="384" customFormat="false" ht="13.8" hidden="false" customHeight="false" outlineLevel="0" collapsed="false">
      <c r="A384" s="2" t="n">
        <v>39987</v>
      </c>
      <c r="B384" s="0" t="n">
        <v>895.1</v>
      </c>
      <c r="C384" s="0" t="n">
        <v>174.32</v>
      </c>
      <c r="D384" s="3" t="n">
        <f aca="false">B384*100/B$2</f>
        <v>61.8521794411122</v>
      </c>
      <c r="E384" s="3" t="n">
        <f aca="false">C384*100/C$2</f>
        <v>74.0841478963026</v>
      </c>
      <c r="F384" s="0" t="n">
        <v>62.7677658310069</v>
      </c>
      <c r="G384" s="0" t="n">
        <v>87.397639597669</v>
      </c>
      <c r="H384" s="0" t="n">
        <v>76.3833404164896</v>
      </c>
      <c r="I384" s="0" t="n">
        <v>-11.0142991811795</v>
      </c>
    </row>
    <row r="385" customFormat="false" ht="13.8" hidden="false" customHeight="false" outlineLevel="0" collapsed="false">
      <c r="A385" s="2" t="n">
        <v>39988</v>
      </c>
      <c r="B385" s="0" t="n">
        <v>900.94</v>
      </c>
      <c r="C385" s="0" t="n">
        <v>175.08</v>
      </c>
      <c r="D385" s="3" t="n">
        <f aca="false">B385*100/B$2</f>
        <v>62.2557284612621</v>
      </c>
      <c r="E385" s="3" t="n">
        <f aca="false">C385*100/C$2</f>
        <v>74.4071398215045</v>
      </c>
      <c r="F385" s="0" t="n">
        <v>61.07963183062</v>
      </c>
      <c r="G385" s="0" t="n">
        <v>86.8337349553221</v>
      </c>
      <c r="H385" s="0" t="n">
        <v>76.9825754356141</v>
      </c>
      <c r="I385" s="0" t="n">
        <v>-9.85115951970796</v>
      </c>
    </row>
    <row r="386" customFormat="false" ht="13.8" hidden="false" customHeight="false" outlineLevel="0" collapsed="false">
      <c r="A386" s="2" t="n">
        <v>39989</v>
      </c>
      <c r="B386" s="0" t="n">
        <v>920.26</v>
      </c>
      <c r="C386" s="0" t="n">
        <v>178.86</v>
      </c>
      <c r="D386" s="3" t="n">
        <f aca="false">B386*100/B$2</f>
        <v>63.5907570690179</v>
      </c>
      <c r="E386" s="3" t="n">
        <f aca="false">C386*100/C$2</f>
        <v>76.0135996600085</v>
      </c>
      <c r="F386" s="0" t="n">
        <v>61.7119046960944</v>
      </c>
      <c r="G386" s="0" t="n">
        <v>87.0449395184606</v>
      </c>
      <c r="H386" s="0" t="n">
        <v>74.9213769655759</v>
      </c>
      <c r="I386" s="0" t="n">
        <v>-12.1235625528848</v>
      </c>
    </row>
    <row r="387" customFormat="false" ht="13.8" hidden="false" customHeight="false" outlineLevel="0" collapsed="false">
      <c r="A387" s="2" t="n">
        <v>39990</v>
      </c>
      <c r="B387" s="0" t="n">
        <v>918.9</v>
      </c>
      <c r="C387" s="0" t="n">
        <v>179.28</v>
      </c>
      <c r="D387" s="3" t="n">
        <f aca="false">B387*100/B$2</f>
        <v>63.496779899942</v>
      </c>
      <c r="E387" s="3" t="n">
        <f aca="false">C387*100/C$2</f>
        <v>76.1920951976201</v>
      </c>
      <c r="F387" s="0" t="n">
        <v>61.0077669366207</v>
      </c>
      <c r="G387" s="0" t="n">
        <v>86.8097291907686</v>
      </c>
      <c r="H387" s="0" t="n">
        <v>75.5631109222269</v>
      </c>
      <c r="I387" s="0" t="n">
        <v>-11.2466182685417</v>
      </c>
    </row>
    <row r="388" customFormat="false" ht="13.8" hidden="false" customHeight="false" outlineLevel="0" collapsed="false">
      <c r="A388" s="2" t="n">
        <v>39993</v>
      </c>
      <c r="B388" s="0" t="n">
        <v>927.23</v>
      </c>
      <c r="C388" s="0" t="n">
        <v>178.81</v>
      </c>
      <c r="D388" s="3" t="n">
        <f aca="false">B388*100/B$2</f>
        <v>64.0723900605324</v>
      </c>
      <c r="E388" s="3" t="n">
        <f aca="false">C388*100/C$2</f>
        <v>75.9923501912452</v>
      </c>
      <c r="F388" s="0" t="n">
        <v>62.8617430000829</v>
      </c>
      <c r="G388" s="0" t="n">
        <v>87.4290317513159</v>
      </c>
      <c r="H388" s="0" t="n">
        <v>75.3336166595835</v>
      </c>
      <c r="I388" s="0" t="n">
        <v>-12.0954150917323</v>
      </c>
    </row>
    <row r="389" customFormat="false" ht="13.8" hidden="false" customHeight="false" outlineLevel="0" collapsed="false">
      <c r="A389" s="2" t="n">
        <v>39994</v>
      </c>
      <c r="B389" s="0" t="n">
        <v>919.32</v>
      </c>
      <c r="C389" s="0" t="n">
        <v>178.99</v>
      </c>
      <c r="D389" s="3" t="n">
        <f aca="false">B389*100/B$2</f>
        <v>63.5258022609801</v>
      </c>
      <c r="E389" s="3" t="n">
        <f aca="false">C389*100/C$2</f>
        <v>76.068848278793</v>
      </c>
      <c r="F389" s="0" t="n">
        <v>62.7525636418917</v>
      </c>
      <c r="G389" s="0" t="n">
        <v>87.3925614551673</v>
      </c>
      <c r="H389" s="0" t="n">
        <v>77.6710582235444</v>
      </c>
      <c r="I389" s="0" t="n">
        <v>-9.72150323162293</v>
      </c>
    </row>
    <row r="390" customFormat="false" ht="13.8" hidden="false" customHeight="false" outlineLevel="0" collapsed="false">
      <c r="A390" s="2" t="n">
        <v>39995</v>
      </c>
      <c r="B390" s="0" t="n">
        <v>923.33</v>
      </c>
      <c r="C390" s="0" t="n">
        <v>181.95</v>
      </c>
      <c r="D390" s="3" t="n">
        <f aca="false">B390*100/B$2</f>
        <v>63.802896708035</v>
      </c>
      <c r="E390" s="3" t="n">
        <f aca="false">C390*100/C$2</f>
        <v>77.3268168295793</v>
      </c>
      <c r="F390" s="0" t="n">
        <v>62.4305536360872</v>
      </c>
      <c r="G390" s="0" t="n">
        <v>87.2849971639952</v>
      </c>
      <c r="H390" s="0" t="n">
        <v>78.1130471738206</v>
      </c>
      <c r="I390" s="0" t="n">
        <v>-9.1719499901745</v>
      </c>
    </row>
    <row r="391" customFormat="false" ht="13.8" hidden="false" customHeight="false" outlineLevel="0" collapsed="false">
      <c r="A391" s="2" t="n">
        <v>39996</v>
      </c>
      <c r="B391" s="0" t="n">
        <v>896.42</v>
      </c>
      <c r="C391" s="0" t="n">
        <v>181.85</v>
      </c>
      <c r="D391" s="3" t="n">
        <f aca="false">B391*100/B$2</f>
        <v>61.9433925758036</v>
      </c>
      <c r="E391" s="3" t="n">
        <f aca="false">C391*100/C$2</f>
        <v>77.2843178920527</v>
      </c>
      <c r="F391" s="0" t="n">
        <v>61.3843666215208</v>
      </c>
      <c r="G391" s="0" t="n">
        <v>86.9355286300151</v>
      </c>
      <c r="H391" s="0" t="n">
        <v>77.2715682107947</v>
      </c>
      <c r="I391" s="0" t="n">
        <v>-9.66396041922036</v>
      </c>
    </row>
    <row r="392" customFormat="false" ht="13.8" hidden="false" customHeight="false" outlineLevel="0" collapsed="false">
      <c r="A392" s="2" t="n">
        <v>39997</v>
      </c>
      <c r="B392" s="0" t="n">
        <v>896.42</v>
      </c>
      <c r="C392" s="0" t="n">
        <v>182.92</v>
      </c>
      <c r="D392" s="3" t="n">
        <f aca="false">B392*100/B$2</f>
        <v>61.9433925758036</v>
      </c>
      <c r="E392" s="3" t="n">
        <f aca="false">C392*100/C$2</f>
        <v>77.7390565235869</v>
      </c>
      <c r="F392" s="0" t="n">
        <v>61.2924624782332</v>
      </c>
      <c r="G392" s="0" t="n">
        <v>86.9048289503458</v>
      </c>
      <c r="H392" s="0" t="n">
        <v>76.0773480662983</v>
      </c>
      <c r="I392" s="0" t="n">
        <v>-10.8274808840474</v>
      </c>
    </row>
    <row r="393" customFormat="false" ht="13.8" hidden="false" customHeight="false" outlineLevel="0" collapsed="false">
      <c r="A393" s="2" t="n">
        <v>40000</v>
      </c>
      <c r="B393" s="0" t="n">
        <v>898.72</v>
      </c>
      <c r="C393" s="0" t="n">
        <v>184.5</v>
      </c>
      <c r="D393" s="3" t="n">
        <f aca="false">B393*100/B$2</f>
        <v>62.1023245529174</v>
      </c>
      <c r="E393" s="3" t="n">
        <f aca="false">C393*100/C$2</f>
        <v>78.4105397365066</v>
      </c>
      <c r="F393" s="0" t="n">
        <v>61.2924624782332</v>
      </c>
      <c r="G393" s="0" t="n">
        <v>86.9048289503458</v>
      </c>
      <c r="H393" s="0" t="n">
        <v>75.8903527411815</v>
      </c>
      <c r="I393" s="0" t="n">
        <v>-11.0144762091643</v>
      </c>
    </row>
    <row r="394" customFormat="false" ht="13.8" hidden="false" customHeight="false" outlineLevel="0" collapsed="false">
      <c r="A394" s="2" t="n">
        <v>40001</v>
      </c>
      <c r="B394" s="0" t="n">
        <v>881.03</v>
      </c>
      <c r="C394" s="0" t="n">
        <v>185.11</v>
      </c>
      <c r="D394" s="3" t="n">
        <f aca="false">B394*100/B$2</f>
        <v>60.8799303463335</v>
      </c>
      <c r="E394" s="3" t="n">
        <f aca="false">C394*100/C$2</f>
        <v>78.6697832554186</v>
      </c>
      <c r="F394" s="0" t="n">
        <v>62.904585533044</v>
      </c>
      <c r="G394" s="0" t="n">
        <v>87.4433428801843</v>
      </c>
      <c r="H394" s="0" t="n">
        <v>74.2753931151721</v>
      </c>
      <c r="I394" s="0" t="n">
        <v>-13.1679497650121</v>
      </c>
    </row>
    <row r="395" customFormat="false" ht="13.8" hidden="false" customHeight="false" outlineLevel="0" collapsed="false">
      <c r="A395" s="2" t="n">
        <v>40002</v>
      </c>
      <c r="B395" s="0" t="n">
        <v>879.56</v>
      </c>
      <c r="C395" s="0" t="n">
        <v>184.73</v>
      </c>
      <c r="D395" s="3" t="n">
        <f aca="false">B395*100/B$2</f>
        <v>60.7783520826999</v>
      </c>
      <c r="E395" s="3" t="n">
        <f aca="false">C395*100/C$2</f>
        <v>78.5082872928177</v>
      </c>
      <c r="F395" s="0" t="n">
        <v>61.7112136874983</v>
      </c>
      <c r="G395" s="0" t="n">
        <v>87.0447086938015</v>
      </c>
      <c r="H395" s="0" t="n">
        <v>73.8419039524012</v>
      </c>
      <c r="I395" s="0" t="n">
        <v>-13.2028047414003</v>
      </c>
    </row>
    <row r="396" customFormat="false" ht="13.8" hidden="false" customHeight="false" outlineLevel="0" collapsed="false">
      <c r="A396" s="2" t="n">
        <v>40003</v>
      </c>
      <c r="B396" s="0" t="n">
        <v>882.68</v>
      </c>
      <c r="C396" s="0" t="n">
        <v>184.72</v>
      </c>
      <c r="D396" s="3" t="n">
        <f aca="false">B396*100/B$2</f>
        <v>60.9939467646977</v>
      </c>
      <c r="E396" s="3" t="n">
        <f aca="false">C396*100/C$2</f>
        <v>78.504037399065</v>
      </c>
      <c r="F396" s="0" t="n">
        <v>62.6627325243926</v>
      </c>
      <c r="G396" s="0" t="n">
        <v>87.3625542494755</v>
      </c>
      <c r="H396" s="0" t="n">
        <v>75.7288567785805</v>
      </c>
      <c r="I396" s="0" t="n">
        <v>-11.633697470895</v>
      </c>
    </row>
    <row r="397" customFormat="false" ht="13.8" hidden="false" customHeight="false" outlineLevel="0" collapsed="false">
      <c r="A397" s="2" t="n">
        <v>40004</v>
      </c>
      <c r="B397" s="0" t="n">
        <v>879.13</v>
      </c>
      <c r="C397" s="0" t="n">
        <v>184.56</v>
      </c>
      <c r="D397" s="3" t="n">
        <f aca="false">B397*100/B$2</f>
        <v>60.7486387130656</v>
      </c>
      <c r="E397" s="3" t="n">
        <f aca="false">C397*100/C$2</f>
        <v>78.4360390990225</v>
      </c>
      <c r="F397" s="0" t="n">
        <v>63.5133641062495</v>
      </c>
      <c r="G397" s="0" t="n">
        <v>87.6466994049111</v>
      </c>
      <c r="H397" s="0" t="n">
        <v>75.945601359966</v>
      </c>
      <c r="I397" s="0" t="n">
        <v>-11.7010980449451</v>
      </c>
    </row>
    <row r="398" customFormat="false" ht="13.8" hidden="false" customHeight="false" outlineLevel="0" collapsed="false">
      <c r="A398" s="2" t="n">
        <v>40007</v>
      </c>
      <c r="B398" s="0" t="n">
        <v>901.05</v>
      </c>
      <c r="C398" s="0" t="n">
        <v>178.15</v>
      </c>
      <c r="D398" s="3" t="n">
        <f aca="false">B398*100/B$2</f>
        <v>62.2633295558197</v>
      </c>
      <c r="E398" s="3" t="n">
        <f aca="false">C398*100/C$2</f>
        <v>75.7118572035699</v>
      </c>
      <c r="F398" s="0" t="n">
        <v>65.1531275049062</v>
      </c>
      <c r="G398" s="0" t="n">
        <v>88.1944463211163</v>
      </c>
      <c r="H398" s="0" t="n">
        <v>76.8805779855504</v>
      </c>
      <c r="I398" s="0" t="n">
        <v>-11.313868335566</v>
      </c>
    </row>
    <row r="399" customFormat="false" ht="13.8" hidden="false" customHeight="false" outlineLevel="0" collapsed="false">
      <c r="A399" s="2" t="n">
        <v>40008</v>
      </c>
      <c r="B399" s="0" t="n">
        <v>905.84</v>
      </c>
      <c r="C399" s="0" t="n">
        <v>179.43</v>
      </c>
      <c r="D399" s="3" t="n">
        <f aca="false">B399*100/B$2</f>
        <v>62.5943226733741</v>
      </c>
      <c r="E399" s="3" t="n">
        <f aca="false">C399*100/C$2</f>
        <v>76.2558436039099</v>
      </c>
      <c r="F399" s="0" t="n">
        <v>65.2823461123856</v>
      </c>
      <c r="G399" s="0" t="n">
        <v>88.2376105323807</v>
      </c>
      <c r="H399" s="0" t="n">
        <v>76.6978325541861</v>
      </c>
      <c r="I399" s="0" t="n">
        <v>-11.5397779781946</v>
      </c>
    </row>
    <row r="400" customFormat="false" ht="13.8" hidden="false" customHeight="false" outlineLevel="0" collapsed="false">
      <c r="A400" s="2" t="n">
        <v>40009</v>
      </c>
      <c r="B400" s="0" t="n">
        <v>932.68</v>
      </c>
      <c r="C400" s="0" t="n">
        <v>184.26</v>
      </c>
      <c r="D400" s="3" t="n">
        <f aca="false">B400*100/B$2</f>
        <v>64.4489897454324</v>
      </c>
      <c r="E400" s="3" t="n">
        <f aca="false">C400*100/C$2</f>
        <v>78.3085422864428</v>
      </c>
      <c r="F400" s="0" t="n">
        <v>64.3854169545869</v>
      </c>
      <c r="G400" s="0" t="n">
        <v>87.9380001247809</v>
      </c>
      <c r="H400" s="0" t="n">
        <v>76.6298342541437</v>
      </c>
      <c r="I400" s="0" t="n">
        <v>-11.3081658706372</v>
      </c>
    </row>
    <row r="401" customFormat="false" ht="13.8" hidden="false" customHeight="false" outlineLevel="0" collapsed="false">
      <c r="A401" s="2" t="n">
        <v>40010</v>
      </c>
      <c r="B401" s="0" t="n">
        <v>940.74</v>
      </c>
      <c r="C401" s="0" t="n">
        <v>186.22</v>
      </c>
      <c r="D401" s="3" t="n">
        <f aca="false">B401*100/B$2</f>
        <v>65.0059426739269</v>
      </c>
      <c r="E401" s="3" t="n">
        <f aca="false">C401*100/C$2</f>
        <v>79.1415214619635</v>
      </c>
      <c r="F401" s="0" t="n">
        <v>65.1247961524641</v>
      </c>
      <c r="G401" s="0" t="n">
        <v>88.1849825100904</v>
      </c>
      <c r="H401" s="0" t="n">
        <v>74.6918827029324</v>
      </c>
      <c r="I401" s="0" t="n">
        <v>-13.493099807158</v>
      </c>
    </row>
    <row r="402" customFormat="false" ht="13.8" hidden="false" customHeight="false" outlineLevel="0" collapsed="false">
      <c r="A402" s="2" t="n">
        <v>40011</v>
      </c>
      <c r="B402" s="0" t="n">
        <v>940.38</v>
      </c>
      <c r="C402" s="0" t="n">
        <v>187.16</v>
      </c>
      <c r="D402" s="3" t="n">
        <f aca="false">B402*100/B$2</f>
        <v>64.9810663644656</v>
      </c>
      <c r="E402" s="3" t="n">
        <f aca="false">C402*100/C$2</f>
        <v>79.5410114747131</v>
      </c>
      <c r="F402" s="0" t="n">
        <v>64.9610271151773</v>
      </c>
      <c r="G402" s="0" t="n">
        <v>88.1302770658677</v>
      </c>
      <c r="H402" s="0" t="n">
        <v>75.550361240969</v>
      </c>
      <c r="I402" s="0" t="n">
        <v>-12.5799158248987</v>
      </c>
    </row>
    <row r="403" customFormat="false" ht="13.8" hidden="false" customHeight="false" outlineLevel="0" collapsed="false">
      <c r="A403" s="2" t="n">
        <v>40014</v>
      </c>
      <c r="B403" s="0" t="n">
        <v>951.13</v>
      </c>
      <c r="C403" s="0" t="n">
        <v>192.25</v>
      </c>
      <c r="D403" s="3" t="n">
        <f aca="false">B403*100/B$2</f>
        <v>65.7239006053235</v>
      </c>
      <c r="E403" s="3" t="n">
        <f aca="false">C403*100/C$2</f>
        <v>81.7042073948151</v>
      </c>
      <c r="F403" s="0" t="n">
        <v>64.8953812985434</v>
      </c>
      <c r="G403" s="0" t="n">
        <v>88.1083487232467</v>
      </c>
      <c r="H403" s="0" t="n">
        <v>75.5078623034424</v>
      </c>
      <c r="I403" s="0" t="n">
        <v>-12.6004864198043</v>
      </c>
    </row>
    <row r="404" customFormat="false" ht="13.8" hidden="false" customHeight="false" outlineLevel="0" collapsed="false">
      <c r="A404" s="2" t="n">
        <v>40015</v>
      </c>
      <c r="B404" s="0" t="n">
        <v>954.58</v>
      </c>
      <c r="C404" s="0" t="n">
        <v>193.62</v>
      </c>
      <c r="D404" s="3" t="n">
        <f aca="false">B404*100/B$2</f>
        <v>65.9622985709942</v>
      </c>
      <c r="E404" s="3" t="n">
        <f aca="false">C404*100/C$2</f>
        <v>82.286442838929</v>
      </c>
      <c r="F404" s="0" t="n">
        <v>65.1227231266757</v>
      </c>
      <c r="G404" s="0" t="n">
        <v>88.1842900361129</v>
      </c>
      <c r="H404" s="0" t="n">
        <v>74.3348916277093</v>
      </c>
      <c r="I404" s="0" t="n">
        <v>-13.8493984084036</v>
      </c>
    </row>
    <row r="405" customFormat="false" ht="13.8" hidden="false" customHeight="false" outlineLevel="0" collapsed="false">
      <c r="A405" s="2" t="n">
        <v>40016</v>
      </c>
      <c r="B405" s="0" t="n">
        <v>954.07</v>
      </c>
      <c r="C405" s="0" t="n">
        <v>194.29</v>
      </c>
      <c r="D405" s="3" t="n">
        <f aca="false">B405*100/B$2</f>
        <v>65.9270571325907</v>
      </c>
      <c r="E405" s="3" t="n">
        <f aca="false">C405*100/C$2</f>
        <v>82.571185720357</v>
      </c>
      <c r="F405" s="0" t="n">
        <v>64.8960723071395</v>
      </c>
      <c r="G405" s="0" t="n">
        <v>88.1085795479059</v>
      </c>
      <c r="H405" s="0" t="n">
        <v>76.884827879303</v>
      </c>
      <c r="I405" s="0" t="n">
        <v>-11.2237516686029</v>
      </c>
    </row>
    <row r="406" customFormat="false" ht="13.8" hidden="false" customHeight="false" outlineLevel="0" collapsed="false">
      <c r="A406" s="2" t="n">
        <v>40017</v>
      </c>
      <c r="B406" s="0" t="n">
        <v>976.29</v>
      </c>
      <c r="C406" s="0" t="n">
        <v>194.4</v>
      </c>
      <c r="D406" s="3" t="n">
        <f aca="false">B406*100/B$2</f>
        <v>67.4624782332292</v>
      </c>
      <c r="E406" s="3" t="n">
        <f aca="false">C406*100/C$2</f>
        <v>82.6179345516362</v>
      </c>
      <c r="F406" s="0" t="n">
        <v>65.2927112413278</v>
      </c>
      <c r="G406" s="0" t="n">
        <v>88.2410729022682</v>
      </c>
      <c r="H406" s="0" t="n">
        <v>77.1058223544411</v>
      </c>
      <c r="I406" s="0" t="n">
        <v>-11.1352505478271</v>
      </c>
    </row>
    <row r="407" customFormat="false" ht="13.8" hidden="false" customHeight="false" outlineLevel="0" collapsed="false">
      <c r="A407" s="2" t="n">
        <v>40018</v>
      </c>
      <c r="B407" s="0" t="n">
        <v>979.26</v>
      </c>
      <c r="C407" s="0" t="n">
        <v>195.13</v>
      </c>
      <c r="D407" s="3" t="n">
        <f aca="false">B407*100/B$2</f>
        <v>67.6677077862849</v>
      </c>
      <c r="E407" s="3" t="n">
        <f aca="false">C407*100/C$2</f>
        <v>82.9281767955801</v>
      </c>
      <c r="F407" s="0" t="n">
        <v>65.3839243760192</v>
      </c>
      <c r="G407" s="0" t="n">
        <v>88.2715417572784</v>
      </c>
      <c r="H407" s="0" t="n">
        <v>77.6413089672758</v>
      </c>
      <c r="I407" s="0" t="n">
        <v>-10.6302327900026</v>
      </c>
    </row>
    <row r="408" customFormat="false" ht="13.8" hidden="false" customHeight="false" outlineLevel="0" collapsed="false">
      <c r="A408" s="2" t="n">
        <v>40021</v>
      </c>
      <c r="B408" s="0" t="n">
        <v>982.18</v>
      </c>
      <c r="C408" s="0" t="n">
        <v>198.07</v>
      </c>
      <c r="D408" s="3" t="n">
        <f aca="false">B408*100/B$2</f>
        <v>67.8694822963598</v>
      </c>
      <c r="E408" s="3" t="n">
        <f aca="false">C408*100/C$2</f>
        <v>84.177645558861</v>
      </c>
      <c r="F408" s="0" t="n">
        <v>63.8298460432848</v>
      </c>
      <c r="G408" s="0" t="n">
        <v>87.75241709881</v>
      </c>
      <c r="H408" s="0" t="n">
        <v>76.7785805354866</v>
      </c>
      <c r="I408" s="0" t="n">
        <v>-10.9738365633233</v>
      </c>
    </row>
    <row r="409" customFormat="false" ht="13.8" hidden="false" customHeight="false" outlineLevel="0" collapsed="false">
      <c r="A409" s="2" t="n">
        <v>40022</v>
      </c>
      <c r="B409" s="0" t="n">
        <v>979.62</v>
      </c>
      <c r="C409" s="0" t="n">
        <v>198.52</v>
      </c>
      <c r="D409" s="3" t="n">
        <f aca="false">B409*100/B$2</f>
        <v>67.6925840957461</v>
      </c>
      <c r="E409" s="3" t="n">
        <f aca="false">C409*100/C$2</f>
        <v>84.3688907777306</v>
      </c>
      <c r="F409" s="0" t="n">
        <v>63.0179109428121</v>
      </c>
      <c r="G409" s="0" t="n">
        <v>87.4811981242878</v>
      </c>
      <c r="H409" s="0" t="n">
        <v>76.0220994475138</v>
      </c>
      <c r="I409" s="0" t="n">
        <v>-11.459098676774</v>
      </c>
    </row>
    <row r="410" customFormat="false" ht="13.8" hidden="false" customHeight="false" outlineLevel="0" collapsed="false">
      <c r="A410" s="2" t="n">
        <v>40023</v>
      </c>
      <c r="B410" s="0" t="n">
        <v>975.15</v>
      </c>
      <c r="C410" s="0" t="n">
        <v>198.24</v>
      </c>
      <c r="D410" s="3" t="n">
        <f aca="false">B410*100/B$2</f>
        <v>67.3837032532685</v>
      </c>
      <c r="E410" s="3" t="n">
        <f aca="false">C410*100/C$2</f>
        <v>84.2498937526562</v>
      </c>
      <c r="F410" s="0" t="n">
        <v>62.9308438596976</v>
      </c>
      <c r="G410" s="0" t="n">
        <v>87.4521142172326</v>
      </c>
      <c r="H410" s="0" t="n">
        <v>75.5631109222269</v>
      </c>
      <c r="I410" s="0" t="n">
        <v>-11.8890032950057</v>
      </c>
    </row>
    <row r="411" customFormat="false" ht="13.8" hidden="false" customHeight="false" outlineLevel="0" collapsed="false">
      <c r="A411" s="2" t="n">
        <v>40024</v>
      </c>
      <c r="B411" s="0" t="n">
        <v>986.75</v>
      </c>
      <c r="C411" s="0" t="n">
        <v>199.88</v>
      </c>
      <c r="D411" s="3" t="n">
        <f aca="false">B411*100/B$2</f>
        <v>68.1852732247989</v>
      </c>
      <c r="E411" s="3" t="n">
        <f aca="false">C411*100/C$2</f>
        <v>84.9468763280918</v>
      </c>
      <c r="F411" s="0" t="n">
        <v>63.4601564443462</v>
      </c>
      <c r="G411" s="0" t="n">
        <v>87.6289259061552</v>
      </c>
      <c r="H411" s="0" t="n">
        <v>74.6026349341266</v>
      </c>
      <c r="I411" s="0" t="n">
        <v>-13.0262909720285</v>
      </c>
    </row>
    <row r="412" customFormat="false" ht="13.8" hidden="false" customHeight="false" outlineLevel="0" collapsed="false">
      <c r="A412" s="2" t="n">
        <v>40025</v>
      </c>
      <c r="B412" s="0" t="n">
        <v>987.48</v>
      </c>
      <c r="C412" s="0" t="n">
        <v>202.96</v>
      </c>
      <c r="D412" s="3" t="n">
        <f aca="false">B412*100/B$2</f>
        <v>68.2357168523176</v>
      </c>
      <c r="E412" s="3" t="n">
        <f aca="false">C412*100/C$2</f>
        <v>86.2558436039099</v>
      </c>
      <c r="F412" s="0" t="n">
        <v>63.6577849028442</v>
      </c>
      <c r="G412" s="0" t="n">
        <v>87.6949417586772</v>
      </c>
      <c r="H412" s="0" t="n">
        <v>75.0658733531662</v>
      </c>
      <c r="I412" s="0" t="n">
        <v>-12.629068405511</v>
      </c>
    </row>
    <row r="413" customFormat="false" ht="13.8" hidden="false" customHeight="false" outlineLevel="0" collapsed="false">
      <c r="A413" s="2" t="n">
        <v>40028</v>
      </c>
      <c r="B413" s="0" t="n">
        <v>1002.63</v>
      </c>
      <c r="C413" s="0" t="n">
        <v>203.81</v>
      </c>
      <c r="D413" s="3" t="n">
        <f aca="false">B413*100/B$2</f>
        <v>69.2825948754802</v>
      </c>
      <c r="E413" s="3" t="n">
        <f aca="false">C413*100/C$2</f>
        <v>86.6170845728857</v>
      </c>
      <c r="F413" s="0" t="n">
        <v>61.709831670306</v>
      </c>
      <c r="G413" s="0" t="n">
        <v>87.0442470444831</v>
      </c>
      <c r="H413" s="0" t="n">
        <v>76.081597960051</v>
      </c>
      <c r="I413" s="0" t="n">
        <v>-10.9626490844321</v>
      </c>
    </row>
    <row r="414" customFormat="false" ht="13.8" hidden="false" customHeight="false" outlineLevel="0" collapsed="false">
      <c r="A414" s="2" t="n">
        <v>40029</v>
      </c>
      <c r="B414" s="0" t="n">
        <v>1005.65</v>
      </c>
      <c r="C414" s="0" t="n">
        <v>204.1</v>
      </c>
      <c r="D414" s="3" t="n">
        <f aca="false">B414*100/B$2</f>
        <v>69.4912794715166</v>
      </c>
      <c r="E414" s="3" t="n">
        <f aca="false">C414*100/C$2</f>
        <v>86.7403314917127</v>
      </c>
      <c r="F414" s="0" t="n">
        <v>61.8521794411122</v>
      </c>
      <c r="G414" s="0" t="n">
        <v>87.0917969242717</v>
      </c>
      <c r="H414" s="0" t="n">
        <v>74.0841478963026</v>
      </c>
      <c r="I414" s="0" t="n">
        <v>-13.0076490279691</v>
      </c>
    </row>
    <row r="415" customFormat="false" ht="13.8" hidden="false" customHeight="false" outlineLevel="0" collapsed="false">
      <c r="A415" s="2" t="n">
        <v>40030</v>
      </c>
      <c r="B415" s="0" t="n">
        <v>1002.72</v>
      </c>
      <c r="C415" s="0" t="n">
        <v>203.19</v>
      </c>
      <c r="D415" s="3" t="n">
        <f aca="false">B415*100/B$2</f>
        <v>69.2888139528456</v>
      </c>
      <c r="E415" s="3" t="n">
        <f aca="false">C415*100/C$2</f>
        <v>86.353591160221</v>
      </c>
      <c r="F415" s="0" t="n">
        <v>62.2557284612621</v>
      </c>
      <c r="G415" s="0" t="n">
        <v>87.2265985252257</v>
      </c>
      <c r="H415" s="0" t="n">
        <v>74.4071398215045</v>
      </c>
      <c r="I415" s="0" t="n">
        <v>-12.8194587037212</v>
      </c>
    </row>
    <row r="416" customFormat="false" ht="13.8" hidden="false" customHeight="false" outlineLevel="0" collapsed="false">
      <c r="A416" s="2" t="n">
        <v>40031</v>
      </c>
      <c r="B416" s="0" t="n">
        <v>997.08</v>
      </c>
      <c r="C416" s="0" t="n">
        <v>203.74</v>
      </c>
      <c r="D416" s="3" t="n">
        <f aca="false">B416*100/B$2</f>
        <v>68.8990851046187</v>
      </c>
      <c r="E416" s="3" t="n">
        <f aca="false">C416*100/C$2</f>
        <v>86.5873353166171</v>
      </c>
      <c r="F416" s="0" t="n">
        <v>63.5907570690179</v>
      </c>
      <c r="G416" s="0" t="n">
        <v>87.6725517667379</v>
      </c>
      <c r="H416" s="0" t="n">
        <v>76.0135996600085</v>
      </c>
      <c r="I416" s="0" t="n">
        <v>-11.6589521067294</v>
      </c>
    </row>
    <row r="417" customFormat="false" ht="13.8" hidden="false" customHeight="false" outlineLevel="0" collapsed="false">
      <c r="A417" s="2" t="n">
        <v>40032</v>
      </c>
      <c r="B417" s="0" t="n">
        <v>1010.48</v>
      </c>
      <c r="C417" s="0" t="n">
        <v>204.95</v>
      </c>
      <c r="D417" s="3" t="n">
        <f aca="false">B417*100/B$2</f>
        <v>69.8250366234556</v>
      </c>
      <c r="E417" s="3" t="n">
        <f aca="false">C417*100/C$2</f>
        <v>87.1015724606885</v>
      </c>
      <c r="F417" s="0" t="n">
        <v>63.496779899942</v>
      </c>
      <c r="G417" s="0" t="n">
        <v>87.6411596130911</v>
      </c>
      <c r="H417" s="0" t="n">
        <v>76.1920951976201</v>
      </c>
      <c r="I417" s="0" t="n">
        <v>-11.449064415471</v>
      </c>
    </row>
    <row r="418" customFormat="false" ht="13.8" hidden="false" customHeight="false" outlineLevel="0" collapsed="false">
      <c r="A418" s="2" t="n">
        <v>40035</v>
      </c>
      <c r="B418" s="0" t="n">
        <v>1007.1</v>
      </c>
      <c r="C418" s="0" t="n">
        <v>204.77</v>
      </c>
      <c r="D418" s="3" t="n">
        <f aca="false">B418*100/B$2</f>
        <v>69.5914757179579</v>
      </c>
      <c r="E418" s="3" t="n">
        <f aca="false">C418*100/C$2</f>
        <v>87.0250743731407</v>
      </c>
      <c r="F418" s="0" t="n">
        <v>64.0723900605324</v>
      </c>
      <c r="G418" s="0" t="n">
        <v>87.8334365541779</v>
      </c>
      <c r="H418" s="0" t="n">
        <v>75.9923501912452</v>
      </c>
      <c r="I418" s="0" t="n">
        <v>-11.8410863629327</v>
      </c>
    </row>
    <row r="419" customFormat="false" ht="13.8" hidden="false" customHeight="false" outlineLevel="0" collapsed="false">
      <c r="A419" s="2" t="n">
        <v>40036</v>
      </c>
      <c r="B419" s="0" t="n">
        <v>1007.1</v>
      </c>
      <c r="C419" s="0" t="n">
        <v>204.96</v>
      </c>
      <c r="D419" s="3" t="n">
        <f aca="false">B419*100/B$2</f>
        <v>69.5914757179579</v>
      </c>
      <c r="E419" s="3" t="n">
        <f aca="false">C419*100/C$2</f>
        <v>87.1058223544411</v>
      </c>
      <c r="F419" s="0" t="n">
        <v>63.5258022609801</v>
      </c>
      <c r="G419" s="0" t="n">
        <v>87.6508542487761</v>
      </c>
      <c r="H419" s="0" t="n">
        <v>76.068848278793</v>
      </c>
      <c r="I419" s="0" t="n">
        <v>-11.5820059699831</v>
      </c>
    </row>
    <row r="420" customFormat="false" ht="13.8" hidden="false" customHeight="false" outlineLevel="0" collapsed="false">
      <c r="A420" s="2" t="n">
        <v>40037</v>
      </c>
      <c r="B420" s="0" t="n">
        <v>1005.81</v>
      </c>
      <c r="C420" s="0" t="n">
        <v>202.67</v>
      </c>
      <c r="D420" s="3" t="n">
        <f aca="false">B420*100/B$2</f>
        <v>69.502335609055</v>
      </c>
      <c r="E420" s="3" t="n">
        <f aca="false">C420*100/C$2</f>
        <v>86.1325966850829</v>
      </c>
      <c r="F420" s="0" t="n">
        <v>63.802896708035</v>
      </c>
      <c r="G420" s="0" t="n">
        <v>87.7434149371024</v>
      </c>
      <c r="H420" s="0" t="n">
        <v>77.3268168295793</v>
      </c>
      <c r="I420" s="0" t="n">
        <v>-10.4165981075232</v>
      </c>
    </row>
    <row r="421" customFormat="false" ht="13.8" hidden="false" customHeight="false" outlineLevel="0" collapsed="false">
      <c r="A421" s="2" t="n">
        <v>40038</v>
      </c>
      <c r="B421" s="0" t="n">
        <v>1012.73</v>
      </c>
      <c r="C421" s="0" t="n">
        <v>202.46</v>
      </c>
      <c r="D421" s="3" t="n">
        <f aca="false">B421*100/B$2</f>
        <v>69.9805135575887</v>
      </c>
      <c r="E421" s="3" t="n">
        <f aca="false">C421*100/C$2</f>
        <v>86.0433489162771</v>
      </c>
      <c r="F421" s="0" t="n">
        <v>61.9433925758036</v>
      </c>
      <c r="G421" s="0" t="n">
        <v>87.1222657792818</v>
      </c>
      <c r="H421" s="0" t="n">
        <v>77.2843178920527</v>
      </c>
      <c r="I421" s="0" t="n">
        <v>-9.83794788722913</v>
      </c>
    </row>
    <row r="422" customFormat="false" ht="13.8" hidden="false" customHeight="false" outlineLevel="0" collapsed="false">
      <c r="A422" s="2" t="n">
        <v>40039</v>
      </c>
      <c r="B422" s="0" t="n">
        <v>1004.09</v>
      </c>
      <c r="C422" s="0" t="n">
        <v>206.46</v>
      </c>
      <c r="D422" s="3" t="n">
        <f aca="false">B422*100/B$2</f>
        <v>69.3834821305177</v>
      </c>
      <c r="E422" s="3" t="n">
        <f aca="false">C422*100/C$2</f>
        <v>87.7433064173396</v>
      </c>
      <c r="F422" s="0" t="n">
        <v>61.9433925758036</v>
      </c>
      <c r="G422" s="0" t="n">
        <v>87.1222657792818</v>
      </c>
      <c r="H422" s="0" t="n">
        <v>77.7390565235869</v>
      </c>
      <c r="I422" s="0" t="n">
        <v>-9.38320925569492</v>
      </c>
    </row>
    <row r="423" customFormat="false" ht="13.8" hidden="false" customHeight="false" outlineLevel="0" collapsed="false">
      <c r="A423" s="2" t="n">
        <v>40042</v>
      </c>
      <c r="B423" s="0" t="n">
        <v>979.73</v>
      </c>
      <c r="C423" s="0" t="n">
        <v>200.52</v>
      </c>
      <c r="D423" s="3" t="n">
        <f aca="false">B423*100/B$2</f>
        <v>67.7001851903038</v>
      </c>
      <c r="E423" s="3" t="n">
        <f aca="false">C423*100/C$2</f>
        <v>85.2188695282618</v>
      </c>
      <c r="F423" s="0" t="n">
        <v>62.1023245529174</v>
      </c>
      <c r="G423" s="0" t="n">
        <v>87.1753554508904</v>
      </c>
      <c r="H423" s="0" t="n">
        <v>78.4105397365066</v>
      </c>
      <c r="I423" s="0" t="n">
        <v>-8.76481571438386</v>
      </c>
    </row>
    <row r="424" customFormat="false" ht="13.8" hidden="false" customHeight="false" outlineLevel="0" collapsed="false">
      <c r="A424" s="2" t="n">
        <v>40043</v>
      </c>
      <c r="B424" s="0" t="n">
        <v>989.67</v>
      </c>
      <c r="C424" s="0" t="n">
        <v>201.33</v>
      </c>
      <c r="D424" s="3" t="n">
        <f aca="false">B424*100/B$2</f>
        <v>68.3870477348738</v>
      </c>
      <c r="E424" s="3" t="n">
        <f aca="false">C424*100/C$2</f>
        <v>85.5631109222269</v>
      </c>
      <c r="F424" s="0" t="n">
        <v>60.8799303463335</v>
      </c>
      <c r="G424" s="0" t="n">
        <v>86.7670266288226</v>
      </c>
      <c r="H424" s="0" t="n">
        <v>78.6697832554186</v>
      </c>
      <c r="I424" s="0" t="n">
        <v>-8.09724337340397</v>
      </c>
    </row>
    <row r="425" customFormat="false" ht="13.8" hidden="false" customHeight="false" outlineLevel="0" collapsed="false">
      <c r="A425" s="2" t="n">
        <v>40044</v>
      </c>
      <c r="B425" s="0" t="n">
        <v>996.46</v>
      </c>
      <c r="C425" s="0" t="n">
        <v>201.08</v>
      </c>
      <c r="D425" s="3" t="n">
        <f aca="false">B425*100/B$2</f>
        <v>68.8562425716576</v>
      </c>
      <c r="E425" s="3" t="n">
        <f aca="false">C425*100/C$2</f>
        <v>85.4568635784105</v>
      </c>
      <c r="F425" s="0" t="n">
        <v>60.7783520826999</v>
      </c>
      <c r="G425" s="0" t="n">
        <v>86.7330954039249</v>
      </c>
      <c r="H425" s="0" t="n">
        <v>78.5082872928177</v>
      </c>
      <c r="I425" s="0" t="n">
        <v>-8.22480811110724</v>
      </c>
    </row>
    <row r="426" customFormat="false" ht="13.8" hidden="false" customHeight="false" outlineLevel="0" collapsed="false">
      <c r="A426" s="2" t="n">
        <v>40045</v>
      </c>
      <c r="B426" s="0" t="n">
        <v>1007.37</v>
      </c>
      <c r="C426" s="0" t="n">
        <v>205.22</v>
      </c>
      <c r="D426" s="3" t="n">
        <f aca="false">B426*100/B$2</f>
        <v>69.6101329500539</v>
      </c>
      <c r="E426" s="3" t="n">
        <f aca="false">C426*100/C$2</f>
        <v>87.2163195920102</v>
      </c>
      <c r="F426" s="0" t="n">
        <v>60.9939467646977</v>
      </c>
      <c r="G426" s="0" t="n">
        <v>86.8051126975853</v>
      </c>
      <c r="H426" s="0" t="n">
        <v>78.504037399065</v>
      </c>
      <c r="I426" s="0" t="n">
        <v>-8.30107529852023</v>
      </c>
    </row>
    <row r="427" customFormat="false" ht="13.8" hidden="false" customHeight="false" outlineLevel="0" collapsed="false">
      <c r="A427" s="2" t="n">
        <v>40046</v>
      </c>
      <c r="B427" s="0" t="n">
        <v>1026.13</v>
      </c>
      <c r="C427" s="0" t="n">
        <v>206.26</v>
      </c>
      <c r="D427" s="3" t="n">
        <f aca="false">B427*100/B$2</f>
        <v>70.9064650764256</v>
      </c>
      <c r="E427" s="3" t="n">
        <f aca="false">C427*100/C$2</f>
        <v>87.6583085422864</v>
      </c>
      <c r="F427" s="0" t="n">
        <v>60.7486387130656</v>
      </c>
      <c r="G427" s="0" t="n">
        <v>86.7231699435807</v>
      </c>
      <c r="H427" s="0" t="n">
        <v>78.4360390990225</v>
      </c>
      <c r="I427" s="0" t="n">
        <v>-8.28713084455816</v>
      </c>
    </row>
    <row r="428" customFormat="false" ht="13.8" hidden="false" customHeight="false" outlineLevel="0" collapsed="false">
      <c r="A428" s="2" t="n">
        <v>40049</v>
      </c>
      <c r="B428" s="0" t="n">
        <v>1025.56</v>
      </c>
      <c r="C428" s="0" t="n">
        <v>210.6</v>
      </c>
      <c r="D428" s="3" t="n">
        <f aca="false">B428*100/B$2</f>
        <v>70.8670775864452</v>
      </c>
      <c r="E428" s="3" t="n">
        <f aca="false">C428*100/C$2</f>
        <v>89.5027624309392</v>
      </c>
      <c r="F428" s="0" t="n">
        <v>62.2633295558197</v>
      </c>
      <c r="G428" s="0" t="n">
        <v>87.2291375964765</v>
      </c>
      <c r="H428" s="0" t="n">
        <v>75.7118572035699</v>
      </c>
      <c r="I428" s="0" t="n">
        <v>-11.5172803929066</v>
      </c>
    </row>
    <row r="429" customFormat="false" ht="13.8" hidden="false" customHeight="false" outlineLevel="0" collapsed="false">
      <c r="A429" s="2" t="n">
        <v>40050</v>
      </c>
      <c r="B429" s="0" t="n">
        <v>1028</v>
      </c>
      <c r="C429" s="0" t="n">
        <v>209.12</v>
      </c>
      <c r="D429" s="3" t="n">
        <f aca="false">B429*100/B$2</f>
        <v>71.035683683905</v>
      </c>
      <c r="E429" s="3" t="n">
        <f aca="false">C429*100/C$2</f>
        <v>88.8737781555461</v>
      </c>
      <c r="F429" s="0" t="n">
        <v>62.5943226733741</v>
      </c>
      <c r="G429" s="0" t="n">
        <v>87.3397026082179</v>
      </c>
      <c r="H429" s="0" t="n">
        <v>76.2558436039099</v>
      </c>
      <c r="I429" s="0" t="n">
        <v>-11.083859004308</v>
      </c>
    </row>
    <row r="430" customFormat="false" ht="13.8" hidden="false" customHeight="false" outlineLevel="0" collapsed="false">
      <c r="A430" s="2" t="n">
        <v>40051</v>
      </c>
      <c r="B430" s="0" t="n">
        <v>1028.12</v>
      </c>
      <c r="C430" s="0" t="n">
        <v>210.62</v>
      </c>
      <c r="D430" s="3" t="n">
        <f aca="false">B430*100/B$2</f>
        <v>71.0439757870588</v>
      </c>
      <c r="E430" s="3" t="n">
        <f aca="false">C430*100/C$2</f>
        <v>89.5112622184445</v>
      </c>
      <c r="F430" s="0" t="n">
        <v>64.4489897454324</v>
      </c>
      <c r="G430" s="0" t="n">
        <v>87.9592359934243</v>
      </c>
      <c r="H430" s="0" t="n">
        <v>78.3085422864428</v>
      </c>
      <c r="I430" s="0" t="n">
        <v>-9.6506937069815</v>
      </c>
    </row>
    <row r="431" customFormat="false" ht="13.8" hidden="false" customHeight="false" outlineLevel="0" collapsed="false">
      <c r="A431" s="2" t="n">
        <v>40052</v>
      </c>
      <c r="B431" s="0" t="n">
        <v>1030.98</v>
      </c>
      <c r="C431" s="0" t="n">
        <v>208.62</v>
      </c>
      <c r="D431" s="3" t="n">
        <f aca="false">B431*100/B$2</f>
        <v>71.2416042455568</v>
      </c>
      <c r="E431" s="3" t="n">
        <f aca="false">C431*100/C$2</f>
        <v>88.6612834679133</v>
      </c>
      <c r="F431" s="0" t="n">
        <v>65.0059426739269</v>
      </c>
      <c r="G431" s="0" t="n">
        <v>88.1452806687136</v>
      </c>
      <c r="H431" s="0" t="n">
        <v>79.1415214619635</v>
      </c>
      <c r="I431" s="0" t="n">
        <v>-9.00375920675013</v>
      </c>
    </row>
    <row r="432" customFormat="false" ht="13.8" hidden="false" customHeight="false" outlineLevel="0" collapsed="false">
      <c r="A432" s="2" t="n">
        <v>40053</v>
      </c>
      <c r="B432" s="0" t="n">
        <v>1028.93</v>
      </c>
      <c r="C432" s="0" t="n">
        <v>209.74</v>
      </c>
      <c r="D432" s="3" t="n">
        <f aca="false">B432*100/B$2</f>
        <v>71.0999474833467</v>
      </c>
      <c r="E432" s="3" t="n">
        <f aca="false">C432*100/C$2</f>
        <v>89.1372715682108</v>
      </c>
      <c r="F432" s="0" t="n">
        <v>64.9810663644656</v>
      </c>
      <c r="G432" s="0" t="n">
        <v>88.1369709809835</v>
      </c>
      <c r="H432" s="0" t="n">
        <v>79.5410114747131</v>
      </c>
      <c r="I432" s="0" t="n">
        <v>-8.5959595062704</v>
      </c>
    </row>
    <row r="433" customFormat="false" ht="13.8" hidden="false" customHeight="false" outlineLevel="0" collapsed="false">
      <c r="A433" s="2" t="n">
        <v>40056</v>
      </c>
      <c r="B433" s="0" t="n">
        <v>1020.62</v>
      </c>
      <c r="C433" s="0" t="n">
        <v>207.44</v>
      </c>
      <c r="D433" s="3" t="n">
        <f aca="false">B433*100/B$2</f>
        <v>70.5257193399486</v>
      </c>
      <c r="E433" s="3" t="n">
        <f aca="false">C433*100/C$2</f>
        <v>88.1597960050999</v>
      </c>
      <c r="F433" s="0" t="n">
        <v>65.7239006053235</v>
      </c>
      <c r="G433" s="0" t="n">
        <v>88.3851074895889</v>
      </c>
      <c r="H433" s="0" t="n">
        <v>81.7042073948151</v>
      </c>
      <c r="I433" s="0" t="n">
        <v>-6.6809000947738</v>
      </c>
    </row>
    <row r="434" customFormat="false" ht="13.8" hidden="false" customHeight="false" outlineLevel="0" collapsed="false">
      <c r="A434" s="2" t="n">
        <v>40057</v>
      </c>
      <c r="B434" s="0" t="n">
        <v>998.04</v>
      </c>
      <c r="C434" s="0" t="n">
        <v>211.89</v>
      </c>
      <c r="D434" s="3" t="n">
        <f aca="false">B434*100/B$2</f>
        <v>68.9654219298488</v>
      </c>
      <c r="E434" s="3" t="n">
        <f aca="false">C434*100/C$2</f>
        <v>90.0509987250319</v>
      </c>
      <c r="F434" s="0" t="n">
        <v>65.9622985709942</v>
      </c>
      <c r="G434" s="0" t="n">
        <v>88.4647419970018</v>
      </c>
      <c r="H434" s="0" t="n">
        <v>82.286442838929</v>
      </c>
      <c r="I434" s="0" t="n">
        <v>-6.17829915807282</v>
      </c>
    </row>
    <row r="435" customFormat="false" ht="13.8" hidden="false" customHeight="false" outlineLevel="0" collapsed="false">
      <c r="A435" s="2" t="n">
        <v>40058</v>
      </c>
      <c r="B435" s="0" t="n">
        <v>994.75</v>
      </c>
      <c r="C435" s="0" t="n">
        <v>210.51</v>
      </c>
      <c r="D435" s="3" t="n">
        <f aca="false">B435*100/B$2</f>
        <v>68.7380801017165</v>
      </c>
      <c r="E435" s="3" t="n">
        <f aca="false">C435*100/C$2</f>
        <v>89.4645133871653</v>
      </c>
      <c r="F435" s="0" t="n">
        <v>65.9270571325907</v>
      </c>
      <c r="G435" s="0" t="n">
        <v>88.4529699393843</v>
      </c>
      <c r="H435" s="0" t="n">
        <v>82.571185720357</v>
      </c>
      <c r="I435" s="0" t="n">
        <v>-5.88178421902728</v>
      </c>
    </row>
    <row r="436" customFormat="false" ht="13.8" hidden="false" customHeight="false" outlineLevel="0" collapsed="false">
      <c r="A436" s="2" t="n">
        <v>40059</v>
      </c>
      <c r="B436" s="0" t="n">
        <v>1003.24</v>
      </c>
      <c r="C436" s="0" t="n">
        <v>210.6</v>
      </c>
      <c r="D436" s="3" t="n">
        <f aca="false">B436*100/B$2</f>
        <v>69.3247463998452</v>
      </c>
      <c r="E436" s="3" t="n">
        <f aca="false">C436*100/C$2</f>
        <v>89.5027624309392</v>
      </c>
      <c r="F436" s="0" t="n">
        <v>67.4624782332292</v>
      </c>
      <c r="G436" s="0" t="n">
        <v>88.9658623320551</v>
      </c>
      <c r="H436" s="0" t="n">
        <v>82.6179345516362</v>
      </c>
      <c r="I436" s="0" t="n">
        <v>-6.34792778041894</v>
      </c>
    </row>
    <row r="437" customFormat="false" ht="13.8" hidden="false" customHeight="false" outlineLevel="0" collapsed="false">
      <c r="A437" s="2" t="n">
        <v>40060</v>
      </c>
      <c r="B437" s="0" t="n">
        <v>1016.4</v>
      </c>
      <c r="C437" s="0" t="n">
        <v>209.81</v>
      </c>
      <c r="D437" s="3" t="n">
        <f aca="false">B437*100/B$2</f>
        <v>70.2341137123746</v>
      </c>
      <c r="E437" s="3" t="n">
        <f aca="false">C437*100/C$2</f>
        <v>89.1670208244794</v>
      </c>
      <c r="F437" s="0" t="n">
        <v>67.6677077862849</v>
      </c>
      <c r="G437" s="0" t="n">
        <v>89.034417255828</v>
      </c>
      <c r="H437" s="0" t="n">
        <v>82.9281767955801</v>
      </c>
      <c r="I437" s="0" t="n">
        <v>-6.10624046024789</v>
      </c>
    </row>
    <row r="438" customFormat="false" ht="13.8" hidden="false" customHeight="false" outlineLevel="0" collapsed="false">
      <c r="A438" s="2" t="n">
        <v>40063</v>
      </c>
      <c r="B438" s="0" t="n">
        <v>1016.4</v>
      </c>
      <c r="C438" s="0" t="n">
        <v>209.73</v>
      </c>
      <c r="D438" s="3" t="n">
        <f aca="false">B438*100/B$2</f>
        <v>70.2341137123746</v>
      </c>
      <c r="E438" s="3" t="n">
        <f aca="false">C438*100/C$2</f>
        <v>89.1330216744581</v>
      </c>
      <c r="F438" s="0" t="n">
        <v>67.8694822963598</v>
      </c>
      <c r="G438" s="0" t="n">
        <v>89.101818056305</v>
      </c>
      <c r="H438" s="0" t="n">
        <v>84.177645558861</v>
      </c>
      <c r="I438" s="0" t="n">
        <v>-4.92417249744396</v>
      </c>
    </row>
    <row r="439" customFormat="false" ht="13.8" hidden="false" customHeight="false" outlineLevel="0" collapsed="false">
      <c r="A439" s="2" t="n">
        <v>40064</v>
      </c>
      <c r="B439" s="0" t="n">
        <v>1025.39</v>
      </c>
      <c r="C439" s="0" t="n">
        <v>211.4</v>
      </c>
      <c r="D439" s="3" t="n">
        <f aca="false">B439*100/B$2</f>
        <v>70.8553304403107</v>
      </c>
      <c r="E439" s="3" t="n">
        <f aca="false">C439*100/C$2</f>
        <v>89.8427539311517</v>
      </c>
      <c r="F439" s="0" t="n">
        <v>67.6925840957461</v>
      </c>
      <c r="G439" s="0" t="n">
        <v>89.042726943558</v>
      </c>
      <c r="H439" s="0" t="n">
        <v>84.3688907777306</v>
      </c>
      <c r="I439" s="0" t="n">
        <v>-4.67383616582748</v>
      </c>
    </row>
    <row r="440" customFormat="false" ht="13.8" hidden="false" customHeight="false" outlineLevel="0" collapsed="false">
      <c r="A440" s="2" t="n">
        <v>40065</v>
      </c>
      <c r="B440" s="0" t="n">
        <v>1033.37</v>
      </c>
      <c r="C440" s="0" t="n">
        <v>210.09</v>
      </c>
      <c r="D440" s="3" t="n">
        <f aca="false">B440*100/B$2</f>
        <v>71.4067553000359</v>
      </c>
      <c r="E440" s="3" t="n">
        <f aca="false">C440*100/C$2</f>
        <v>89.2860178495538</v>
      </c>
      <c r="F440" s="0" t="n">
        <v>67.3837032532685</v>
      </c>
      <c r="G440" s="0" t="n">
        <v>88.93954832091</v>
      </c>
      <c r="H440" s="0" t="n">
        <v>84.2498937526562</v>
      </c>
      <c r="I440" s="0" t="n">
        <v>-4.68965456825384</v>
      </c>
    </row>
    <row r="441" customFormat="false" ht="13.8" hidden="false" customHeight="false" outlineLevel="0" collapsed="false">
      <c r="A441" s="2" t="n">
        <v>40066</v>
      </c>
      <c r="B441" s="0" t="n">
        <v>1044.14</v>
      </c>
      <c r="C441" s="0" t="n">
        <v>214.92</v>
      </c>
      <c r="D441" s="3" t="n">
        <f aca="false">B441*100/B$2</f>
        <v>72.1509715580862</v>
      </c>
      <c r="E441" s="3" t="n">
        <f aca="false">C441*100/C$2</f>
        <v>91.3387165320867</v>
      </c>
      <c r="F441" s="0" t="n">
        <v>68.1852732247989</v>
      </c>
      <c r="G441" s="0" t="n">
        <v>89.2073049255447</v>
      </c>
      <c r="H441" s="0" t="n">
        <v>84.9468763280918</v>
      </c>
      <c r="I441" s="0" t="n">
        <v>-4.2604285974529</v>
      </c>
    </row>
    <row r="442" customFormat="false" ht="13.8" hidden="false" customHeight="false" outlineLevel="0" collapsed="false">
      <c r="A442" s="2" t="n">
        <v>40067</v>
      </c>
      <c r="B442" s="0" t="n">
        <v>1042.73</v>
      </c>
      <c r="C442" s="0" t="n">
        <v>215.81</v>
      </c>
      <c r="D442" s="3" t="n">
        <f aca="false">B442*100/B$2</f>
        <v>72.0535393460295</v>
      </c>
      <c r="E442" s="3" t="n">
        <f aca="false">C442*100/C$2</f>
        <v>91.7169570760731</v>
      </c>
      <c r="F442" s="0" t="n">
        <v>68.2357168523176</v>
      </c>
      <c r="G442" s="0" t="n">
        <v>89.2241551256639</v>
      </c>
      <c r="H442" s="0" t="n">
        <v>86.2558436039099</v>
      </c>
      <c r="I442" s="0" t="n">
        <v>-2.96831152175405</v>
      </c>
    </row>
    <row r="443" customFormat="false" ht="13.8" hidden="false" customHeight="false" outlineLevel="0" collapsed="false">
      <c r="A443" s="2" t="n">
        <v>40070</v>
      </c>
      <c r="B443" s="0" t="n">
        <v>1049.34</v>
      </c>
      <c r="C443" s="0" t="n">
        <v>213.42</v>
      </c>
      <c r="D443" s="3" t="n">
        <f aca="false">B443*100/B$2</f>
        <v>72.5102960280826</v>
      </c>
      <c r="E443" s="3" t="n">
        <f aca="false">C443*100/C$2</f>
        <v>90.7012324691883</v>
      </c>
      <c r="F443" s="0" t="n">
        <v>69.2825948754802</v>
      </c>
      <c r="G443" s="0" t="n">
        <v>89.5738544843032</v>
      </c>
      <c r="H443" s="0" t="n">
        <v>86.6170845728857</v>
      </c>
      <c r="I443" s="0" t="n">
        <v>-2.9567699114175</v>
      </c>
    </row>
    <row r="444" customFormat="false" ht="13.8" hidden="false" customHeight="false" outlineLevel="0" collapsed="false">
      <c r="A444" s="2" t="n">
        <v>40071</v>
      </c>
      <c r="B444" s="0" t="n">
        <v>1052.63</v>
      </c>
      <c r="C444" s="0" t="n">
        <v>216.14</v>
      </c>
      <c r="D444" s="3" t="n">
        <f aca="false">B444*100/B$2</f>
        <v>72.7376378562149</v>
      </c>
      <c r="E444" s="3" t="n">
        <f aca="false">C444*100/C$2</f>
        <v>91.8572035699108</v>
      </c>
      <c r="F444" s="0" t="n">
        <v>69.4912794715166</v>
      </c>
      <c r="G444" s="0" t="n">
        <v>89.6435635313719</v>
      </c>
      <c r="H444" s="0" t="n">
        <v>86.7403314917127</v>
      </c>
      <c r="I444" s="0" t="n">
        <v>-2.90323203965914</v>
      </c>
    </row>
    <row r="445" customFormat="false" ht="13.8" hidden="false" customHeight="false" outlineLevel="0" collapsed="false">
      <c r="A445" s="2" t="n">
        <v>40072</v>
      </c>
      <c r="B445" s="0" t="n">
        <v>1068.76</v>
      </c>
      <c r="C445" s="0" t="n">
        <v>220.53</v>
      </c>
      <c r="D445" s="3" t="n">
        <f aca="false">B445*100/B$2</f>
        <v>73.8522347217999</v>
      </c>
      <c r="E445" s="3" t="n">
        <f aca="false">C445*100/C$2</f>
        <v>93.7229069273268</v>
      </c>
      <c r="F445" s="0" t="n">
        <v>69.2888139528456</v>
      </c>
      <c r="G445" s="0" t="n">
        <v>89.5759319062357</v>
      </c>
      <c r="H445" s="0" t="n">
        <v>86.353591160221</v>
      </c>
      <c r="I445" s="0" t="n">
        <v>-3.22234074601469</v>
      </c>
    </row>
    <row r="446" customFormat="false" ht="13.8" hidden="false" customHeight="false" outlineLevel="0" collapsed="false">
      <c r="A446" s="2" t="n">
        <v>40073</v>
      </c>
      <c r="B446" s="0" t="n">
        <v>1065.49</v>
      </c>
      <c r="C446" s="0" t="n">
        <v>222.31</v>
      </c>
      <c r="D446" s="3" t="n">
        <f aca="false">B446*100/B$2</f>
        <v>73.6262749108599</v>
      </c>
      <c r="E446" s="3" t="n">
        <f aca="false">C446*100/C$2</f>
        <v>94.4793880152996</v>
      </c>
      <c r="F446" s="0" t="n">
        <v>68.8990851046187</v>
      </c>
      <c r="G446" s="0" t="n">
        <v>89.445746798465</v>
      </c>
      <c r="H446" s="0" t="n">
        <v>86.5873353166171</v>
      </c>
      <c r="I446" s="0" t="n">
        <v>-2.85841148184795</v>
      </c>
    </row>
    <row r="447" customFormat="false" ht="13.8" hidden="false" customHeight="false" outlineLevel="0" collapsed="false">
      <c r="A447" s="2" t="n">
        <v>40074</v>
      </c>
      <c r="B447" s="0" t="n">
        <v>1068.3</v>
      </c>
      <c r="C447" s="0" t="n">
        <v>222.34</v>
      </c>
      <c r="D447" s="3" t="n">
        <f aca="false">B447*100/B$2</f>
        <v>73.8204483263772</v>
      </c>
      <c r="E447" s="3" t="n">
        <f aca="false">C447*100/C$2</f>
        <v>94.4921376965576</v>
      </c>
      <c r="F447" s="0" t="n">
        <v>69.8250366234556</v>
      </c>
      <c r="G447" s="0" t="n">
        <v>89.7550518417499</v>
      </c>
      <c r="H447" s="0" t="n">
        <v>87.1015724606885</v>
      </c>
      <c r="I447" s="0" t="n">
        <v>-2.65347938106143</v>
      </c>
    </row>
    <row r="448" customFormat="false" ht="13.8" hidden="false" customHeight="false" outlineLevel="0" collapsed="false">
      <c r="A448" s="2" t="n">
        <v>40077</v>
      </c>
      <c r="B448" s="0" t="n">
        <v>1064.66</v>
      </c>
      <c r="C448" s="0" t="n">
        <v>221.85</v>
      </c>
      <c r="D448" s="3" t="n">
        <f aca="false">B448*100/B$2</f>
        <v>73.5689211973797</v>
      </c>
      <c r="E448" s="3" t="n">
        <f aca="false">C448*100/C$2</f>
        <v>94.2838929026774</v>
      </c>
      <c r="F448" s="0" t="n">
        <v>69.5914757179579</v>
      </c>
      <c r="G448" s="0" t="n">
        <v>89.6770331069512</v>
      </c>
      <c r="H448" s="0" t="n">
        <v>87.0250743731407</v>
      </c>
      <c r="I448" s="0" t="n">
        <v>-2.65195873381052</v>
      </c>
    </row>
    <row r="449" customFormat="false" ht="13.8" hidden="false" customHeight="false" outlineLevel="0" collapsed="false">
      <c r="A449" s="2" t="n">
        <v>40078</v>
      </c>
      <c r="B449" s="0" t="n">
        <v>1071.66</v>
      </c>
      <c r="C449" s="0" t="n">
        <v>225.27</v>
      </c>
      <c r="D449" s="3" t="n">
        <f aca="false">B449*100/B$2</f>
        <v>74.0526272146826</v>
      </c>
      <c r="E449" s="3" t="n">
        <f aca="false">C449*100/C$2</f>
        <v>95.7373565660859</v>
      </c>
      <c r="F449" s="0" t="n">
        <v>69.5914757179579</v>
      </c>
      <c r="G449" s="0" t="n">
        <v>89.6770331069512</v>
      </c>
      <c r="H449" s="0" t="n">
        <v>87.1058223544411</v>
      </c>
      <c r="I449" s="0" t="n">
        <v>-2.57121075251005</v>
      </c>
    </row>
    <row r="450" customFormat="false" ht="13.8" hidden="false" customHeight="false" outlineLevel="0" collapsed="false">
      <c r="A450" s="2" t="n">
        <v>40079</v>
      </c>
      <c r="B450" s="0" t="n">
        <v>1060.87</v>
      </c>
      <c r="C450" s="0" t="n">
        <v>224.69</v>
      </c>
      <c r="D450" s="3" t="n">
        <f aca="false">B450*100/B$2</f>
        <v>73.30702893944</v>
      </c>
      <c r="E450" s="3" t="n">
        <f aca="false">C450*100/C$2</f>
        <v>95.4908627284318</v>
      </c>
      <c r="F450" s="0" t="n">
        <v>69.502335609055</v>
      </c>
      <c r="G450" s="0" t="n">
        <v>89.6472567259185</v>
      </c>
      <c r="H450" s="0" t="n">
        <v>86.1325966850829</v>
      </c>
      <c r="I450" s="0" t="n">
        <v>-3.51466004083566</v>
      </c>
    </row>
    <row r="451" customFormat="false" ht="13.8" hidden="false" customHeight="false" outlineLevel="0" collapsed="false">
      <c r="A451" s="2" t="n">
        <v>40080</v>
      </c>
      <c r="B451" s="0" t="n">
        <v>1050.78</v>
      </c>
      <c r="C451" s="0" t="n">
        <v>222.35</v>
      </c>
      <c r="D451" s="3" t="n">
        <f aca="false">B451*100/B$2</f>
        <v>72.6098012659277</v>
      </c>
      <c r="E451" s="3" t="n">
        <f aca="false">C451*100/C$2</f>
        <v>94.4963875903102</v>
      </c>
      <c r="F451" s="0" t="n">
        <v>69.9805135575887</v>
      </c>
      <c r="G451" s="0" t="n">
        <v>89.8069873900627</v>
      </c>
      <c r="H451" s="0" t="n">
        <v>86.0433489162771</v>
      </c>
      <c r="I451" s="0" t="n">
        <v>-3.76363847378558</v>
      </c>
    </row>
    <row r="452" customFormat="false" ht="13.8" hidden="false" customHeight="false" outlineLevel="0" collapsed="false">
      <c r="A452" s="2" t="n">
        <v>40081</v>
      </c>
      <c r="B452" s="0" t="n">
        <v>1044.38</v>
      </c>
      <c r="C452" s="0" t="n">
        <v>221.82</v>
      </c>
      <c r="D452" s="3" t="n">
        <f aca="false">B452*100/B$2</f>
        <v>72.1675557643937</v>
      </c>
      <c r="E452" s="3" t="n">
        <f aca="false">C452*100/C$2</f>
        <v>94.2711432214195</v>
      </c>
      <c r="F452" s="0" t="n">
        <v>69.3834821305177</v>
      </c>
      <c r="G452" s="0" t="n">
        <v>89.6075548845417</v>
      </c>
      <c r="H452" s="0" t="n">
        <v>87.7433064173396</v>
      </c>
      <c r="I452" s="0" t="n">
        <v>-1.8642484672021</v>
      </c>
    </row>
    <row r="453" customFormat="false" ht="13.8" hidden="false" customHeight="false" outlineLevel="0" collapsed="false">
      <c r="A453" s="2" t="n">
        <v>40084</v>
      </c>
      <c r="B453" s="0" t="n">
        <v>1062.98</v>
      </c>
      <c r="C453" s="0" t="n">
        <v>219.66</v>
      </c>
      <c r="D453" s="3" t="n">
        <f aca="false">B453*100/B$2</f>
        <v>73.452831753227</v>
      </c>
      <c r="E453" s="3" t="n">
        <f aca="false">C453*100/C$2</f>
        <v>93.3531661708457</v>
      </c>
      <c r="F453" s="0" t="n">
        <v>67.7001851903038</v>
      </c>
      <c r="G453" s="0" t="n">
        <v>89.0452660148089</v>
      </c>
      <c r="H453" s="0" t="n">
        <v>85.2188695282618</v>
      </c>
      <c r="I453" s="0" t="n">
        <v>-3.82639648654708</v>
      </c>
    </row>
    <row r="454" customFormat="false" ht="13.8" hidden="false" customHeight="false" outlineLevel="0" collapsed="false">
      <c r="A454" s="2" t="n">
        <v>40085</v>
      </c>
      <c r="B454" s="0" t="n">
        <v>1060.61</v>
      </c>
      <c r="C454" s="0" t="n">
        <v>221.59</v>
      </c>
      <c r="D454" s="3" t="n">
        <f aca="false">B454*100/B$2</f>
        <v>73.2890627159402</v>
      </c>
      <c r="E454" s="3" t="n">
        <f aca="false">C454*100/C$2</f>
        <v>94.1733956651084</v>
      </c>
      <c r="F454" s="0" t="n">
        <v>68.3870477348738</v>
      </c>
      <c r="G454" s="0" t="n">
        <v>89.2747057260217</v>
      </c>
      <c r="H454" s="0" t="n">
        <v>85.5631109222269</v>
      </c>
      <c r="I454" s="0" t="n">
        <v>-3.71159480379475</v>
      </c>
    </row>
    <row r="455" customFormat="false" ht="13.8" hidden="false" customHeight="false" outlineLevel="0" collapsed="false">
      <c r="A455" s="2" t="n">
        <v>40086</v>
      </c>
      <c r="B455" s="0" t="n">
        <v>1057.07</v>
      </c>
      <c r="C455" s="0" t="n">
        <v>219.75</v>
      </c>
      <c r="D455" s="3" t="n">
        <f aca="false">B455*100/B$2</f>
        <v>73.0444456729042</v>
      </c>
      <c r="E455" s="3" t="n">
        <f aca="false">C455*100/C$2</f>
        <v>93.3914152146196</v>
      </c>
      <c r="F455" s="0" t="n">
        <v>68.8562425716576</v>
      </c>
      <c r="G455" s="0" t="n">
        <v>89.4314356695966</v>
      </c>
      <c r="H455" s="0" t="n">
        <v>85.4568635784105</v>
      </c>
      <c r="I455" s="0" t="n">
        <v>-3.97457209118609</v>
      </c>
    </row>
    <row r="456" customFormat="false" ht="13.8" hidden="false" customHeight="false" outlineLevel="0" collapsed="false">
      <c r="A456" s="2" t="n">
        <v>40087</v>
      </c>
      <c r="B456" s="0" t="n">
        <v>1029.85</v>
      </c>
      <c r="C456" s="0" t="n">
        <v>215.94</v>
      </c>
      <c r="D456" s="3" t="n">
        <f aca="false">B456*100/B$2</f>
        <v>71.1635202741922</v>
      </c>
      <c r="E456" s="3" t="n">
        <f aca="false">C456*100/C$2</f>
        <v>91.7722056948576</v>
      </c>
      <c r="F456" s="0" t="n">
        <v>69.6101329500539</v>
      </c>
      <c r="G456" s="0" t="n">
        <v>89.6832653727487</v>
      </c>
      <c r="H456" s="0" t="n">
        <v>87.2163195920102</v>
      </c>
      <c r="I456" s="0" t="n">
        <v>-2.46694578073851</v>
      </c>
    </row>
    <row r="457" customFormat="false" ht="13.8" hidden="false" customHeight="false" outlineLevel="0" collapsed="false">
      <c r="A457" s="2" t="n">
        <v>40088</v>
      </c>
      <c r="B457" s="0" t="n">
        <v>1025.21</v>
      </c>
      <c r="C457" s="0" t="n">
        <v>215.94</v>
      </c>
      <c r="D457" s="3" t="n">
        <f aca="false">B457*100/B$2</f>
        <v>70.84289228558</v>
      </c>
      <c r="E457" s="3" t="n">
        <f aca="false">C457*100/C$2</f>
        <v>91.7722056948576</v>
      </c>
      <c r="F457" s="0" t="n">
        <v>70.9064650764256</v>
      </c>
      <c r="G457" s="0" t="n">
        <v>90.1162924333475</v>
      </c>
      <c r="H457" s="0" t="n">
        <v>87.6583085422864</v>
      </c>
      <c r="I457" s="0" t="n">
        <v>-2.4579838910611</v>
      </c>
    </row>
    <row r="458" customFormat="false" ht="13.8" hidden="false" customHeight="false" outlineLevel="0" collapsed="false">
      <c r="A458" s="2" t="n">
        <v>40091</v>
      </c>
      <c r="B458" s="0" t="n">
        <v>1040.46</v>
      </c>
      <c r="C458" s="0" t="n">
        <v>210.38</v>
      </c>
      <c r="D458" s="3" t="n">
        <f aca="false">B458*100/B$2</f>
        <v>71.8966803947041</v>
      </c>
      <c r="E458" s="3" t="n">
        <f aca="false">C458*100/C$2</f>
        <v>89.4092647683808</v>
      </c>
      <c r="F458" s="0" t="n">
        <v>70.8670775864452</v>
      </c>
      <c r="G458" s="0" t="n">
        <v>90.103135427775</v>
      </c>
      <c r="H458" s="0" t="n">
        <v>89.5027624309392</v>
      </c>
      <c r="I458" s="0" t="n">
        <v>-0.600372996835731</v>
      </c>
    </row>
    <row r="459" customFormat="false" ht="13.8" hidden="false" customHeight="false" outlineLevel="0" collapsed="false">
      <c r="A459" s="2" t="n">
        <v>40092</v>
      </c>
      <c r="B459" s="0" t="n">
        <v>1054.72</v>
      </c>
      <c r="C459" s="0" t="n">
        <v>209.25</v>
      </c>
      <c r="D459" s="3" t="n">
        <f aca="false">B459*100/B$2</f>
        <v>72.8820586528096</v>
      </c>
      <c r="E459" s="3" t="n">
        <f aca="false">C459*100/C$2</f>
        <v>88.9290267743306</v>
      </c>
      <c r="F459" s="0" t="n">
        <v>71.035683683905</v>
      </c>
      <c r="G459" s="0" t="n">
        <v>90.1594566446119</v>
      </c>
      <c r="H459" s="0" t="n">
        <v>88.8737781555461</v>
      </c>
      <c r="I459" s="0" t="n">
        <v>-1.2856784890658</v>
      </c>
    </row>
    <row r="460" customFormat="false" ht="13.8" hidden="false" customHeight="false" outlineLevel="0" collapsed="false">
      <c r="A460" s="2" t="n">
        <v>40093</v>
      </c>
      <c r="B460" s="0" t="n">
        <v>1057.57</v>
      </c>
      <c r="C460" s="0" t="n">
        <v>208.94</v>
      </c>
      <c r="D460" s="3" t="n">
        <f aca="false">B460*100/B$2</f>
        <v>73.0789961027115</v>
      </c>
      <c r="E460" s="3" t="n">
        <f aca="false">C460*100/C$2</f>
        <v>88.7972800679983</v>
      </c>
      <c r="F460" s="0" t="n">
        <v>71.0439757870588</v>
      </c>
      <c r="G460" s="0" t="n">
        <v>90.1622265405219</v>
      </c>
      <c r="H460" s="0" t="n">
        <v>89.5112622184445</v>
      </c>
      <c r="I460" s="0" t="n">
        <v>-0.650964322077385</v>
      </c>
    </row>
    <row r="461" customFormat="false" ht="13.8" hidden="false" customHeight="false" outlineLevel="0" collapsed="false">
      <c r="A461" s="2" t="n">
        <v>40094</v>
      </c>
      <c r="B461" s="0" t="n">
        <v>1065.48</v>
      </c>
      <c r="C461" s="0" t="n">
        <v>211.01</v>
      </c>
      <c r="D461" s="3" t="n">
        <f aca="false">B461*100/B$2</f>
        <v>73.6255839022637</v>
      </c>
      <c r="E461" s="3" t="n">
        <f aca="false">C461*100/C$2</f>
        <v>89.6770080747981</v>
      </c>
      <c r="F461" s="0" t="n">
        <v>71.2416042455568</v>
      </c>
      <c r="G461" s="0" t="n">
        <v>90.2282423930439</v>
      </c>
      <c r="H461" s="0" t="n">
        <v>88.6612834679133</v>
      </c>
      <c r="I461" s="0" t="n">
        <v>-1.56695892513062</v>
      </c>
    </row>
    <row r="462" customFormat="false" ht="13.8" hidden="false" customHeight="false" outlineLevel="0" collapsed="false">
      <c r="A462" s="2" t="n">
        <v>40095</v>
      </c>
      <c r="B462" s="0" t="n">
        <v>1071.49</v>
      </c>
      <c r="C462" s="0" t="n">
        <v>215.57</v>
      </c>
      <c r="D462" s="3" t="n">
        <f aca="false">B462*100/B$2</f>
        <v>74.040880068548</v>
      </c>
      <c r="E462" s="3" t="n">
        <f aca="false">C462*100/C$2</f>
        <v>91.6149596260093</v>
      </c>
      <c r="F462" s="0" t="n">
        <v>71.0999474833467</v>
      </c>
      <c r="G462" s="0" t="n">
        <v>90.1809233379145</v>
      </c>
      <c r="H462" s="0" t="n">
        <v>89.1372715682108</v>
      </c>
      <c r="I462" s="0" t="n">
        <v>-1.04365176970373</v>
      </c>
    </row>
    <row r="463" customFormat="false" ht="13.8" hidden="false" customHeight="false" outlineLevel="0" collapsed="false">
      <c r="A463" s="2" t="n">
        <v>40098</v>
      </c>
      <c r="B463" s="0" t="n">
        <v>1076.18</v>
      </c>
      <c r="C463" s="0" t="n">
        <v>214.23</v>
      </c>
      <c r="D463" s="3" t="n">
        <f aca="false">B463*100/B$2</f>
        <v>74.364963100141</v>
      </c>
      <c r="E463" s="3" t="n">
        <f aca="false">C463*100/C$2</f>
        <v>91.0454738631534</v>
      </c>
      <c r="F463" s="0" t="n">
        <v>70.5257193399486</v>
      </c>
      <c r="G463" s="0" t="n">
        <v>89.9891080461461</v>
      </c>
      <c r="H463" s="0" t="n">
        <v>88.1597960050999</v>
      </c>
      <c r="I463" s="0" t="n">
        <v>-1.82931204104619</v>
      </c>
    </row>
    <row r="464" customFormat="false" ht="13.8" hidden="false" customHeight="false" outlineLevel="0" collapsed="false">
      <c r="A464" s="2" t="n">
        <v>40099</v>
      </c>
      <c r="B464" s="0" t="n">
        <v>1073.18</v>
      </c>
      <c r="C464" s="0" t="n">
        <v>213.1</v>
      </c>
      <c r="D464" s="3" t="n">
        <f aca="false">B464*100/B$2</f>
        <v>74.1576605212969</v>
      </c>
      <c r="E464" s="3" t="n">
        <f aca="false">C464*100/C$2</f>
        <v>90.5652358691033</v>
      </c>
      <c r="F464" s="0" t="n">
        <v>68.9654219298488</v>
      </c>
      <c r="G464" s="0" t="n">
        <v>89.4679059657451</v>
      </c>
      <c r="H464" s="0" t="n">
        <v>90.0509987250319</v>
      </c>
      <c r="I464" s="0" t="n">
        <v>0.583092759286728</v>
      </c>
    </row>
    <row r="465" customFormat="false" ht="13.8" hidden="false" customHeight="false" outlineLevel="0" collapsed="false">
      <c r="A465" s="2" t="n">
        <v>40100</v>
      </c>
      <c r="B465" s="0" t="n">
        <v>1092.02</v>
      </c>
      <c r="C465" s="0" t="n">
        <v>215.9</v>
      </c>
      <c r="D465" s="3" t="n">
        <f aca="false">B465*100/B$2</f>
        <v>75.4595207164377</v>
      </c>
      <c r="E465" s="3" t="n">
        <f aca="false">C465*100/C$2</f>
        <v>91.755206119847</v>
      </c>
      <c r="F465" s="0" t="n">
        <v>68.7380801017165</v>
      </c>
      <c r="G465" s="0" t="n">
        <v>89.3919646528789</v>
      </c>
      <c r="H465" s="0" t="n">
        <v>89.4645133871653</v>
      </c>
      <c r="I465" s="0" t="n">
        <v>0.0725487342863715</v>
      </c>
    </row>
    <row r="466" customFormat="false" ht="13.8" hidden="false" customHeight="false" outlineLevel="0" collapsed="false">
      <c r="A466" s="2" t="n">
        <v>40101</v>
      </c>
      <c r="B466" s="0" t="n">
        <v>1096.56</v>
      </c>
      <c r="C466" s="0" t="n">
        <v>217.47</v>
      </c>
      <c r="D466" s="3" t="n">
        <f aca="false">B466*100/B$2</f>
        <v>75.7732386190884</v>
      </c>
      <c r="E466" s="3" t="n">
        <f aca="false">C466*100/C$2</f>
        <v>92.422439439014</v>
      </c>
      <c r="F466" s="0" t="n">
        <v>69.3247463998452</v>
      </c>
      <c r="G466" s="0" t="n">
        <v>89.5879347885124</v>
      </c>
      <c r="H466" s="0" t="n">
        <v>89.5027624309392</v>
      </c>
      <c r="I466" s="0" t="n">
        <v>-0.0851723575731711</v>
      </c>
    </row>
    <row r="467" customFormat="false" ht="13.8" hidden="false" customHeight="false" outlineLevel="0" collapsed="false">
      <c r="A467" s="2" t="n">
        <v>40102</v>
      </c>
      <c r="B467" s="0" t="n">
        <v>1087.68</v>
      </c>
      <c r="C467" s="0" t="n">
        <v>214.91</v>
      </c>
      <c r="D467" s="3" t="n">
        <f aca="false">B467*100/B$2</f>
        <v>75.1596229857099</v>
      </c>
      <c r="E467" s="3" t="n">
        <f aca="false">C467*100/C$2</f>
        <v>91.334466638334</v>
      </c>
      <c r="F467" s="0" t="n">
        <v>70.2341137123746</v>
      </c>
      <c r="G467" s="0" t="n">
        <v>89.8917000399772</v>
      </c>
      <c r="H467" s="0" t="n">
        <v>89.1670208244794</v>
      </c>
      <c r="I467" s="0" t="n">
        <v>-0.724679215497872</v>
      </c>
    </row>
    <row r="468" customFormat="false" ht="13.8" hidden="false" customHeight="false" outlineLevel="0" collapsed="false">
      <c r="A468" s="2" t="n">
        <v>40105</v>
      </c>
      <c r="B468" s="0" t="n">
        <v>1097.91</v>
      </c>
      <c r="C468" s="0" t="n">
        <v>216.19</v>
      </c>
      <c r="D468" s="3" t="n">
        <f aca="false">B468*100/B$2</f>
        <v>75.8665247795683</v>
      </c>
      <c r="E468" s="3" t="n">
        <f aca="false">C468*100/C$2</f>
        <v>91.878453038674</v>
      </c>
      <c r="F468" s="0" t="n">
        <v>70.2341137123746</v>
      </c>
      <c r="G468" s="0" t="n">
        <v>89.8917000399772</v>
      </c>
      <c r="H468" s="0" t="n">
        <v>89.1330216744581</v>
      </c>
      <c r="I468" s="0" t="n">
        <v>-0.758678365519117</v>
      </c>
    </row>
    <row r="469" customFormat="false" ht="13.8" hidden="false" customHeight="false" outlineLevel="0" collapsed="false">
      <c r="A469" s="2" t="n">
        <v>40106</v>
      </c>
      <c r="B469" s="0" t="n">
        <v>1091.06</v>
      </c>
      <c r="C469" s="0" t="n">
        <v>217.53</v>
      </c>
      <c r="D469" s="3" t="n">
        <f aca="false">B469*100/B$2</f>
        <v>75.3931838912076</v>
      </c>
      <c r="E469" s="3" t="n">
        <f aca="false">C469*100/C$2</f>
        <v>92.44793880153</v>
      </c>
      <c r="F469" s="0" t="n">
        <v>70.8553304403107</v>
      </c>
      <c r="G469" s="0" t="n">
        <v>90.0992114085691</v>
      </c>
      <c r="H469" s="0" t="n">
        <v>89.8427539311517</v>
      </c>
      <c r="I469" s="0" t="n">
        <v>-0.256457477417399</v>
      </c>
    </row>
    <row r="470" customFormat="false" ht="13.8" hidden="false" customHeight="false" outlineLevel="0" collapsed="false">
      <c r="A470" s="2" t="n">
        <v>40107</v>
      </c>
      <c r="B470" s="0" t="n">
        <v>1081.4</v>
      </c>
      <c r="C470" s="0" t="n">
        <v>216.64</v>
      </c>
      <c r="D470" s="3" t="n">
        <f aca="false">B470*100/B$2</f>
        <v>74.7256695873297</v>
      </c>
      <c r="E470" s="3" t="n">
        <f aca="false">C470*100/C$2</f>
        <v>92.0696982575435</v>
      </c>
      <c r="F470" s="0" t="n">
        <v>71.4067553000359</v>
      </c>
      <c r="G470" s="0" t="n">
        <v>90.283409486585</v>
      </c>
      <c r="H470" s="0" t="n">
        <v>89.2860178495538</v>
      </c>
      <c r="I470" s="0" t="n">
        <v>-0.997391637031271</v>
      </c>
    </row>
    <row r="471" customFormat="false" ht="13.8" hidden="false" customHeight="false" outlineLevel="0" collapsed="false">
      <c r="A471" s="2" t="n">
        <v>40108</v>
      </c>
      <c r="B471" s="0" t="n">
        <v>1092.91</v>
      </c>
      <c r="C471" s="0" t="n">
        <v>213.25</v>
      </c>
      <c r="D471" s="3" t="n">
        <f aca="false">B471*100/B$2</f>
        <v>75.5210204814948</v>
      </c>
      <c r="E471" s="3" t="n">
        <f aca="false">C471*100/C$2</f>
        <v>90.6289842753931</v>
      </c>
      <c r="F471" s="0" t="n">
        <v>72.1509715580862</v>
      </c>
      <c r="G471" s="0" t="n">
        <v>90.5320076445087</v>
      </c>
      <c r="H471" s="0" t="n">
        <v>91.3387165320867</v>
      </c>
      <c r="I471" s="0" t="n">
        <v>0.80670888757794</v>
      </c>
    </row>
    <row r="472" customFormat="false" ht="13.8" hidden="false" customHeight="false" outlineLevel="0" collapsed="false">
      <c r="A472" s="2" t="n">
        <v>40109</v>
      </c>
      <c r="B472" s="0" t="n">
        <v>1079.6</v>
      </c>
      <c r="C472" s="0" t="n">
        <v>214.73</v>
      </c>
      <c r="D472" s="3" t="n">
        <f aca="false">B472*100/B$2</f>
        <v>74.6012880400232</v>
      </c>
      <c r="E472" s="3" t="n">
        <f aca="false">C472*100/C$2</f>
        <v>91.2579685507862</v>
      </c>
      <c r="F472" s="0" t="n">
        <v>72.0535393460295</v>
      </c>
      <c r="G472" s="0" t="n">
        <v>90.4994613675661</v>
      </c>
      <c r="H472" s="0" t="n">
        <v>91.7169570760731</v>
      </c>
      <c r="I472" s="0" t="n">
        <v>1.217495708507</v>
      </c>
    </row>
    <row r="473" customFormat="false" ht="13.8" hidden="false" customHeight="false" outlineLevel="0" collapsed="false">
      <c r="A473" s="2" t="n">
        <v>40112</v>
      </c>
      <c r="B473" s="0" t="n">
        <v>1066.94</v>
      </c>
      <c r="C473" s="0" t="n">
        <v>217.45</v>
      </c>
      <c r="D473" s="3" t="n">
        <f aca="false">B473*100/B$2</f>
        <v>73.7264711573012</v>
      </c>
      <c r="E473" s="3" t="n">
        <f aca="false">C473*100/C$2</f>
        <v>92.4139396515087</v>
      </c>
      <c r="F473" s="0" t="n">
        <v>72.5102960280826</v>
      </c>
      <c r="G473" s="0" t="n">
        <v>90.652036467276</v>
      </c>
      <c r="H473" s="0" t="n">
        <v>90.7012324691883</v>
      </c>
      <c r="I473" s="0" t="n">
        <v>0.0491960019122502</v>
      </c>
    </row>
    <row r="474" customFormat="false" ht="13.8" hidden="false" customHeight="false" outlineLevel="0" collapsed="false">
      <c r="A474" s="2" t="n">
        <v>40113</v>
      </c>
      <c r="B474" s="0" t="n">
        <v>1063.41</v>
      </c>
      <c r="C474" s="0" t="n">
        <v>216.47</v>
      </c>
      <c r="D474" s="3" t="n">
        <f aca="false">B474*100/B$2</f>
        <v>73.4825451228613</v>
      </c>
      <c r="E474" s="3" t="n">
        <f aca="false">C474*100/C$2</f>
        <v>91.9974500637484</v>
      </c>
      <c r="F474" s="0" t="n">
        <v>72.7376378562149</v>
      </c>
      <c r="G474" s="0" t="n">
        <v>90.7279777801422</v>
      </c>
      <c r="H474" s="0" t="n">
        <v>91.8572035699108</v>
      </c>
      <c r="I474" s="0" t="n">
        <v>1.12922578976853</v>
      </c>
    </row>
    <row r="475" customFormat="false" ht="13.8" hidden="false" customHeight="false" outlineLevel="0" collapsed="false">
      <c r="A475" s="2" t="n">
        <v>40114</v>
      </c>
      <c r="B475" s="0" t="n">
        <v>1042.63</v>
      </c>
      <c r="C475" s="0" t="n">
        <v>211.03</v>
      </c>
      <c r="D475" s="3" t="n">
        <f aca="false">B475*100/B$2</f>
        <v>72.046629260068</v>
      </c>
      <c r="E475" s="3" t="n">
        <f aca="false">C475*100/C$2</f>
        <v>89.6855078623034</v>
      </c>
      <c r="F475" s="0" t="n">
        <v>73.8522347217999</v>
      </c>
      <c r="G475" s="0" t="n">
        <v>91.1002979553799</v>
      </c>
      <c r="H475" s="0" t="n">
        <v>93.7229069273268</v>
      </c>
      <c r="I475" s="0" t="n">
        <v>2.6226089719469</v>
      </c>
    </row>
    <row r="476" customFormat="false" ht="13.8" hidden="false" customHeight="false" outlineLevel="0" collapsed="false">
      <c r="A476" s="2" t="n">
        <v>40115</v>
      </c>
      <c r="B476" s="0" t="n">
        <v>1066.11</v>
      </c>
      <c r="C476" s="0" t="n">
        <v>207.68</v>
      </c>
      <c r="D476" s="3" t="n">
        <f aca="false">B476*100/B$2</f>
        <v>73.669117443821</v>
      </c>
      <c r="E476" s="3" t="n">
        <f aca="false">C476*100/C$2</f>
        <v>88.2617934551636</v>
      </c>
      <c r="F476" s="0" t="n">
        <v>73.6262749108599</v>
      </c>
      <c r="G476" s="0" t="n">
        <v>91.024818291832</v>
      </c>
      <c r="H476" s="0" t="n">
        <v>94.4793880152996</v>
      </c>
      <c r="I476" s="0" t="n">
        <v>3.45456972346759</v>
      </c>
    </row>
    <row r="477" customFormat="false" ht="13.8" hidden="false" customHeight="false" outlineLevel="0" collapsed="false">
      <c r="A477" s="2" t="n">
        <v>40116</v>
      </c>
      <c r="B477" s="0" t="n">
        <v>1036.18</v>
      </c>
      <c r="C477" s="0" t="n">
        <v>206.81</v>
      </c>
      <c r="D477" s="3" t="n">
        <f aca="false">B477*100/B$2</f>
        <v>71.6009287155532</v>
      </c>
      <c r="E477" s="3" t="n">
        <f aca="false">C477*100/C$2</f>
        <v>87.8920526986825</v>
      </c>
      <c r="F477" s="0" t="n">
        <v>73.8204483263772</v>
      </c>
      <c r="G477" s="0" t="n">
        <v>91.0896800210582</v>
      </c>
      <c r="H477" s="0" t="n">
        <v>94.4921376965576</v>
      </c>
      <c r="I477" s="0" t="n">
        <v>3.40245767549938</v>
      </c>
    </row>
    <row r="478" customFormat="false" ht="13.8" hidden="false" customHeight="false" outlineLevel="0" collapsed="false">
      <c r="A478" s="2" t="n">
        <v>40119</v>
      </c>
      <c r="B478" s="0" t="n">
        <v>1042.88</v>
      </c>
      <c r="C478" s="0" t="n">
        <v>204.25</v>
      </c>
      <c r="D478" s="3" t="n">
        <f aca="false">B478*100/B$2</f>
        <v>72.0639044749717</v>
      </c>
      <c r="E478" s="3" t="n">
        <f aca="false">C478*100/C$2</f>
        <v>86.8040798980026</v>
      </c>
      <c r="F478" s="0" t="n">
        <v>73.5689211973797</v>
      </c>
      <c r="G478" s="0" t="n">
        <v>91.0056598451211</v>
      </c>
      <c r="H478" s="0" t="n">
        <v>94.2838929026774</v>
      </c>
      <c r="I478" s="0" t="n">
        <v>3.27823305755632</v>
      </c>
    </row>
    <row r="479" customFormat="false" ht="13.8" hidden="false" customHeight="false" outlineLevel="0" collapsed="false">
      <c r="A479" s="2" t="n">
        <v>40120</v>
      </c>
      <c r="B479" s="0" t="n">
        <v>1045.41</v>
      </c>
      <c r="C479" s="0" t="n">
        <v>203.13</v>
      </c>
      <c r="D479" s="3" t="n">
        <f aca="false">B479*100/B$2</f>
        <v>72.2387296497969</v>
      </c>
      <c r="E479" s="3" t="n">
        <f aca="false">C479*100/C$2</f>
        <v>86.3280917977051</v>
      </c>
      <c r="F479" s="0" t="n">
        <v>74.0526272146826</v>
      </c>
      <c r="G479" s="0" t="n">
        <v>91.1672371065386</v>
      </c>
      <c r="H479" s="0" t="n">
        <v>95.7373565660859</v>
      </c>
      <c r="I479" s="0" t="n">
        <v>4.57011945954727</v>
      </c>
    </row>
    <row r="480" customFormat="false" ht="13.8" hidden="false" customHeight="false" outlineLevel="0" collapsed="false">
      <c r="A480" s="2" t="n">
        <v>40121</v>
      </c>
      <c r="B480" s="0" t="n">
        <v>1046.5</v>
      </c>
      <c r="C480" s="0" t="n">
        <v>207.18</v>
      </c>
      <c r="D480" s="3" t="n">
        <f aca="false">B480*100/B$2</f>
        <v>72.3140495867769</v>
      </c>
      <c r="E480" s="3" t="n">
        <f aca="false">C480*100/C$2</f>
        <v>88.0492987675308</v>
      </c>
      <c r="F480" s="0" t="n">
        <v>73.30702893944</v>
      </c>
      <c r="G480" s="0" t="n">
        <v>90.9181772992965</v>
      </c>
      <c r="H480" s="0" t="n">
        <v>95.4908627284318</v>
      </c>
      <c r="I480" s="0" t="n">
        <v>4.57268542913528</v>
      </c>
    </row>
    <row r="481" customFormat="false" ht="13.8" hidden="false" customHeight="false" outlineLevel="0" collapsed="false">
      <c r="A481" s="2" t="n">
        <v>40122</v>
      </c>
      <c r="B481" s="0" t="n">
        <v>1066.63</v>
      </c>
      <c r="C481" s="0" t="n">
        <v>203.52</v>
      </c>
      <c r="D481" s="3" t="n">
        <f aca="false">B481*100/B$2</f>
        <v>73.7050498908206</v>
      </c>
      <c r="E481" s="3" t="n">
        <f aca="false">C481*100/C$2</f>
        <v>86.4938376540586</v>
      </c>
      <c r="F481" s="0" t="n">
        <v>72.6098012659277</v>
      </c>
      <c r="G481" s="0" t="n">
        <v>90.6852752181962</v>
      </c>
      <c r="H481" s="0" t="n">
        <v>94.4963875903102</v>
      </c>
      <c r="I481" s="0" t="n">
        <v>3.81111237211405</v>
      </c>
    </row>
    <row r="482" customFormat="false" ht="13.8" hidden="false" customHeight="false" outlineLevel="0" collapsed="false">
      <c r="A482" s="2" t="n">
        <v>40123</v>
      </c>
      <c r="B482" s="0" t="n">
        <v>1069.3</v>
      </c>
      <c r="C482" s="0" t="n">
        <v>206.53</v>
      </c>
      <c r="D482" s="3" t="n">
        <f aca="false">B482*100/B$2</f>
        <v>73.8895491859919</v>
      </c>
      <c r="E482" s="3" t="n">
        <f aca="false">C482*100/C$2</f>
        <v>87.7730556736082</v>
      </c>
      <c r="F482" s="0" t="n">
        <v>72.1675557643937</v>
      </c>
      <c r="G482" s="0" t="n">
        <v>90.5375474363288</v>
      </c>
      <c r="H482" s="0" t="n">
        <v>94.2711432214195</v>
      </c>
      <c r="I482" s="0" t="n">
        <v>3.73359578509067</v>
      </c>
    </row>
    <row r="483" customFormat="false" ht="13.8" hidden="false" customHeight="false" outlineLevel="0" collapsed="false">
      <c r="A483" s="2" t="n">
        <v>40126</v>
      </c>
      <c r="B483" s="0" t="n">
        <v>1093.07</v>
      </c>
      <c r="C483" s="0" t="n">
        <v>207.29</v>
      </c>
      <c r="D483" s="3" t="n">
        <f aca="false">B483*100/B$2</f>
        <v>75.5320766190331</v>
      </c>
      <c r="E483" s="3" t="n">
        <f aca="false">C483*100/C$2</f>
        <v>88.09604759881</v>
      </c>
      <c r="F483" s="0" t="n">
        <v>73.452831753227</v>
      </c>
      <c r="G483" s="0" t="n">
        <v>90.9668813023809</v>
      </c>
      <c r="H483" s="0" t="n">
        <v>93.3531661708457</v>
      </c>
      <c r="I483" s="0" t="n">
        <v>2.38628486846481</v>
      </c>
    </row>
    <row r="484" customFormat="false" ht="13.8" hidden="false" customHeight="false" outlineLevel="0" collapsed="false">
      <c r="A484" s="2" t="n">
        <v>40127</v>
      </c>
      <c r="B484" s="0" t="n">
        <v>1093.01</v>
      </c>
      <c r="C484" s="0" t="n">
        <v>208.23</v>
      </c>
      <c r="D484" s="3" t="n">
        <f aca="false">B484*100/B$2</f>
        <v>75.5279305674563</v>
      </c>
      <c r="E484" s="3" t="n">
        <f aca="false">C484*100/C$2</f>
        <v>88.4955376115597</v>
      </c>
      <c r="F484" s="0" t="n">
        <v>73.2890627159402</v>
      </c>
      <c r="G484" s="0" t="n">
        <v>90.9121758581582</v>
      </c>
      <c r="H484" s="0" t="n">
        <v>94.1733956651084</v>
      </c>
      <c r="I484" s="0" t="n">
        <v>3.26121980695022</v>
      </c>
    </row>
    <row r="485" customFormat="false" ht="13.8" hidden="false" customHeight="false" outlineLevel="0" collapsed="false">
      <c r="A485" s="2" t="n">
        <v>40128</v>
      </c>
      <c r="B485" s="0" t="n">
        <v>1098.51</v>
      </c>
      <c r="C485" s="0" t="n">
        <v>210.08</v>
      </c>
      <c r="D485" s="3" t="n">
        <f aca="false">B485*100/B$2</f>
        <v>75.9079852953371</v>
      </c>
      <c r="E485" s="3" t="n">
        <f aca="false">C485*100/C$2</f>
        <v>89.2817679558011</v>
      </c>
      <c r="F485" s="0" t="n">
        <v>73.0444456729042</v>
      </c>
      <c r="G485" s="0" t="n">
        <v>90.8304639288127</v>
      </c>
      <c r="H485" s="0" t="n">
        <v>93.3914152146196</v>
      </c>
      <c r="I485" s="0" t="n">
        <v>2.56095128580689</v>
      </c>
    </row>
    <row r="486" customFormat="false" ht="13.8" hidden="false" customHeight="false" outlineLevel="0" collapsed="false">
      <c r="A486" s="2" t="n">
        <v>40129</v>
      </c>
      <c r="B486" s="0" t="n">
        <v>1087.24</v>
      </c>
      <c r="C486" s="0" t="n">
        <v>206.67</v>
      </c>
      <c r="D486" s="3" t="n">
        <f aca="false">B486*100/B$2</f>
        <v>75.1292186074795</v>
      </c>
      <c r="E486" s="3" t="n">
        <f aca="false">C486*100/C$2</f>
        <v>87.8325541861453</v>
      </c>
      <c r="F486" s="0" t="n">
        <v>71.1635202741922</v>
      </c>
      <c r="G486" s="0" t="n">
        <v>90.202159206558</v>
      </c>
      <c r="H486" s="0" t="n">
        <v>91.7722056948576</v>
      </c>
      <c r="I486" s="0" t="n">
        <v>1.57004648829967</v>
      </c>
    </row>
    <row r="487" customFormat="false" ht="13.8" hidden="false" customHeight="false" outlineLevel="0" collapsed="false">
      <c r="A487" s="2" t="n">
        <v>40130</v>
      </c>
      <c r="B487" s="0" t="n">
        <v>1093.48</v>
      </c>
      <c r="C487" s="0" t="n">
        <v>206.84</v>
      </c>
      <c r="D487" s="3" t="n">
        <f aca="false">B487*100/B$2</f>
        <v>75.5604079714752</v>
      </c>
      <c r="E487" s="3" t="n">
        <f aca="false">C487*100/C$2</f>
        <v>87.9048023799405</v>
      </c>
      <c r="F487" s="0" t="n">
        <v>70.84289228558</v>
      </c>
      <c r="G487" s="0" t="n">
        <v>90.0950565647041</v>
      </c>
      <c r="H487" s="0" t="n">
        <v>91.7722056948576</v>
      </c>
      <c r="I487" s="0" t="n">
        <v>1.67714913015352</v>
      </c>
    </row>
    <row r="488" customFormat="false" ht="13.8" hidden="false" customHeight="false" outlineLevel="0" collapsed="false">
      <c r="A488" s="2" t="n">
        <v>40133</v>
      </c>
      <c r="B488" s="0" t="n">
        <v>1109.3</v>
      </c>
      <c r="C488" s="0" t="n">
        <v>209.9</v>
      </c>
      <c r="D488" s="3" t="n">
        <f aca="false">B488*100/B$2</f>
        <v>76.6535835705796</v>
      </c>
      <c r="E488" s="3" t="n">
        <f aca="false">C488*100/C$2</f>
        <v>89.2052698682533</v>
      </c>
      <c r="F488" s="0" t="n">
        <v>71.8966803947041</v>
      </c>
      <c r="G488" s="0" t="n">
        <v>90.447064169935</v>
      </c>
      <c r="H488" s="0" t="n">
        <v>89.4092647683808</v>
      </c>
      <c r="I488" s="0" t="n">
        <v>-1.03779940155422</v>
      </c>
    </row>
    <row r="489" customFormat="false" ht="13.8" hidden="false" customHeight="false" outlineLevel="0" collapsed="false">
      <c r="A489" s="2" t="n">
        <v>40134</v>
      </c>
      <c r="B489" s="0" t="n">
        <v>1110.31</v>
      </c>
      <c r="C489" s="0" t="n">
        <v>209</v>
      </c>
      <c r="D489" s="3" t="n">
        <f aca="false">B489*100/B$2</f>
        <v>76.7233754387905</v>
      </c>
      <c r="E489" s="3" t="n">
        <f aca="false">C489*100/C$2</f>
        <v>88.8227794305142</v>
      </c>
      <c r="F489" s="0" t="n">
        <v>72.8820586528096</v>
      </c>
      <c r="G489" s="0" t="n">
        <v>90.7762201339083</v>
      </c>
      <c r="H489" s="0" t="n">
        <v>88.9290267743306</v>
      </c>
      <c r="I489" s="0" t="n">
        <v>-1.84719335957767</v>
      </c>
    </row>
    <row r="490" customFormat="false" ht="13.8" hidden="false" customHeight="false" outlineLevel="0" collapsed="false">
      <c r="A490" s="2" t="n">
        <v>40135</v>
      </c>
      <c r="B490" s="0" t="n">
        <v>1109.8</v>
      </c>
      <c r="C490" s="0" t="n">
        <v>211.56</v>
      </c>
      <c r="D490" s="3" t="n">
        <f aca="false">B490*100/B$2</f>
        <v>76.688134000387</v>
      </c>
      <c r="E490" s="3" t="n">
        <f aca="false">C490*100/C$2</f>
        <v>89.9107522311942</v>
      </c>
      <c r="F490" s="0" t="n">
        <v>73.0789961027115</v>
      </c>
      <c r="G490" s="0" t="n">
        <v>90.8420051617711</v>
      </c>
      <c r="H490" s="0" t="n">
        <v>88.7972800679983</v>
      </c>
      <c r="I490" s="0" t="n">
        <v>-2.04472509377283</v>
      </c>
    </row>
    <row r="491" customFormat="false" ht="13.8" hidden="false" customHeight="false" outlineLevel="0" collapsed="false">
      <c r="A491" s="2" t="n">
        <v>40136</v>
      </c>
      <c r="B491" s="0" t="n">
        <v>1094.9</v>
      </c>
      <c r="C491" s="0" t="n">
        <v>213.89</v>
      </c>
      <c r="D491" s="3" t="n">
        <f aca="false">B491*100/B$2</f>
        <v>75.658531192128</v>
      </c>
      <c r="E491" s="3" t="n">
        <f aca="false">C491*100/C$2</f>
        <v>90.9009774755631</v>
      </c>
      <c r="F491" s="0" t="n">
        <v>73.6255839022637</v>
      </c>
      <c r="G491" s="0" t="n">
        <v>91.0245874671729</v>
      </c>
      <c r="H491" s="0" t="n">
        <v>89.6770080747981</v>
      </c>
      <c r="I491" s="0" t="n">
        <v>-1.34757939237474</v>
      </c>
    </row>
    <row r="492" customFormat="false" ht="13.8" hidden="false" customHeight="false" outlineLevel="0" collapsed="false">
      <c r="A492" s="2" t="n">
        <v>40137</v>
      </c>
      <c r="B492" s="0" t="n">
        <v>1091.38</v>
      </c>
      <c r="C492" s="0" t="n">
        <v>213.76</v>
      </c>
      <c r="D492" s="3" t="n">
        <f aca="false">B492*100/B$2</f>
        <v>75.4152961662843</v>
      </c>
      <c r="E492" s="3" t="n">
        <f aca="false">C492*100/C$2</f>
        <v>90.8457288567786</v>
      </c>
      <c r="F492" s="0" t="n">
        <v>74.040880068548</v>
      </c>
      <c r="G492" s="0" t="n">
        <v>91.1633130873327</v>
      </c>
      <c r="H492" s="0" t="n">
        <v>91.6149596260093</v>
      </c>
      <c r="I492" s="0" t="n">
        <v>0.451646538676627</v>
      </c>
    </row>
    <row r="493" customFormat="false" ht="13.8" hidden="false" customHeight="false" outlineLevel="0" collapsed="false">
      <c r="A493" s="2" t="n">
        <v>40140</v>
      </c>
      <c r="B493" s="0" t="n">
        <v>1106.24</v>
      </c>
      <c r="C493" s="0" t="n">
        <v>213.72</v>
      </c>
      <c r="D493" s="3" t="n">
        <f aca="false">B493*100/B$2</f>
        <v>76.4421349401587</v>
      </c>
      <c r="E493" s="3" t="n">
        <f aca="false">C493*100/C$2</f>
        <v>90.8287292817679</v>
      </c>
      <c r="F493" s="0" t="n">
        <v>74.364963100141</v>
      </c>
      <c r="G493" s="0" t="n">
        <v>91.2715698524824</v>
      </c>
      <c r="H493" s="0" t="n">
        <v>91.0454738631534</v>
      </c>
      <c r="I493" s="0" t="n">
        <v>-0.226095989329011</v>
      </c>
    </row>
    <row r="494" customFormat="false" ht="13.8" hidden="false" customHeight="false" outlineLevel="0" collapsed="false">
      <c r="A494" s="2" t="n">
        <v>40141</v>
      </c>
      <c r="B494" s="0" t="n">
        <v>1105.65</v>
      </c>
      <c r="C494" s="0" t="n">
        <v>211.92</v>
      </c>
      <c r="D494" s="3" t="n">
        <f aca="false">B494*100/B$2</f>
        <v>76.401365432986</v>
      </c>
      <c r="E494" s="3" t="n">
        <f aca="false">C494*100/C$2</f>
        <v>90.0637484062898</v>
      </c>
      <c r="F494" s="0" t="n">
        <v>74.1576605212969</v>
      </c>
      <c r="G494" s="0" t="n">
        <v>91.2023224547321</v>
      </c>
      <c r="H494" s="0" t="n">
        <v>90.5652358691033</v>
      </c>
      <c r="I494" s="0" t="n">
        <v>-0.637086585628822</v>
      </c>
    </row>
    <row r="495" customFormat="false" ht="13.8" hidden="false" customHeight="false" outlineLevel="0" collapsed="false">
      <c r="A495" s="2" t="n">
        <v>40142</v>
      </c>
      <c r="B495" s="0" t="n">
        <v>1110.63</v>
      </c>
      <c r="C495" s="0" t="n">
        <v>212.61</v>
      </c>
      <c r="D495" s="3" t="n">
        <f aca="false">B495*100/B$2</f>
        <v>76.7454877138672</v>
      </c>
      <c r="E495" s="3" t="n">
        <f aca="false">C495*100/C$2</f>
        <v>90.3569910752231</v>
      </c>
      <c r="F495" s="0" t="n">
        <v>75.4595207164377</v>
      </c>
      <c r="G495" s="0" t="n">
        <v>91.6371961126042</v>
      </c>
      <c r="H495" s="0" t="n">
        <v>91.755206119847</v>
      </c>
      <c r="I495" s="0" t="n">
        <v>0.118010007242759</v>
      </c>
    </row>
    <row r="496" customFormat="false" ht="13.8" hidden="false" customHeight="false" outlineLevel="0" collapsed="false">
      <c r="A496" s="2" t="n">
        <v>40143</v>
      </c>
      <c r="B496" s="0" t="n">
        <v>1110.63</v>
      </c>
      <c r="C496" s="0" t="n">
        <v>210.77</v>
      </c>
      <c r="D496" s="3" t="n">
        <f aca="false">B496*100/B$2</f>
        <v>76.7454877138672</v>
      </c>
      <c r="E496" s="3" t="n">
        <f aca="false">C496*100/C$2</f>
        <v>89.5750106247344</v>
      </c>
      <c r="F496" s="0" t="n">
        <v>75.7732386190884</v>
      </c>
      <c r="G496" s="0" t="n">
        <v>91.7419905078664</v>
      </c>
      <c r="H496" s="0" t="n">
        <v>92.422439439014</v>
      </c>
      <c r="I496" s="0" t="n">
        <v>0.680448931147581</v>
      </c>
    </row>
    <row r="497" customFormat="false" ht="13.8" hidden="false" customHeight="false" outlineLevel="0" collapsed="false">
      <c r="A497" s="2" t="n">
        <v>40144</v>
      </c>
      <c r="B497" s="0" t="n">
        <v>1091.49</v>
      </c>
      <c r="C497" s="0" t="n">
        <v>200.73</v>
      </c>
      <c r="D497" s="3" t="n">
        <f aca="false">B497*100/B$2</f>
        <v>75.4228972608419</v>
      </c>
      <c r="E497" s="3" t="n">
        <f aca="false">C497*100/C$2</f>
        <v>85.3081172970676</v>
      </c>
      <c r="F497" s="0" t="n">
        <v>75.1596229857099</v>
      </c>
      <c r="G497" s="0" t="n">
        <v>91.5370182105254</v>
      </c>
      <c r="H497" s="0" t="n">
        <v>91.334466638334</v>
      </c>
      <c r="I497" s="0" t="n">
        <v>-0.202551572191382</v>
      </c>
    </row>
    <row r="498" customFormat="false" ht="13.8" hidden="false" customHeight="false" outlineLevel="0" collapsed="false">
      <c r="A498" s="2" t="n">
        <v>40147</v>
      </c>
      <c r="B498" s="0" t="n">
        <v>1095.63</v>
      </c>
      <c r="C498" s="0" t="n">
        <v>204.75</v>
      </c>
      <c r="D498" s="3" t="n">
        <f aca="false">B498*100/B$2</f>
        <v>75.7089748196468</v>
      </c>
      <c r="E498" s="3" t="n">
        <f aca="false">C498*100/C$2</f>
        <v>87.0165745856354</v>
      </c>
      <c r="F498" s="0" t="n">
        <v>75.8665247795683</v>
      </c>
      <c r="G498" s="0" t="n">
        <v>91.7731518368541</v>
      </c>
      <c r="H498" s="0" t="n">
        <v>91.878453038674</v>
      </c>
      <c r="I498" s="0" t="n">
        <v>0.105301201819941</v>
      </c>
    </row>
    <row r="499" customFormat="false" ht="13.8" hidden="false" customHeight="false" outlineLevel="0" collapsed="false">
      <c r="A499" s="2" t="n">
        <v>40148</v>
      </c>
      <c r="B499" s="0" t="n">
        <v>1108.86</v>
      </c>
      <c r="C499" s="0" t="n">
        <v>207.07</v>
      </c>
      <c r="D499" s="3" t="n">
        <f aca="false">B499*100/B$2</f>
        <v>76.6231791923491</v>
      </c>
      <c r="E499" s="3" t="n">
        <f aca="false">C499*100/C$2</f>
        <v>88.0025499362516</v>
      </c>
      <c r="F499" s="0" t="n">
        <v>75.3931838912076</v>
      </c>
      <c r="G499" s="0" t="n">
        <v>91.6150369453241</v>
      </c>
      <c r="H499" s="0" t="n">
        <v>92.44793880153</v>
      </c>
      <c r="I499" s="0" t="n">
        <v>0.832901856205822</v>
      </c>
    </row>
    <row r="500" customFormat="false" ht="13.8" hidden="false" customHeight="false" outlineLevel="0" collapsed="false">
      <c r="A500" s="2" t="n">
        <v>40149</v>
      </c>
      <c r="B500" s="0" t="n">
        <v>1109.24</v>
      </c>
      <c r="C500" s="0" t="n">
        <v>210.25</v>
      </c>
      <c r="D500" s="3" t="n">
        <f aca="false">B500*100/B$2</f>
        <v>76.6494375190027</v>
      </c>
      <c r="E500" s="3" t="n">
        <f aca="false">C500*100/C$2</f>
        <v>89.3540161495963</v>
      </c>
      <c r="F500" s="0" t="n">
        <v>74.7256695873297</v>
      </c>
      <c r="G500" s="0" t="n">
        <v>91.392060324568</v>
      </c>
      <c r="H500" s="0" t="n">
        <v>92.0696982575435</v>
      </c>
      <c r="I500" s="0" t="n">
        <v>0.677637932975514</v>
      </c>
    </row>
    <row r="501" customFormat="false" ht="13.8" hidden="false" customHeight="false" outlineLevel="0" collapsed="false">
      <c r="A501" s="2" t="n">
        <v>40150</v>
      </c>
      <c r="B501" s="0" t="n">
        <v>1099.92</v>
      </c>
      <c r="C501" s="0" t="n">
        <v>213.31</v>
      </c>
      <c r="D501" s="3" t="n">
        <f aca="false">B501*100/B$2</f>
        <v>76.0054175073938</v>
      </c>
      <c r="E501" s="3" t="n">
        <f aca="false">C501*100/C$2</f>
        <v>90.6544836379091</v>
      </c>
      <c r="F501" s="0" t="n">
        <v>75.5210204814948</v>
      </c>
      <c r="G501" s="0" t="n">
        <v>91.6577395072702</v>
      </c>
      <c r="H501" s="0" t="n">
        <v>90.6289842753931</v>
      </c>
      <c r="I501" s="0" t="n">
        <v>-1.02875523187707</v>
      </c>
    </row>
    <row r="502" customFormat="false" ht="13.8" hidden="false" customHeight="false" outlineLevel="0" collapsed="false">
      <c r="A502" s="2" t="n">
        <v>40151</v>
      </c>
      <c r="B502" s="0" t="n">
        <v>1105.98</v>
      </c>
      <c r="C502" s="0" t="n">
        <v>214.5</v>
      </c>
      <c r="D502" s="3" t="n">
        <f aca="false">B502*100/B$2</f>
        <v>76.4241687166588</v>
      </c>
      <c r="E502" s="3" t="n">
        <f aca="false">C502*100/C$2</f>
        <v>91.1602209944751</v>
      </c>
      <c r="F502" s="0" t="n">
        <v>74.6012880400232</v>
      </c>
      <c r="G502" s="0" t="n">
        <v>91.3505118859178</v>
      </c>
      <c r="H502" s="0" t="n">
        <v>91.2579685507862</v>
      </c>
      <c r="I502" s="0" t="n">
        <v>-0.0925433351315945</v>
      </c>
    </row>
    <row r="503" customFormat="false" ht="13.8" hidden="false" customHeight="false" outlineLevel="0" collapsed="false">
      <c r="A503" s="2" t="n">
        <v>40154</v>
      </c>
      <c r="B503" s="0" t="n">
        <v>1103.25</v>
      </c>
      <c r="C503" s="0" t="n">
        <v>215.55</v>
      </c>
      <c r="D503" s="3" t="n">
        <f aca="false">B503*100/B$2</f>
        <v>76.2355233699107</v>
      </c>
      <c r="E503" s="3" t="n">
        <f aca="false">C503*100/C$2</f>
        <v>91.606459838504</v>
      </c>
      <c r="F503" s="0" t="n">
        <v>73.7264711573012</v>
      </c>
      <c r="G503" s="0" t="n">
        <v>91.0582878674114</v>
      </c>
      <c r="H503" s="0" t="n">
        <v>92.4139396515087</v>
      </c>
      <c r="I503" s="0" t="n">
        <v>1.35565178409735</v>
      </c>
    </row>
    <row r="504" customFormat="false" ht="13.8" hidden="false" customHeight="false" outlineLevel="0" collapsed="false">
      <c r="A504" s="2" t="n">
        <v>40155</v>
      </c>
      <c r="B504" s="0" t="n">
        <v>1091.93</v>
      </c>
      <c r="C504" s="0" t="n">
        <v>214.91</v>
      </c>
      <c r="D504" s="3" t="n">
        <f aca="false">B504*100/B$2</f>
        <v>75.4533016390724</v>
      </c>
      <c r="E504" s="3" t="n">
        <f aca="false">C504*100/C$2</f>
        <v>91.334466638334</v>
      </c>
      <c r="F504" s="0" t="n">
        <v>73.4825451228613</v>
      </c>
      <c r="G504" s="0" t="n">
        <v>90.9768067627251</v>
      </c>
      <c r="H504" s="0" t="n">
        <v>91.9974500637484</v>
      </c>
      <c r="I504" s="0" t="n">
        <v>1.02064330102327</v>
      </c>
    </row>
    <row r="505" customFormat="false" ht="13.8" hidden="false" customHeight="false" outlineLevel="0" collapsed="false">
      <c r="A505" s="2" t="n">
        <v>40156</v>
      </c>
      <c r="B505" s="0" t="n">
        <v>1095.94</v>
      </c>
      <c r="C505" s="0" t="n">
        <v>215.75</v>
      </c>
      <c r="D505" s="3" t="n">
        <f aca="false">B505*100/B$2</f>
        <v>75.7303960861273</v>
      </c>
      <c r="E505" s="3" t="n">
        <f aca="false">C505*100/C$2</f>
        <v>91.6914577135572</v>
      </c>
      <c r="F505" s="0" t="n">
        <v>72.046629260068</v>
      </c>
      <c r="G505" s="0" t="n">
        <v>90.4971531209744</v>
      </c>
      <c r="H505" s="0" t="n">
        <v>89.6855078623034</v>
      </c>
      <c r="I505" s="0" t="n">
        <v>-0.811645258670978</v>
      </c>
    </row>
    <row r="506" customFormat="false" ht="13.8" hidden="false" customHeight="false" outlineLevel="0" collapsed="false">
      <c r="A506" s="2" t="n">
        <v>40157</v>
      </c>
      <c r="B506" s="0" t="n">
        <v>1102.35</v>
      </c>
      <c r="C506" s="0" t="n">
        <v>218.73</v>
      </c>
      <c r="D506" s="3" t="n">
        <f aca="false">B506*100/B$2</f>
        <v>76.1733325962575</v>
      </c>
      <c r="E506" s="3" t="n">
        <f aca="false">C506*100/C$2</f>
        <v>92.9579260518487</v>
      </c>
      <c r="F506" s="0" t="n">
        <v>73.669117443821</v>
      </c>
      <c r="G506" s="0" t="n">
        <v>91.0391294207004</v>
      </c>
      <c r="H506" s="0" t="n">
        <v>88.2617934551636</v>
      </c>
      <c r="I506" s="0" t="n">
        <v>-2.77733596553682</v>
      </c>
    </row>
    <row r="507" customFormat="false" ht="13.8" hidden="false" customHeight="false" outlineLevel="0" collapsed="false">
      <c r="A507" s="2" t="n">
        <v>40158</v>
      </c>
      <c r="B507" s="0" t="n">
        <v>1106.41</v>
      </c>
      <c r="C507" s="0" t="n">
        <v>218.77</v>
      </c>
      <c r="D507" s="3" t="n">
        <f aca="false">B507*100/B$2</f>
        <v>76.4538820862932</v>
      </c>
      <c r="E507" s="3" t="n">
        <f aca="false">C507*100/C$2</f>
        <v>92.9749256268593</v>
      </c>
      <c r="F507" s="0" t="n">
        <v>71.6009287155532</v>
      </c>
      <c r="G507" s="0" t="n">
        <v>90.3482712158112</v>
      </c>
      <c r="H507" s="0" t="n">
        <v>87.8920526986825</v>
      </c>
      <c r="I507" s="0" t="n">
        <v>-2.45621851712865</v>
      </c>
    </row>
    <row r="508" customFormat="false" ht="13.8" hidden="false" customHeight="false" outlineLevel="0" collapsed="false">
      <c r="A508" s="2" t="n">
        <v>40161</v>
      </c>
      <c r="B508" s="0" t="n">
        <v>1114.11</v>
      </c>
      <c r="C508" s="0" t="n">
        <v>219.51</v>
      </c>
      <c r="D508" s="3" t="n">
        <f aca="false">B508*100/B$2</f>
        <v>76.9859587053263</v>
      </c>
      <c r="E508" s="3" t="n">
        <f aca="false">C508*100/C$2</f>
        <v>93.2894177645559</v>
      </c>
      <c r="F508" s="0" t="n">
        <v>72.0639044749717</v>
      </c>
      <c r="G508" s="0" t="n">
        <v>90.5029237374536</v>
      </c>
      <c r="H508" s="0" t="n">
        <v>86.8040798980026</v>
      </c>
      <c r="I508" s="0" t="n">
        <v>-3.69884383945107</v>
      </c>
    </row>
    <row r="509" customFormat="false" ht="13.8" hidden="false" customHeight="false" outlineLevel="0" collapsed="false">
      <c r="A509" s="2" t="n">
        <v>40162</v>
      </c>
      <c r="B509" s="0" t="n">
        <v>1107.93</v>
      </c>
      <c r="C509" s="0" t="n">
        <v>219.6</v>
      </c>
      <c r="D509" s="3" t="n">
        <f aca="false">B509*100/B$2</f>
        <v>76.5589153929075</v>
      </c>
      <c r="E509" s="3" t="n">
        <f aca="false">C509*100/C$2</f>
        <v>93.3276668083298</v>
      </c>
      <c r="F509" s="0" t="n">
        <v>72.2387296497969</v>
      </c>
      <c r="G509" s="0" t="n">
        <v>90.5613223762231</v>
      </c>
      <c r="H509" s="0" t="n">
        <v>86.3280917977051</v>
      </c>
      <c r="I509" s="0" t="n">
        <v>-4.23323057851802</v>
      </c>
    </row>
    <row r="510" customFormat="false" ht="13.8" hidden="false" customHeight="false" outlineLevel="0" collapsed="false">
      <c r="A510" s="2" t="n">
        <v>40163</v>
      </c>
      <c r="B510" s="0" t="n">
        <v>1109.18</v>
      </c>
      <c r="C510" s="0" t="n">
        <v>219.32</v>
      </c>
      <c r="D510" s="3" t="n">
        <f aca="false">B510*100/B$2</f>
        <v>76.6452914674259</v>
      </c>
      <c r="E510" s="3" t="n">
        <f aca="false">C510*100/C$2</f>
        <v>93.2086697832554</v>
      </c>
      <c r="F510" s="0" t="n">
        <v>72.3140495867769</v>
      </c>
      <c r="G510" s="0" t="n">
        <v>90.5864822640724</v>
      </c>
      <c r="H510" s="0" t="n">
        <v>88.0492987675308</v>
      </c>
      <c r="I510" s="0" t="n">
        <v>-2.53718349654154</v>
      </c>
    </row>
    <row r="511" customFormat="false" ht="13.8" hidden="false" customHeight="false" outlineLevel="0" collapsed="false">
      <c r="A511" s="2" t="n">
        <v>40164</v>
      </c>
      <c r="B511" s="0" t="n">
        <v>1096.07</v>
      </c>
      <c r="C511" s="0" t="n">
        <v>216.9</v>
      </c>
      <c r="D511" s="3" t="n">
        <f aca="false">B511*100/B$2</f>
        <v>75.7393791978772</v>
      </c>
      <c r="E511" s="3" t="n">
        <f aca="false">C511*100/C$2</f>
        <v>92.1801954951126</v>
      </c>
      <c r="F511" s="0" t="n">
        <v>73.7050498908206</v>
      </c>
      <c r="G511" s="0" t="n">
        <v>91.0511323029772</v>
      </c>
      <c r="H511" s="0" t="n">
        <v>86.4938376540586</v>
      </c>
      <c r="I511" s="0" t="n">
        <v>-4.55729464891853</v>
      </c>
    </row>
    <row r="512" customFormat="false" ht="13.8" hidden="false" customHeight="false" outlineLevel="0" collapsed="false">
      <c r="A512" s="2" t="n">
        <v>40165</v>
      </c>
      <c r="B512" s="0" t="n">
        <v>1102.47</v>
      </c>
      <c r="C512" s="0" t="n">
        <v>216.68</v>
      </c>
      <c r="D512" s="3" t="n">
        <f aca="false">B512*100/B$2</f>
        <v>76.1816246994113</v>
      </c>
      <c r="E512" s="3" t="n">
        <f aca="false">C512*100/C$2</f>
        <v>92.0866978325542</v>
      </c>
      <c r="F512" s="0" t="n">
        <v>73.8895491859919</v>
      </c>
      <c r="G512" s="0" t="n">
        <v>91.112762486975</v>
      </c>
      <c r="H512" s="0" t="n">
        <v>87.7730556736082</v>
      </c>
      <c r="I512" s="0" t="n">
        <v>-3.33970681336682</v>
      </c>
    </row>
    <row r="513" customFormat="false" ht="13.8" hidden="false" customHeight="false" outlineLevel="0" collapsed="false">
      <c r="A513" s="2" t="n">
        <v>40168</v>
      </c>
      <c r="B513" s="0" t="n">
        <v>1114.05</v>
      </c>
      <c r="C513" s="0" t="n">
        <v>216.2</v>
      </c>
      <c r="D513" s="3" t="n">
        <f aca="false">B513*100/B$2</f>
        <v>76.9818126537494</v>
      </c>
      <c r="E513" s="3" t="n">
        <f aca="false">C513*100/C$2</f>
        <v>91.8827029324267</v>
      </c>
      <c r="F513" s="0" t="n">
        <v>75.5320766190331</v>
      </c>
      <c r="G513" s="0" t="n">
        <v>91.6614327018169</v>
      </c>
      <c r="H513" s="0" t="n">
        <v>88.09604759881</v>
      </c>
      <c r="I513" s="0" t="n">
        <v>-3.56538510300683</v>
      </c>
    </row>
    <row r="514" customFormat="false" ht="13.8" hidden="false" customHeight="false" outlineLevel="0" collapsed="false">
      <c r="A514" s="2" t="n">
        <v>40169</v>
      </c>
      <c r="B514" s="0" t="n">
        <v>1118.02</v>
      </c>
      <c r="C514" s="0" t="n">
        <v>217.87</v>
      </c>
      <c r="D514" s="3" t="n">
        <f aca="false">B514*100/B$2</f>
        <v>77.2561430664197</v>
      </c>
      <c r="E514" s="3" t="n">
        <f aca="false">C514*100/C$2</f>
        <v>92.5924351891203</v>
      </c>
      <c r="F514" s="0" t="n">
        <v>75.5279305674563</v>
      </c>
      <c r="G514" s="0" t="n">
        <v>91.6600477538619</v>
      </c>
      <c r="H514" s="0" t="n">
        <v>88.4955376115597</v>
      </c>
      <c r="I514" s="0" t="n">
        <v>-3.16451014230215</v>
      </c>
    </row>
    <row r="515" customFormat="false" ht="13.8" hidden="false" customHeight="false" outlineLevel="0" collapsed="false">
      <c r="A515" s="2" t="n">
        <v>40170</v>
      </c>
      <c r="B515" s="0" t="n">
        <v>1120.59</v>
      </c>
      <c r="C515" s="0" t="n">
        <v>218.95</v>
      </c>
      <c r="D515" s="3" t="n">
        <f aca="false">B515*100/B$2</f>
        <v>77.4337322756295</v>
      </c>
      <c r="E515" s="3" t="n">
        <f aca="false">C515*100/C$2</f>
        <v>93.0514237144071</v>
      </c>
      <c r="F515" s="0" t="n">
        <v>75.9079852953371</v>
      </c>
      <c r="G515" s="0" t="n">
        <v>91.7870013164042</v>
      </c>
      <c r="H515" s="0" t="n">
        <v>89.2817679558011</v>
      </c>
      <c r="I515" s="0" t="n">
        <v>-2.50523336060306</v>
      </c>
    </row>
    <row r="516" customFormat="false" ht="13.8" hidden="false" customHeight="false" outlineLevel="0" collapsed="false">
      <c r="A516" s="2" t="n">
        <v>40171</v>
      </c>
      <c r="B516" s="0" t="n">
        <v>1126.48</v>
      </c>
      <c r="C516" s="0" t="n">
        <v>221.67</v>
      </c>
      <c r="D516" s="3" t="n">
        <f aca="false">B516*100/B$2</f>
        <v>77.8407363387601</v>
      </c>
      <c r="E516" s="3" t="n">
        <f aca="false">C516*100/C$2</f>
        <v>94.2073948151296</v>
      </c>
      <c r="F516" s="0" t="n">
        <v>75.1292186074795</v>
      </c>
      <c r="G516" s="0" t="n">
        <v>91.526861925522</v>
      </c>
      <c r="H516" s="0" t="n">
        <v>87.8325541861453</v>
      </c>
      <c r="I516" s="0" t="n">
        <v>-3.69430773937668</v>
      </c>
    </row>
    <row r="517" customFormat="false" ht="13.8" hidden="false" customHeight="false" outlineLevel="0" collapsed="false">
      <c r="A517" s="2" t="n">
        <v>40175</v>
      </c>
      <c r="B517" s="0" t="n">
        <v>1127.78</v>
      </c>
      <c r="C517" s="0" t="n">
        <v>222.03</v>
      </c>
      <c r="D517" s="3" t="n">
        <f aca="false">B517*100/B$2</f>
        <v>77.9305674562592</v>
      </c>
      <c r="E517" s="3" t="n">
        <f aca="false">C517*100/C$2</f>
        <v>94.3603909902252</v>
      </c>
      <c r="F517" s="0" t="n">
        <v>75.5604079714752</v>
      </c>
      <c r="G517" s="0" t="n">
        <v>91.6708965128428</v>
      </c>
      <c r="H517" s="0" t="n">
        <v>87.9048023799405</v>
      </c>
      <c r="I517" s="0" t="n">
        <v>-3.76609413290225</v>
      </c>
    </row>
    <row r="518" customFormat="false" ht="13.8" hidden="false" customHeight="false" outlineLevel="0" collapsed="false">
      <c r="A518" s="2" t="n">
        <v>40176</v>
      </c>
      <c r="B518" s="0" t="n">
        <v>1126.19</v>
      </c>
      <c r="C518" s="0" t="n">
        <v>220.34</v>
      </c>
      <c r="D518" s="3" t="n">
        <f aca="false">B518*100/B$2</f>
        <v>77.8206970894718</v>
      </c>
      <c r="E518" s="3" t="n">
        <f aca="false">C518*100/C$2</f>
        <v>93.6421589460263</v>
      </c>
      <c r="F518" s="0" t="n">
        <v>76.6535835705796</v>
      </c>
      <c r="G518" s="0" t="n">
        <v>92.0360611236462</v>
      </c>
      <c r="H518" s="0" t="n">
        <v>89.2052698682533</v>
      </c>
      <c r="I518" s="0" t="n">
        <v>-2.83079125539292</v>
      </c>
    </row>
    <row r="519" customFormat="false" ht="13.8" hidden="false" customHeight="false" outlineLevel="0" collapsed="false">
      <c r="A519" s="2" t="n">
        <v>40177</v>
      </c>
      <c r="B519" s="0" t="n">
        <v>1126.42</v>
      </c>
      <c r="C519" s="0" t="n">
        <v>221.86</v>
      </c>
      <c r="D519" s="3" t="n">
        <f aca="false">B519*100/B$2</f>
        <v>77.8365902871832</v>
      </c>
      <c r="E519" s="3" t="n">
        <f aca="false">C519*100/C$2</f>
        <v>94.2881427964301</v>
      </c>
      <c r="F519" s="0" t="n">
        <v>76.7233754387905</v>
      </c>
      <c r="G519" s="0" t="n">
        <v>92.0593744142222</v>
      </c>
      <c r="H519" s="0" t="n">
        <v>88.8227794305142</v>
      </c>
      <c r="I519" s="0" t="n">
        <v>-3.23659498370795</v>
      </c>
    </row>
    <row r="520" customFormat="false" ht="13.8" hidden="false" customHeight="false" outlineLevel="0" collapsed="false">
      <c r="A520" s="2" t="n">
        <v>40178</v>
      </c>
      <c r="B520" s="0" t="n">
        <v>1115.1</v>
      </c>
      <c r="C520" s="0" t="n">
        <v>221.86</v>
      </c>
      <c r="D520" s="3" t="n">
        <f aca="false">B520*100/B$2</f>
        <v>77.0543685563448</v>
      </c>
      <c r="E520" s="3" t="n">
        <f aca="false">C520*100/C$2</f>
        <v>94.2881427964301</v>
      </c>
      <c r="F520" s="0" t="n">
        <v>76.688134000387</v>
      </c>
      <c r="G520" s="0" t="n">
        <v>92.0476023566046</v>
      </c>
      <c r="H520" s="0" t="n">
        <v>89.9107522311942</v>
      </c>
      <c r="I520" s="0" t="n">
        <v>-2.1368501254104</v>
      </c>
    </row>
    <row r="521" customFormat="false" ht="13.8" hidden="false" customHeight="false" outlineLevel="0" collapsed="false">
      <c r="A521" s="2" t="n">
        <v>40182</v>
      </c>
      <c r="B521" s="0" t="n">
        <v>1132.99</v>
      </c>
      <c r="C521" s="0" t="n">
        <v>223.49</v>
      </c>
      <c r="D521" s="3" t="n">
        <f aca="false">B521*100/B$2</f>
        <v>78.2905829348517</v>
      </c>
      <c r="E521" s="3" t="n">
        <f aca="false">C521*100/C$2</f>
        <v>94.9808754781131</v>
      </c>
      <c r="F521" s="0" t="n">
        <v>75.658531192128</v>
      </c>
      <c r="G521" s="0" t="n">
        <v>91.7036736144446</v>
      </c>
      <c r="H521" s="0" t="n">
        <v>90.9009774755631</v>
      </c>
      <c r="I521" s="0" t="n">
        <v>-0.802696138881458</v>
      </c>
    </row>
    <row r="522" customFormat="false" ht="13.8" hidden="false" customHeight="false" outlineLevel="0" collapsed="false">
      <c r="A522" s="2" t="n">
        <v>40183</v>
      </c>
      <c r="B522" s="0" t="n">
        <v>1136.52</v>
      </c>
      <c r="C522" s="0" t="n">
        <v>222.84</v>
      </c>
      <c r="D522" s="3" t="n">
        <f aca="false">B522*100/B$2</f>
        <v>78.5345089692916</v>
      </c>
      <c r="E522" s="3" t="n">
        <f aca="false">C522*100/C$2</f>
        <v>94.7046323841904</v>
      </c>
      <c r="F522" s="0" t="n">
        <v>75.4152961662843</v>
      </c>
      <c r="G522" s="0" t="n">
        <v>91.6224233344175</v>
      </c>
      <c r="H522" s="0" t="n">
        <v>90.8457288567786</v>
      </c>
      <c r="I522" s="0" t="n">
        <v>-0.776694477638927</v>
      </c>
    </row>
    <row r="523" customFormat="false" ht="13.8" hidden="false" customHeight="false" outlineLevel="0" collapsed="false">
      <c r="A523" s="2" t="n">
        <v>40184</v>
      </c>
      <c r="B523" s="0" t="n">
        <v>1137.14</v>
      </c>
      <c r="C523" s="0" t="n">
        <v>224.67</v>
      </c>
      <c r="D523" s="3" t="n">
        <f aca="false">B523*100/B$2</f>
        <v>78.5773515022527</v>
      </c>
      <c r="E523" s="3" t="n">
        <f aca="false">C523*100/C$2</f>
        <v>95.4823629409265</v>
      </c>
      <c r="F523" s="0" t="n">
        <v>76.4421349401587</v>
      </c>
      <c r="G523" s="0" t="n">
        <v>91.9654287779409</v>
      </c>
      <c r="H523" s="0" t="n">
        <v>90.8287292817679</v>
      </c>
      <c r="I523" s="0" t="n">
        <v>-1.13669949617292</v>
      </c>
    </row>
    <row r="524" customFormat="false" ht="13.8" hidden="false" customHeight="false" outlineLevel="0" collapsed="false">
      <c r="A524" s="2" t="n">
        <v>40185</v>
      </c>
      <c r="B524" s="0" t="n">
        <v>1141.68</v>
      </c>
      <c r="C524" s="0" t="n">
        <v>221.31</v>
      </c>
      <c r="D524" s="3" t="n">
        <f aca="false">B524*100/B$2</f>
        <v>78.8910694049034</v>
      </c>
      <c r="E524" s="3" t="n">
        <f aca="false">C524*100/C$2</f>
        <v>94.054398640034</v>
      </c>
      <c r="F524" s="0" t="n">
        <v>76.401365432986</v>
      </c>
      <c r="G524" s="0" t="n">
        <v>91.95181012305</v>
      </c>
      <c r="H524" s="0" t="n">
        <v>90.0637484062898</v>
      </c>
      <c r="I524" s="0" t="n">
        <v>-1.88806171676015</v>
      </c>
    </row>
    <row r="525" customFormat="false" ht="13.8" hidden="false" customHeight="false" outlineLevel="0" collapsed="false">
      <c r="A525" s="2" t="n">
        <v>40186</v>
      </c>
      <c r="B525" s="0" t="n">
        <v>1144.98</v>
      </c>
      <c r="C525" s="0" t="n">
        <v>222.66</v>
      </c>
      <c r="D525" s="3" t="n">
        <f aca="false">B525*100/B$2</f>
        <v>79.1191022416319</v>
      </c>
      <c r="E525" s="3" t="n">
        <f aca="false">C525*100/C$2</f>
        <v>94.6281342966426</v>
      </c>
      <c r="F525" s="0" t="n">
        <v>76.7454877138672</v>
      </c>
      <c r="G525" s="0" t="n">
        <v>92.0667608033155</v>
      </c>
      <c r="H525" s="0" t="n">
        <v>90.3569910752231</v>
      </c>
      <c r="I525" s="0" t="n">
        <v>-1.70976972809243</v>
      </c>
    </row>
    <row r="526" customFormat="false" ht="13.8" hidden="false" customHeight="false" outlineLevel="0" collapsed="false">
      <c r="A526" s="2" t="n">
        <v>40189</v>
      </c>
      <c r="B526" s="0" t="n">
        <v>1146.98</v>
      </c>
      <c r="C526" s="0" t="n">
        <v>222.23</v>
      </c>
      <c r="D526" s="3" t="n">
        <f aca="false">B526*100/B$2</f>
        <v>79.2573039608613</v>
      </c>
      <c r="E526" s="3" t="n">
        <f aca="false">C526*100/C$2</f>
        <v>94.4453888652784</v>
      </c>
      <c r="F526" s="0" t="n">
        <v>76.7454877138672</v>
      </c>
      <c r="G526" s="0" t="n">
        <v>92.0667608033155</v>
      </c>
      <c r="H526" s="0" t="n">
        <v>89.5750106247344</v>
      </c>
      <c r="I526" s="0" t="n">
        <v>-2.49175017858117</v>
      </c>
    </row>
    <row r="527" customFormat="false" ht="13.8" hidden="false" customHeight="false" outlineLevel="0" collapsed="false">
      <c r="A527" s="2" t="n">
        <v>40190</v>
      </c>
      <c r="B527" s="0" t="n">
        <v>1136.22</v>
      </c>
      <c r="C527" s="0" t="n">
        <v>223.04</v>
      </c>
      <c r="D527" s="3" t="n">
        <f aca="false">B527*100/B$2</f>
        <v>78.5137787114072</v>
      </c>
      <c r="E527" s="3" t="n">
        <f aca="false">C527*100/C$2</f>
        <v>94.7896302592435</v>
      </c>
      <c r="F527" s="0" t="n">
        <v>75.4228972608419</v>
      </c>
      <c r="G527" s="0" t="n">
        <v>91.6249624056684</v>
      </c>
      <c r="H527" s="0" t="n">
        <v>85.3081172970676</v>
      </c>
      <c r="I527" s="0" t="n">
        <v>-6.31684510860079</v>
      </c>
    </row>
    <row r="528" customFormat="false" ht="13.8" hidden="false" customHeight="false" outlineLevel="0" collapsed="false">
      <c r="A528" s="2" t="n">
        <v>40191</v>
      </c>
      <c r="B528" s="0" t="n">
        <v>1145.68</v>
      </c>
      <c r="C528" s="0" t="n">
        <v>219.17</v>
      </c>
      <c r="D528" s="3" t="n">
        <f aca="false">B528*100/B$2</f>
        <v>79.1674728433622</v>
      </c>
      <c r="E528" s="3" t="n">
        <f aca="false">C528*100/C$2</f>
        <v>93.1449213769656</v>
      </c>
      <c r="F528" s="0" t="n">
        <v>75.7089748196468</v>
      </c>
      <c r="G528" s="0" t="n">
        <v>91.7205238145638</v>
      </c>
      <c r="H528" s="0" t="n">
        <v>87.0165745856354</v>
      </c>
      <c r="I528" s="0" t="n">
        <v>-4.70394922892847</v>
      </c>
    </row>
    <row r="529" customFormat="false" ht="13.8" hidden="false" customHeight="false" outlineLevel="0" collapsed="false">
      <c r="A529" s="2" t="n">
        <v>40192</v>
      </c>
      <c r="B529" s="0" t="n">
        <v>1148.46</v>
      </c>
      <c r="C529" s="0" t="n">
        <v>221.19</v>
      </c>
      <c r="D529" s="3" t="n">
        <f aca="false">B529*100/B$2</f>
        <v>79.359573233091</v>
      </c>
      <c r="E529" s="3" t="n">
        <f aca="false">C529*100/C$2</f>
        <v>94.0033999150021</v>
      </c>
      <c r="F529" s="0" t="n">
        <v>76.6231791923491</v>
      </c>
      <c r="G529" s="0" t="n">
        <v>92.0259048386428</v>
      </c>
      <c r="H529" s="0" t="n">
        <v>88.0025499362516</v>
      </c>
      <c r="I529" s="0" t="n">
        <v>-4.02335490239126</v>
      </c>
    </row>
    <row r="530" customFormat="false" ht="13.8" hidden="false" customHeight="false" outlineLevel="0" collapsed="false">
      <c r="A530" s="2" t="n">
        <v>40193</v>
      </c>
      <c r="B530" s="0" t="n">
        <v>1136.03</v>
      </c>
      <c r="C530" s="0" t="n">
        <v>223.21</v>
      </c>
      <c r="D530" s="3" t="n">
        <f aca="false">B530*100/B$2</f>
        <v>78.5006495480804</v>
      </c>
      <c r="E530" s="3" t="n">
        <f aca="false">C530*100/C$2</f>
        <v>94.8618784530387</v>
      </c>
      <c r="F530" s="0" t="n">
        <v>76.6494375190027</v>
      </c>
      <c r="G530" s="0" t="n">
        <v>92.0346761756912</v>
      </c>
      <c r="H530" s="0" t="n">
        <v>89.3540161495963</v>
      </c>
      <c r="I530" s="0" t="n">
        <v>-2.68066002609496</v>
      </c>
    </row>
    <row r="531" customFormat="false" ht="13.8" hidden="false" customHeight="false" outlineLevel="0" collapsed="false">
      <c r="A531" s="2" t="n">
        <v>40196</v>
      </c>
      <c r="B531" s="0" t="n">
        <v>1136.03</v>
      </c>
      <c r="C531" s="0" t="n">
        <v>224.38</v>
      </c>
      <c r="D531" s="3" t="n">
        <f aca="false">B531*100/B$2</f>
        <v>78.5006495480804</v>
      </c>
      <c r="E531" s="3" t="n">
        <f aca="false">C531*100/C$2</f>
        <v>95.3591160220994</v>
      </c>
      <c r="F531" s="0" t="n">
        <v>76.0054175073938</v>
      </c>
      <c r="G531" s="0" t="n">
        <v>91.8195475933468</v>
      </c>
      <c r="H531" s="0" t="n">
        <v>90.6544836379091</v>
      </c>
      <c r="I531" s="0" t="n">
        <v>-1.16506395543776</v>
      </c>
    </row>
    <row r="532" customFormat="false" ht="13.8" hidden="false" customHeight="false" outlineLevel="0" collapsed="false">
      <c r="A532" s="2" t="n">
        <v>40197</v>
      </c>
      <c r="B532" s="0" t="n">
        <v>1150.23</v>
      </c>
      <c r="C532" s="0" t="n">
        <v>224.13</v>
      </c>
      <c r="D532" s="3" t="n">
        <f aca="false">B532*100/B$2</f>
        <v>79.481881754609</v>
      </c>
      <c r="E532" s="3" t="n">
        <f aca="false">C532*100/C$2</f>
        <v>95.252868678283</v>
      </c>
      <c r="F532" s="0" t="n">
        <v>76.4241687166588</v>
      </c>
      <c r="G532" s="0" t="n">
        <v>91.9594273368025</v>
      </c>
      <c r="H532" s="0" t="n">
        <v>91.1602209944751</v>
      </c>
      <c r="I532" s="0" t="n">
        <v>-0.799206342327366</v>
      </c>
    </row>
    <row r="533" customFormat="false" ht="13.8" hidden="false" customHeight="false" outlineLevel="0" collapsed="false">
      <c r="A533" s="2" t="n">
        <v>40198</v>
      </c>
      <c r="B533" s="0" t="n">
        <v>1138.04</v>
      </c>
      <c r="C533" s="0" t="n">
        <v>224.83</v>
      </c>
      <c r="D533" s="3" t="n">
        <f aca="false">B533*100/B$2</f>
        <v>78.6395422759059</v>
      </c>
      <c r="E533" s="3" t="n">
        <f aca="false">C533*100/C$2</f>
        <v>95.550361240969</v>
      </c>
      <c r="F533" s="0" t="n">
        <v>76.2355233699107</v>
      </c>
      <c r="G533" s="0" t="n">
        <v>91.8964122048497</v>
      </c>
      <c r="H533" s="0" t="n">
        <v>91.606459838504</v>
      </c>
      <c r="I533" s="0" t="n">
        <v>-0.289952366345659</v>
      </c>
    </row>
    <row r="534" customFormat="false" ht="13.8" hidden="false" customHeight="false" outlineLevel="0" collapsed="false">
      <c r="A534" s="2" t="n">
        <v>40199</v>
      </c>
      <c r="B534" s="0" t="n">
        <v>1116.48</v>
      </c>
      <c r="C534" s="0" t="n">
        <v>226.16</v>
      </c>
      <c r="D534" s="3" t="n">
        <f aca="false">B534*100/B$2</f>
        <v>77.1497277426131</v>
      </c>
      <c r="E534" s="3" t="n">
        <f aca="false">C534*100/C$2</f>
        <v>96.1155971100722</v>
      </c>
      <c r="F534" s="0" t="n">
        <v>75.4533016390724</v>
      </c>
      <c r="G534" s="0" t="n">
        <v>91.6351186906717</v>
      </c>
      <c r="H534" s="0" t="n">
        <v>91.334466638334</v>
      </c>
      <c r="I534" s="0" t="n">
        <v>-0.300652052337696</v>
      </c>
    </row>
    <row r="535" customFormat="false" ht="13.8" hidden="false" customHeight="false" outlineLevel="0" collapsed="false">
      <c r="A535" s="2" t="n">
        <v>40200</v>
      </c>
      <c r="B535" s="0" t="n">
        <v>1091.76</v>
      </c>
      <c r="C535" s="0" t="n">
        <v>220.68</v>
      </c>
      <c r="D535" s="3" t="n">
        <f aca="false">B535*100/B$2</f>
        <v>75.4415544929379</v>
      </c>
      <c r="E535" s="3" t="n">
        <f aca="false">C535*100/C$2</f>
        <v>93.7866553336167</v>
      </c>
      <c r="F535" s="0" t="n">
        <v>75.7303960861273</v>
      </c>
      <c r="G535" s="0" t="n">
        <v>91.727679378998</v>
      </c>
      <c r="H535" s="0" t="n">
        <v>91.6914577135572</v>
      </c>
      <c r="I535" s="0" t="n">
        <v>-0.0362216654408769</v>
      </c>
    </row>
    <row r="536" customFormat="false" ht="13.8" hidden="false" customHeight="false" outlineLevel="0" collapsed="false">
      <c r="A536" s="2" t="n">
        <v>40203</v>
      </c>
      <c r="B536" s="0" t="n">
        <v>1096.78</v>
      </c>
      <c r="C536" s="0" t="n">
        <v>219.33</v>
      </c>
      <c r="D536" s="3" t="n">
        <f aca="false">B536*100/B$2</f>
        <v>75.7884408082037</v>
      </c>
      <c r="E536" s="3" t="n">
        <f aca="false">C536*100/C$2</f>
        <v>93.2129196770081</v>
      </c>
      <c r="F536" s="0" t="n">
        <v>76.1733325962575</v>
      </c>
      <c r="G536" s="0" t="n">
        <v>91.8756379855246</v>
      </c>
      <c r="H536" s="0" t="n">
        <v>92.9579260518487</v>
      </c>
      <c r="I536" s="0" t="n">
        <v>1.08228806632411</v>
      </c>
    </row>
    <row r="537" customFormat="false" ht="13.8" hidden="false" customHeight="false" outlineLevel="0" collapsed="false">
      <c r="A537" s="2" t="n">
        <v>40204</v>
      </c>
      <c r="B537" s="0" t="n">
        <v>1092.17</v>
      </c>
      <c r="C537" s="0" t="n">
        <v>214.89</v>
      </c>
      <c r="D537" s="3" t="n">
        <f aca="false">B537*100/B$2</f>
        <v>75.4698858453799</v>
      </c>
      <c r="E537" s="3" t="n">
        <f aca="false">C537*100/C$2</f>
        <v>91.3259668508287</v>
      </c>
      <c r="F537" s="0" t="n">
        <v>76.4538820862932</v>
      </c>
      <c r="G537" s="0" t="n">
        <v>91.9693527971467</v>
      </c>
      <c r="H537" s="0" t="n">
        <v>92.9749256268593</v>
      </c>
      <c r="I537" s="0" t="n">
        <v>1.00557282971259</v>
      </c>
    </row>
    <row r="538" customFormat="false" ht="13.8" hidden="false" customHeight="false" outlineLevel="0" collapsed="false">
      <c r="A538" s="2" t="n">
        <v>40205</v>
      </c>
      <c r="B538" s="0" t="n">
        <v>1097.5</v>
      </c>
      <c r="C538" s="0" t="n">
        <v>213.02</v>
      </c>
      <c r="D538" s="3" t="n">
        <f aca="false">B538*100/B$2</f>
        <v>75.8381934271262</v>
      </c>
      <c r="E538" s="3" t="n">
        <f aca="false">C538*100/C$2</f>
        <v>90.531236719082</v>
      </c>
      <c r="F538" s="0" t="n">
        <v>76.9859587053263</v>
      </c>
      <c r="G538" s="0" t="n">
        <v>92.1470877847059</v>
      </c>
      <c r="H538" s="0" t="n">
        <v>93.2894177645559</v>
      </c>
      <c r="I538" s="0" t="n">
        <v>1.14232997984993</v>
      </c>
    </row>
    <row r="539" customFormat="false" ht="13.8" hidden="false" customHeight="false" outlineLevel="0" collapsed="false">
      <c r="A539" s="2" t="n">
        <v>40206</v>
      </c>
      <c r="B539" s="0" t="n">
        <v>1084.53</v>
      </c>
      <c r="C539" s="0" t="n">
        <v>215.67</v>
      </c>
      <c r="D539" s="3" t="n">
        <f aca="false">B539*100/B$2</f>
        <v>74.9419552779237</v>
      </c>
      <c r="E539" s="3" t="n">
        <f aca="false">C539*100/C$2</f>
        <v>91.6574585635359</v>
      </c>
      <c r="F539" s="0" t="n">
        <v>76.5589153929075</v>
      </c>
      <c r="G539" s="0" t="n">
        <v>92.0044381453402</v>
      </c>
      <c r="H539" s="0" t="n">
        <v>93.3276668083298</v>
      </c>
      <c r="I539" s="0" t="n">
        <v>1.32322866298955</v>
      </c>
    </row>
    <row r="540" customFormat="false" ht="13.8" hidden="false" customHeight="false" outlineLevel="0" collapsed="false">
      <c r="A540" s="2" t="n">
        <v>40207</v>
      </c>
      <c r="B540" s="0" t="n">
        <v>1073.87</v>
      </c>
      <c r="C540" s="0" t="n">
        <v>210.34</v>
      </c>
      <c r="D540" s="3" t="n">
        <f aca="false">B540*100/B$2</f>
        <v>74.205340114431</v>
      </c>
      <c r="E540" s="3" t="n">
        <f aca="false">C540*100/C$2</f>
        <v>89.3922651933702</v>
      </c>
      <c r="F540" s="0" t="n">
        <v>76.6452914674259</v>
      </c>
      <c r="G540" s="0" t="n">
        <v>92.0332912277362</v>
      </c>
      <c r="H540" s="0" t="n">
        <v>93.2086697832554</v>
      </c>
      <c r="I540" s="0" t="n">
        <v>1.1753785555192</v>
      </c>
    </row>
    <row r="541" customFormat="false" ht="13.8" hidden="false" customHeight="false" outlineLevel="0" collapsed="false">
      <c r="A541" s="2" t="n">
        <v>40210</v>
      </c>
      <c r="B541" s="0" t="n">
        <v>1089.18</v>
      </c>
      <c r="C541" s="0" t="n">
        <v>210.76</v>
      </c>
      <c r="D541" s="3" t="n">
        <f aca="false">B541*100/B$2</f>
        <v>75.263274275132</v>
      </c>
      <c r="E541" s="3" t="n">
        <f aca="false">C541*100/C$2</f>
        <v>89.5707607309817</v>
      </c>
      <c r="F541" s="0" t="n">
        <v>75.7393791978772</v>
      </c>
      <c r="G541" s="0" t="n">
        <v>91.7306800995672</v>
      </c>
      <c r="H541" s="0" t="n">
        <v>92.1801954951126</v>
      </c>
      <c r="I541" s="0" t="n">
        <v>0.449515395545404</v>
      </c>
    </row>
    <row r="542" customFormat="false" ht="13.8" hidden="false" customHeight="false" outlineLevel="0" collapsed="false">
      <c r="A542" s="2" t="n">
        <v>40211</v>
      </c>
      <c r="B542" s="0" t="n">
        <v>1103.31</v>
      </c>
      <c r="C542" s="0" t="n">
        <v>209.27</v>
      </c>
      <c r="D542" s="3" t="n">
        <f aca="false">B542*100/B$2</f>
        <v>76.2396694214876</v>
      </c>
      <c r="E542" s="3" t="n">
        <f aca="false">C542*100/C$2</f>
        <v>88.937526561836</v>
      </c>
      <c r="F542" s="0" t="n">
        <v>76.1816246994113</v>
      </c>
      <c r="G542" s="0" t="n">
        <v>91.8784078814346</v>
      </c>
      <c r="H542" s="0" t="n">
        <v>92.0866978325542</v>
      </c>
      <c r="I542" s="0" t="n">
        <v>0.208289951119568</v>
      </c>
    </row>
    <row r="543" customFormat="false" ht="13.8" hidden="false" customHeight="false" outlineLevel="0" collapsed="false">
      <c r="A543" s="2" t="n">
        <v>40212</v>
      </c>
      <c r="B543" s="0" t="n">
        <v>1097.28</v>
      </c>
      <c r="C543" s="0" t="n">
        <v>211.86</v>
      </c>
      <c r="D543" s="3" t="n">
        <f aca="false">B543*100/B$2</f>
        <v>75.822991238011</v>
      </c>
      <c r="E543" s="3" t="n">
        <f aca="false">C543*100/C$2</f>
        <v>90.0382490437739</v>
      </c>
      <c r="F543" s="0" t="n">
        <v>76.9818126537494</v>
      </c>
      <c r="G543" s="0" t="n">
        <v>92.1457028367509</v>
      </c>
      <c r="H543" s="0" t="n">
        <v>91.8827029324267</v>
      </c>
      <c r="I543" s="0" t="n">
        <v>-0.262999904324246</v>
      </c>
    </row>
    <row r="544" customFormat="false" ht="13.8" hidden="false" customHeight="false" outlineLevel="0" collapsed="false">
      <c r="A544" s="2" t="n">
        <v>40213</v>
      </c>
      <c r="B544" s="0" t="n">
        <v>1063.11</v>
      </c>
      <c r="C544" s="0" t="n">
        <v>211.72</v>
      </c>
      <c r="D544" s="3" t="n">
        <f aca="false">B544*100/B$2</f>
        <v>73.4618148649769</v>
      </c>
      <c r="E544" s="3" t="n">
        <f aca="false">C544*100/C$2</f>
        <v>89.9787505312367</v>
      </c>
      <c r="F544" s="0" t="n">
        <v>77.2561430664197</v>
      </c>
      <c r="G544" s="0" t="n">
        <v>92.2373402264406</v>
      </c>
      <c r="H544" s="0" t="n">
        <v>92.5924351891203</v>
      </c>
      <c r="I544" s="0" t="n">
        <v>0.355094962679715</v>
      </c>
    </row>
    <row r="545" customFormat="false" ht="13.8" hidden="false" customHeight="false" outlineLevel="0" collapsed="false">
      <c r="A545" s="2" t="n">
        <v>40214</v>
      </c>
      <c r="B545" s="0" t="n">
        <v>1066.18</v>
      </c>
      <c r="C545" s="0" t="n">
        <v>205.06</v>
      </c>
      <c r="D545" s="3" t="n">
        <f aca="false">B545*100/B$2</f>
        <v>73.673954503994</v>
      </c>
      <c r="E545" s="3" t="n">
        <f aca="false">C545*100/C$2</f>
        <v>87.1483212919677</v>
      </c>
      <c r="F545" s="0" t="n">
        <v>77.4337322756295</v>
      </c>
      <c r="G545" s="0" t="n">
        <v>92.2966621638467</v>
      </c>
      <c r="H545" s="0" t="n">
        <v>93.0514237144071</v>
      </c>
      <c r="I545" s="0" t="n">
        <v>0.75476155056046</v>
      </c>
    </row>
    <row r="546" customFormat="false" ht="13.8" hidden="false" customHeight="false" outlineLevel="0" collapsed="false">
      <c r="A546" s="2" t="n">
        <v>40217</v>
      </c>
      <c r="B546" s="0" t="n">
        <v>1056.74</v>
      </c>
      <c r="C546" s="0" t="n">
        <v>203.37</v>
      </c>
      <c r="D546" s="3" t="n">
        <f aca="false">B546*100/B$2</f>
        <v>73.0216423892313</v>
      </c>
      <c r="E546" s="3" t="n">
        <f aca="false">C546*100/C$2</f>
        <v>86.4300892477688</v>
      </c>
      <c r="F546" s="0" t="n">
        <v>77.8407363387601</v>
      </c>
      <c r="G546" s="0" t="n">
        <v>92.4326178880965</v>
      </c>
      <c r="H546" s="0" t="n">
        <v>94.2073948151296</v>
      </c>
      <c r="I546" s="0" t="n">
        <v>1.77477692703309</v>
      </c>
    </row>
    <row r="547" customFormat="false" ht="13.8" hidden="false" customHeight="false" outlineLevel="0" collapsed="false">
      <c r="A547" s="2" t="n">
        <v>40218</v>
      </c>
      <c r="B547" s="0" t="n">
        <v>1070.52</v>
      </c>
      <c r="C547" s="0" t="n">
        <v>206.01</v>
      </c>
      <c r="D547" s="3" t="n">
        <f aca="false">B547*100/B$2</f>
        <v>73.9738522347218</v>
      </c>
      <c r="E547" s="3" t="n">
        <f aca="false">C547*100/C$2</f>
        <v>87.55206119847</v>
      </c>
      <c r="F547" s="0" t="n">
        <v>77.9305674562592</v>
      </c>
      <c r="G547" s="0" t="n">
        <v>92.4626250937883</v>
      </c>
      <c r="H547" s="0" t="n">
        <v>94.3603909902252</v>
      </c>
      <c r="I547" s="0" t="n">
        <v>1.89776589643689</v>
      </c>
    </row>
    <row r="548" customFormat="false" ht="13.8" hidden="false" customHeight="false" outlineLevel="0" collapsed="false">
      <c r="A548" s="2" t="n">
        <v>40219</v>
      </c>
      <c r="B548" s="0" t="n">
        <v>1068.13</v>
      </c>
      <c r="C548" s="0" t="n">
        <v>205.94</v>
      </c>
      <c r="D548" s="3" t="n">
        <f aca="false">B548*100/B$2</f>
        <v>73.8087011802427</v>
      </c>
      <c r="E548" s="3" t="n">
        <f aca="false">C548*100/C$2</f>
        <v>87.5223119422014</v>
      </c>
      <c r="F548" s="0" t="n">
        <v>77.8206970894718</v>
      </c>
      <c r="G548" s="0" t="n">
        <v>92.4259239729807</v>
      </c>
      <c r="H548" s="0" t="n">
        <v>93.6421589460263</v>
      </c>
      <c r="I548" s="0" t="n">
        <v>1.21623497304569</v>
      </c>
    </row>
    <row r="549" customFormat="false" ht="13.8" hidden="false" customHeight="false" outlineLevel="0" collapsed="false">
      <c r="A549" s="2" t="n">
        <v>40220</v>
      </c>
      <c r="B549" s="0" t="n">
        <v>1078.47</v>
      </c>
      <c r="C549" s="0" t="n">
        <v>209.73</v>
      </c>
      <c r="D549" s="3" t="n">
        <f aca="false">B549*100/B$2</f>
        <v>74.5232040686586</v>
      </c>
      <c r="E549" s="3" t="n">
        <f aca="false">C549*100/C$2</f>
        <v>89.1330216744581</v>
      </c>
      <c r="F549" s="0" t="n">
        <v>77.8365902871832</v>
      </c>
      <c r="G549" s="0" t="n">
        <v>92.4312329401415</v>
      </c>
      <c r="H549" s="0" t="n">
        <v>94.2881427964301</v>
      </c>
      <c r="I549" s="0" t="n">
        <v>1.85690985628857</v>
      </c>
    </row>
    <row r="550" customFormat="false" ht="13.8" hidden="false" customHeight="false" outlineLevel="0" collapsed="false">
      <c r="A550" s="2" t="n">
        <v>40221</v>
      </c>
      <c r="B550" s="0" t="n">
        <v>1075.51</v>
      </c>
      <c r="C550" s="0" t="n">
        <v>208.74</v>
      </c>
      <c r="D550" s="3" t="n">
        <f aca="false">B550*100/B$2</f>
        <v>74.3186655241991</v>
      </c>
      <c r="E550" s="3" t="n">
        <f aca="false">C550*100/C$2</f>
        <v>88.7122821929452</v>
      </c>
      <c r="F550" s="0" t="n">
        <v>77.0543685563448</v>
      </c>
      <c r="G550" s="0" t="n">
        <v>92.1699394259636</v>
      </c>
      <c r="H550" s="0" t="n">
        <v>94.2881427964301</v>
      </c>
      <c r="I550" s="0" t="n">
        <v>2.11820337046653</v>
      </c>
    </row>
    <row r="551" customFormat="false" ht="13.8" hidden="false" customHeight="false" outlineLevel="0" collapsed="false">
      <c r="A551" s="2" t="n">
        <v>40225</v>
      </c>
      <c r="B551" s="0" t="n">
        <v>1094.87</v>
      </c>
      <c r="C551" s="0" t="n">
        <v>209.73</v>
      </c>
      <c r="D551" s="3" t="n">
        <f aca="false">B551*100/B$2</f>
        <v>75.6564581663396</v>
      </c>
      <c r="E551" s="3" t="n">
        <f aca="false">C551*100/C$2</f>
        <v>89.1330216744581</v>
      </c>
      <c r="F551" s="0" t="n">
        <v>78.2905829348517</v>
      </c>
      <c r="G551" s="0" t="n">
        <v>92.5828847412148</v>
      </c>
      <c r="H551" s="0" t="n">
        <v>94.9808754781131</v>
      </c>
      <c r="I551" s="0" t="n">
        <v>2.39799073689828</v>
      </c>
    </row>
    <row r="552" customFormat="false" ht="13.8" hidden="false" customHeight="false" outlineLevel="0" collapsed="false">
      <c r="A552" s="2" t="n">
        <v>40226</v>
      </c>
      <c r="B552" s="0" t="n">
        <v>1099.51</v>
      </c>
      <c r="C552" s="0" t="n">
        <v>213.44</v>
      </c>
      <c r="D552" s="3" t="n">
        <f aca="false">B552*100/B$2</f>
        <v>75.9770861549518</v>
      </c>
      <c r="E552" s="3" t="n">
        <f aca="false">C552*100/C$2</f>
        <v>90.7097322566936</v>
      </c>
      <c r="F552" s="0" t="n">
        <v>78.5345089692916</v>
      </c>
      <c r="G552" s="0" t="n">
        <v>92.664365845901</v>
      </c>
      <c r="H552" s="0" t="n">
        <v>94.7046323841904</v>
      </c>
      <c r="I552" s="0" t="n">
        <v>2.04026653828937</v>
      </c>
    </row>
    <row r="553" customFormat="false" ht="13.8" hidden="false" customHeight="false" outlineLevel="0" collapsed="false">
      <c r="A553" s="2" t="n">
        <v>40227</v>
      </c>
      <c r="B553" s="0" t="n">
        <v>1106.75</v>
      </c>
      <c r="C553" s="0" t="n">
        <v>212.55</v>
      </c>
      <c r="D553" s="3" t="n">
        <f aca="false">B553*100/B$2</f>
        <v>76.4773763785621</v>
      </c>
      <c r="E553" s="3" t="n">
        <f aca="false">C553*100/C$2</f>
        <v>90.3314917127072</v>
      </c>
      <c r="F553" s="0" t="n">
        <v>78.5773515022527</v>
      </c>
      <c r="G553" s="0" t="n">
        <v>92.6786769747694</v>
      </c>
      <c r="H553" s="0" t="n">
        <v>95.4823629409265</v>
      </c>
      <c r="I553" s="0" t="n">
        <v>2.80368596615706</v>
      </c>
    </row>
    <row r="554" customFormat="false" ht="13.8" hidden="false" customHeight="false" outlineLevel="0" collapsed="false">
      <c r="A554" s="2" t="n">
        <v>40228</v>
      </c>
      <c r="B554" s="0" t="n">
        <v>1109.17</v>
      </c>
      <c r="C554" s="0" t="n">
        <v>208.7</v>
      </c>
      <c r="D554" s="3" t="n">
        <f aca="false">B554*100/B$2</f>
        <v>76.6446004588297</v>
      </c>
      <c r="E554" s="3" t="n">
        <f aca="false">C554*100/C$2</f>
        <v>88.6952826179346</v>
      </c>
      <c r="F554" s="0" t="n">
        <v>78.8910694049034</v>
      </c>
      <c r="G554" s="0" t="n">
        <v>92.7834713700316</v>
      </c>
      <c r="H554" s="0" t="n">
        <v>94.054398640034</v>
      </c>
      <c r="I554" s="0" t="n">
        <v>1.27092727000239</v>
      </c>
    </row>
    <row r="555" customFormat="false" ht="13.8" hidden="false" customHeight="false" outlineLevel="0" collapsed="false">
      <c r="A555" s="2" t="n">
        <v>40231</v>
      </c>
      <c r="B555" s="0" t="n">
        <v>1108.01</v>
      </c>
      <c r="C555" s="0" t="n">
        <v>213.28</v>
      </c>
      <c r="D555" s="3" t="n">
        <f aca="false">B555*100/B$2</f>
        <v>76.5644434616767</v>
      </c>
      <c r="E555" s="3" t="n">
        <f aca="false">C555*100/C$2</f>
        <v>90.6417339566511</v>
      </c>
      <c r="F555" s="0" t="n">
        <v>79.1191022416319</v>
      </c>
      <c r="G555" s="0" t="n">
        <v>92.859643507557</v>
      </c>
      <c r="H555" s="0" t="n">
        <v>94.6281342966426</v>
      </c>
      <c r="I555" s="0" t="n">
        <v>1.76849078908562</v>
      </c>
    </row>
    <row r="556" customFormat="false" ht="13.8" hidden="false" customHeight="false" outlineLevel="0" collapsed="false">
      <c r="A556" s="2" t="n">
        <v>40232</v>
      </c>
      <c r="B556" s="0" t="n">
        <v>1094.6</v>
      </c>
      <c r="C556" s="0" t="n">
        <v>213.45</v>
      </c>
      <c r="D556" s="3" t="n">
        <f aca="false">B556*100/B$2</f>
        <v>75.6378009342436</v>
      </c>
      <c r="E556" s="3" t="n">
        <f aca="false">C556*100/C$2</f>
        <v>90.7139821504462</v>
      </c>
      <c r="F556" s="0" t="n">
        <v>79.2573039608613</v>
      </c>
      <c r="G556" s="0" t="n">
        <v>92.9058084393905</v>
      </c>
      <c r="H556" s="0" t="n">
        <v>94.4453888652784</v>
      </c>
      <c r="I556" s="0" t="n">
        <v>1.53958042588782</v>
      </c>
    </row>
    <row r="557" customFormat="false" ht="13.8" hidden="false" customHeight="false" outlineLevel="0" collapsed="false">
      <c r="A557" s="2" t="n">
        <v>40233</v>
      </c>
      <c r="B557" s="0" t="n">
        <v>1105.24</v>
      </c>
      <c r="C557" s="0" t="n">
        <v>210.92</v>
      </c>
      <c r="D557" s="3" t="n">
        <f aca="false">B557*100/B$2</f>
        <v>76.373034080544</v>
      </c>
      <c r="E557" s="3" t="n">
        <f aca="false">C557*100/C$2</f>
        <v>89.6387590310242</v>
      </c>
      <c r="F557" s="0" t="n">
        <v>78.5137787114072</v>
      </c>
      <c r="G557" s="0" t="n">
        <v>92.657441106126</v>
      </c>
      <c r="H557" s="0" t="n">
        <v>94.7896302592435</v>
      </c>
      <c r="I557" s="0" t="n">
        <v>2.13218915311754</v>
      </c>
    </row>
    <row r="558" customFormat="false" ht="13.8" hidden="false" customHeight="false" outlineLevel="0" collapsed="false">
      <c r="A558" s="2" t="n">
        <v>40234</v>
      </c>
      <c r="B558" s="0" t="n">
        <v>1102.93</v>
      </c>
      <c r="C558" s="0" t="n">
        <v>207.56</v>
      </c>
      <c r="D558" s="3" t="n">
        <f aca="false">B558*100/B$2</f>
        <v>76.213411094834</v>
      </c>
      <c r="E558" s="3" t="n">
        <f aca="false">C558*100/C$2</f>
        <v>88.2107947301317</v>
      </c>
      <c r="F558" s="0" t="n">
        <v>79.1674728433622</v>
      </c>
      <c r="G558" s="0" t="n">
        <v>92.8758012336987</v>
      </c>
      <c r="H558" s="0" t="n">
        <v>93.1449213769656</v>
      </c>
      <c r="I558" s="0" t="n">
        <v>0.269120143266846</v>
      </c>
    </row>
    <row r="559" customFormat="false" ht="13.8" hidden="false" customHeight="false" outlineLevel="0" collapsed="false">
      <c r="A559" s="2" t="n">
        <v>40235</v>
      </c>
      <c r="B559" s="0" t="n">
        <v>1104.49</v>
      </c>
      <c r="C559" s="0" t="n">
        <v>208.36</v>
      </c>
      <c r="D559" s="3" t="n">
        <f aca="false">B559*100/B$2</f>
        <v>76.3212084358329</v>
      </c>
      <c r="E559" s="3" t="n">
        <f aca="false">C559*100/C$2</f>
        <v>88.5507862303443</v>
      </c>
      <c r="F559" s="0" t="n">
        <v>79.359573233091</v>
      </c>
      <c r="G559" s="0" t="n">
        <v>92.9399704889474</v>
      </c>
      <c r="H559" s="0" t="n">
        <v>94.0033999150021</v>
      </c>
      <c r="I559" s="0" t="n">
        <v>1.06342942605474</v>
      </c>
    </row>
    <row r="560" customFormat="false" ht="13.8" hidden="false" customHeight="false" outlineLevel="0" collapsed="false">
      <c r="A560" s="2" t="n">
        <v>40238</v>
      </c>
      <c r="B560" s="0" t="n">
        <v>1115.71</v>
      </c>
      <c r="C560" s="0" t="n">
        <v>208.36</v>
      </c>
      <c r="D560" s="3" t="n">
        <f aca="false">B560*100/B$2</f>
        <v>77.0965200807098</v>
      </c>
      <c r="E560" s="3" t="n">
        <f aca="false">C560*100/C$2</f>
        <v>88.5507862303443</v>
      </c>
      <c r="F560" s="0" t="n">
        <v>78.5006495480804</v>
      </c>
      <c r="G560" s="0" t="n">
        <v>92.6530554376018</v>
      </c>
      <c r="H560" s="0" t="n">
        <v>94.8618784530387</v>
      </c>
      <c r="I560" s="0" t="n">
        <v>2.20882301543689</v>
      </c>
    </row>
    <row r="561" customFormat="false" ht="13.8" hidden="false" customHeight="false" outlineLevel="0" collapsed="false">
      <c r="A561" s="2" t="n">
        <v>40239</v>
      </c>
      <c r="B561" s="0" t="n">
        <v>1118.31</v>
      </c>
      <c r="C561" s="0" t="n">
        <v>211.44</v>
      </c>
      <c r="D561" s="3" t="n">
        <f aca="false">B561*100/B$2</f>
        <v>77.276182315708</v>
      </c>
      <c r="E561" s="3" t="n">
        <f aca="false">C561*100/C$2</f>
        <v>89.8597535061623</v>
      </c>
      <c r="F561" s="0" t="n">
        <v>78.5006495480804</v>
      </c>
      <c r="G561" s="0" t="n">
        <v>92.6530554376018</v>
      </c>
      <c r="H561" s="0" t="n">
        <v>95.3591160220994</v>
      </c>
      <c r="I561" s="0" t="n">
        <v>2.70606058449766</v>
      </c>
    </row>
    <row r="562" customFormat="false" ht="13.8" hidden="false" customHeight="false" outlineLevel="0" collapsed="false">
      <c r="A562" s="2" t="n">
        <v>40240</v>
      </c>
      <c r="B562" s="0" t="n">
        <v>1118.79</v>
      </c>
      <c r="C562" s="0" t="n">
        <v>212.36</v>
      </c>
      <c r="D562" s="3" t="n">
        <f aca="false">B562*100/B$2</f>
        <v>77.3093507283231</v>
      </c>
      <c r="E562" s="3" t="n">
        <f aca="false">C562*100/C$2</f>
        <v>90.2507437314067</v>
      </c>
      <c r="F562" s="0" t="n">
        <v>79.481881754609</v>
      </c>
      <c r="G562" s="0" t="n">
        <v>92.9808264536201</v>
      </c>
      <c r="H562" s="0" t="n">
        <v>95.252868678283</v>
      </c>
      <c r="I562" s="0" t="n">
        <v>2.27204222466297</v>
      </c>
    </row>
    <row r="563" customFormat="false" ht="13.8" hidden="false" customHeight="false" outlineLevel="0" collapsed="false">
      <c r="A563" s="2" t="n">
        <v>40241</v>
      </c>
      <c r="B563" s="0" t="n">
        <v>1122.97</v>
      </c>
      <c r="C563" s="0" t="n">
        <v>211.91</v>
      </c>
      <c r="D563" s="3" t="n">
        <f aca="false">B563*100/B$2</f>
        <v>77.5981923215125</v>
      </c>
      <c r="E563" s="3" t="n">
        <f aca="false">C563*100/C$2</f>
        <v>90.0594985125372</v>
      </c>
      <c r="F563" s="0" t="n">
        <v>78.6395422759059</v>
      </c>
      <c r="G563" s="0" t="n">
        <v>92.6994511940945</v>
      </c>
      <c r="H563" s="0" t="n">
        <v>95.550361240969</v>
      </c>
      <c r="I563" s="0" t="n">
        <v>2.85091004687446</v>
      </c>
    </row>
    <row r="564" customFormat="false" ht="13.8" hidden="false" customHeight="false" outlineLevel="0" collapsed="false">
      <c r="A564" s="2" t="n">
        <v>40242</v>
      </c>
      <c r="B564" s="0" t="n">
        <v>1138.69</v>
      </c>
      <c r="C564" s="0" t="n">
        <v>214.05</v>
      </c>
      <c r="D564" s="3" t="n">
        <f aca="false">B564*100/B$2</f>
        <v>78.6844578346555</v>
      </c>
      <c r="E564" s="3" t="n">
        <f aca="false">C564*100/C$2</f>
        <v>90.9689757756056</v>
      </c>
      <c r="F564" s="0" t="n">
        <v>77.1497277426131</v>
      </c>
      <c r="G564" s="0" t="n">
        <v>92.2017932289287</v>
      </c>
      <c r="H564" s="0" t="n">
        <v>96.1155971100722</v>
      </c>
      <c r="I564" s="0" t="n">
        <v>3.91380388114354</v>
      </c>
    </row>
    <row r="565" customFormat="false" ht="13.8" hidden="false" customHeight="false" outlineLevel="0" collapsed="false">
      <c r="A565" s="2" t="n">
        <v>40245</v>
      </c>
      <c r="B565" s="0" t="n">
        <v>1138.5</v>
      </c>
      <c r="C565" s="0" t="n">
        <v>217.73</v>
      </c>
      <c r="D565" s="3" t="n">
        <f aca="false">B565*100/B$2</f>
        <v>78.6713286713287</v>
      </c>
      <c r="E565" s="3" t="n">
        <f aca="false">C565*100/C$2</f>
        <v>92.5329366765831</v>
      </c>
      <c r="F565" s="0" t="n">
        <v>75.4415544929379</v>
      </c>
      <c r="G565" s="0" t="n">
        <v>91.6311946714659</v>
      </c>
      <c r="H565" s="0" t="n">
        <v>93.7866553336167</v>
      </c>
      <c r="I565" s="0" t="n">
        <v>2.15546066215077</v>
      </c>
    </row>
    <row r="566" customFormat="false" ht="13.8" hidden="false" customHeight="false" outlineLevel="0" collapsed="false">
      <c r="A566" s="2" t="n">
        <v>40246</v>
      </c>
      <c r="B566" s="0" t="n">
        <v>1140.44</v>
      </c>
      <c r="C566" s="0" t="n">
        <v>217.82</v>
      </c>
      <c r="D566" s="3" t="n">
        <f aca="false">B566*100/B$2</f>
        <v>78.8053843389812</v>
      </c>
      <c r="E566" s="3" t="n">
        <f aca="false">C566*100/C$2</f>
        <v>92.571185720357</v>
      </c>
      <c r="F566" s="0" t="n">
        <v>75.7884408082037</v>
      </c>
      <c r="G566" s="0" t="n">
        <v>91.7470686503681</v>
      </c>
      <c r="H566" s="0" t="n">
        <v>93.2129196770081</v>
      </c>
      <c r="I566" s="0" t="n">
        <v>1.46585102663995</v>
      </c>
    </row>
    <row r="567" customFormat="false" ht="13.8" hidden="false" customHeight="false" outlineLevel="0" collapsed="false">
      <c r="A567" s="2" t="n">
        <v>40247</v>
      </c>
      <c r="B567" s="0" t="n">
        <v>1145.61</v>
      </c>
      <c r="C567" s="0" t="n">
        <v>217.82</v>
      </c>
      <c r="D567" s="3" t="n">
        <f aca="false">B567*100/B$2</f>
        <v>79.1626357831891</v>
      </c>
      <c r="E567" s="3" t="n">
        <f aca="false">C567*100/C$2</f>
        <v>92.571185720357</v>
      </c>
      <c r="F567" s="0" t="n">
        <v>75.4698858453799</v>
      </c>
      <c r="G567" s="0" t="n">
        <v>91.6406584824918</v>
      </c>
      <c r="H567" s="0" t="n">
        <v>91.3259668508287</v>
      </c>
      <c r="I567" s="0" t="n">
        <v>-0.314691631663038</v>
      </c>
    </row>
    <row r="568" customFormat="false" ht="13.8" hidden="false" customHeight="false" outlineLevel="0" collapsed="false">
      <c r="A568" s="2" t="n">
        <v>40248</v>
      </c>
      <c r="B568" s="0" t="n">
        <v>1150.24</v>
      </c>
      <c r="C568" s="0" t="n">
        <v>216.76</v>
      </c>
      <c r="D568" s="3" t="n">
        <f aca="false">B568*100/B$2</f>
        <v>79.4825727632052</v>
      </c>
      <c r="E568" s="3" t="n">
        <f aca="false">C568*100/C$2</f>
        <v>92.1206969825754</v>
      </c>
      <c r="F568" s="0" t="n">
        <v>75.8381934271262</v>
      </c>
      <c r="G568" s="0" t="n">
        <v>91.7636880258282</v>
      </c>
      <c r="H568" s="0" t="n">
        <v>90.531236719082</v>
      </c>
      <c r="I568" s="0" t="n">
        <v>-1.23245130674619</v>
      </c>
    </row>
    <row r="569" customFormat="false" ht="13.8" hidden="false" customHeight="false" outlineLevel="0" collapsed="false">
      <c r="A569" s="2" t="n">
        <v>40249</v>
      </c>
      <c r="B569" s="0" t="n">
        <v>1149.99</v>
      </c>
      <c r="C569" s="0" t="n">
        <v>217.35</v>
      </c>
      <c r="D569" s="3" t="n">
        <f aca="false">B569*100/B$2</f>
        <v>79.4652975483015</v>
      </c>
      <c r="E569" s="3" t="n">
        <f aca="false">C569*100/C$2</f>
        <v>92.3714407139821</v>
      </c>
      <c r="F569" s="0" t="n">
        <v>74.9419552779237</v>
      </c>
      <c r="G569" s="0" t="n">
        <v>91.4643084428876</v>
      </c>
      <c r="H569" s="0" t="n">
        <v>91.6574585635359</v>
      </c>
      <c r="I569" s="0" t="n">
        <v>0.193150120648355</v>
      </c>
    </row>
    <row r="570" customFormat="false" ht="13.8" hidden="false" customHeight="false" outlineLevel="0" collapsed="false">
      <c r="A570" s="2" t="n">
        <v>40252</v>
      </c>
      <c r="B570" s="0" t="n">
        <v>1150.51</v>
      </c>
      <c r="C570" s="0" t="n">
        <v>215.49</v>
      </c>
      <c r="D570" s="3" t="n">
        <f aca="false">B570*100/B$2</f>
        <v>79.5012299953011</v>
      </c>
      <c r="E570" s="3" t="n">
        <f aca="false">C570*100/C$2</f>
        <v>91.5809604759881</v>
      </c>
      <c r="F570" s="0" t="n">
        <v>74.205340114431</v>
      </c>
      <c r="G570" s="0" t="n">
        <v>91.2182493562147</v>
      </c>
      <c r="H570" s="0" t="n">
        <v>89.3922651933702</v>
      </c>
      <c r="I570" s="0" t="n">
        <v>-1.82598416284449</v>
      </c>
    </row>
    <row r="571" customFormat="false" ht="13.8" hidden="false" customHeight="false" outlineLevel="0" collapsed="false">
      <c r="A571" s="2" t="n">
        <v>40253</v>
      </c>
      <c r="B571" s="0" t="n">
        <v>1159.46</v>
      </c>
      <c r="C571" s="0" t="n">
        <v>215.25</v>
      </c>
      <c r="D571" s="3" t="n">
        <f aca="false">B571*100/B$2</f>
        <v>80.1196826888527</v>
      </c>
      <c r="E571" s="3" t="n">
        <f aca="false">C571*100/C$2</f>
        <v>91.4789630259243</v>
      </c>
      <c r="F571" s="0" t="n">
        <v>75.263274275132</v>
      </c>
      <c r="G571" s="0" t="n">
        <v>91.5716419094006</v>
      </c>
      <c r="H571" s="0" t="n">
        <v>89.5707607309817</v>
      </c>
      <c r="I571" s="0" t="n">
        <v>-2.00088117841887</v>
      </c>
    </row>
    <row r="572" customFormat="false" ht="13.8" hidden="false" customHeight="false" outlineLevel="0" collapsed="false">
      <c r="A572" s="2" t="n">
        <v>40254</v>
      </c>
      <c r="B572" s="0" t="n">
        <v>1166.21</v>
      </c>
      <c r="C572" s="0" t="n">
        <v>220.28</v>
      </c>
      <c r="D572" s="3" t="n">
        <f aca="false">B572*100/B$2</f>
        <v>80.5861134912518</v>
      </c>
      <c r="E572" s="3" t="n">
        <f aca="false">C572*100/C$2</f>
        <v>93.6166595835104</v>
      </c>
      <c r="F572" s="0" t="n">
        <v>76.2396694214876</v>
      </c>
      <c r="G572" s="0" t="n">
        <v>91.8977971528047</v>
      </c>
      <c r="H572" s="0" t="n">
        <v>88.937526561836</v>
      </c>
      <c r="I572" s="0" t="n">
        <v>-2.96027059096875</v>
      </c>
    </row>
    <row r="573" customFormat="false" ht="13.8" hidden="false" customHeight="false" outlineLevel="0" collapsed="false">
      <c r="A573" s="2" t="n">
        <v>40255</v>
      </c>
      <c r="B573" s="0" t="n">
        <v>1165.82</v>
      </c>
      <c r="C573" s="0" t="n">
        <v>219.02</v>
      </c>
      <c r="D573" s="3" t="n">
        <f aca="false">B573*100/B$2</f>
        <v>80.5591641560021</v>
      </c>
      <c r="E573" s="3" t="n">
        <f aca="false">C573*100/C$2</f>
        <v>93.0811729706757</v>
      </c>
      <c r="F573" s="0" t="n">
        <v>75.822991238011</v>
      </c>
      <c r="G573" s="0" t="n">
        <v>91.7586098833265</v>
      </c>
      <c r="H573" s="0" t="n">
        <v>90.0382490437739</v>
      </c>
      <c r="I573" s="0" t="n">
        <v>-1.72036083955261</v>
      </c>
    </row>
    <row r="574" customFormat="false" ht="13.8" hidden="false" customHeight="false" outlineLevel="0" collapsed="false">
      <c r="A574" s="2" t="n">
        <v>40256</v>
      </c>
      <c r="B574" s="0" t="n">
        <v>1159.9</v>
      </c>
      <c r="C574" s="0" t="n">
        <v>220.48</v>
      </c>
      <c r="D574" s="3" t="n">
        <f aca="false">B574*100/B$2</f>
        <v>80.1500870670831</v>
      </c>
      <c r="E574" s="3" t="n">
        <f aca="false">C574*100/C$2</f>
        <v>93.7016574585635</v>
      </c>
      <c r="F574" s="0" t="n">
        <v>73.4618148649769</v>
      </c>
      <c r="G574" s="0" t="n">
        <v>90.9698820229501</v>
      </c>
      <c r="H574" s="0" t="n">
        <v>89.9787505312367</v>
      </c>
      <c r="I574" s="0" t="n">
        <v>-0.991131491713375</v>
      </c>
    </row>
    <row r="575" customFormat="false" ht="13.8" hidden="false" customHeight="false" outlineLevel="0" collapsed="false">
      <c r="A575" s="2" t="n">
        <v>40259</v>
      </c>
      <c r="B575" s="0" t="n">
        <v>1165.81</v>
      </c>
      <c r="C575" s="0" t="n">
        <v>218.52</v>
      </c>
      <c r="D575" s="3" t="n">
        <f aca="false">B575*100/B$2</f>
        <v>80.5584731474059</v>
      </c>
      <c r="E575" s="3" t="n">
        <f aca="false">C575*100/C$2</f>
        <v>92.8686782830429</v>
      </c>
      <c r="F575" s="0" t="n">
        <v>73.673954503994</v>
      </c>
      <c r="G575" s="0" t="n">
        <v>91.0407451933146</v>
      </c>
      <c r="H575" s="0" t="n">
        <v>87.1483212919677</v>
      </c>
      <c r="I575" s="0" t="n">
        <v>-3.89242390134693</v>
      </c>
    </row>
    <row r="576" customFormat="false" ht="13.8" hidden="false" customHeight="false" outlineLevel="0" collapsed="false">
      <c r="A576" s="2" t="n">
        <v>40260</v>
      </c>
      <c r="B576" s="0" t="n">
        <v>1174.17</v>
      </c>
      <c r="C576" s="0" t="n">
        <v>220.09</v>
      </c>
      <c r="D576" s="3" t="n">
        <f aca="false">B576*100/B$2</f>
        <v>81.1361563337848</v>
      </c>
      <c r="E576" s="3" t="n">
        <f aca="false">C576*100/C$2</f>
        <v>93.5359116022099</v>
      </c>
      <c r="F576" s="0" t="n">
        <v>73.0216423892313</v>
      </c>
      <c r="G576" s="0" t="n">
        <v>90.8228467150602</v>
      </c>
      <c r="H576" s="0" t="n">
        <v>86.4300892477688</v>
      </c>
      <c r="I576" s="0" t="n">
        <v>-4.39275746729139</v>
      </c>
    </row>
    <row r="577" customFormat="false" ht="13.8" hidden="false" customHeight="false" outlineLevel="0" collapsed="false">
      <c r="A577" s="2" t="n">
        <v>40261</v>
      </c>
      <c r="B577" s="0" t="n">
        <v>1167.72</v>
      </c>
      <c r="C577" s="0" t="n">
        <v>220.09</v>
      </c>
      <c r="D577" s="3" t="n">
        <f aca="false">B577*100/B$2</f>
        <v>80.69045578927</v>
      </c>
      <c r="E577" s="3" t="n">
        <f aca="false">C577*100/C$2</f>
        <v>93.5359116022099</v>
      </c>
      <c r="F577" s="0" t="n">
        <v>73.9738522347218</v>
      </c>
      <c r="G577" s="0" t="n">
        <v>91.1409230953935</v>
      </c>
      <c r="H577" s="0" t="n">
        <v>87.55206119847</v>
      </c>
      <c r="I577" s="0" t="n">
        <v>-3.58886189692342</v>
      </c>
    </row>
    <row r="578" customFormat="false" ht="13.8" hidden="false" customHeight="false" outlineLevel="0" collapsed="false">
      <c r="A578" s="2" t="n">
        <v>40262</v>
      </c>
      <c r="B578" s="0" t="n">
        <v>1165.73</v>
      </c>
      <c r="C578" s="0" t="n">
        <v>221.07</v>
      </c>
      <c r="D578" s="3" t="n">
        <f aca="false">B578*100/B$2</f>
        <v>80.5529450786368</v>
      </c>
      <c r="E578" s="3" t="n">
        <f aca="false">C578*100/C$2</f>
        <v>93.9524011899703</v>
      </c>
      <c r="F578" s="0" t="n">
        <v>73.8087011802427</v>
      </c>
      <c r="G578" s="0" t="n">
        <v>91.0857560018524</v>
      </c>
      <c r="H578" s="0" t="n">
        <v>87.5223119422014</v>
      </c>
      <c r="I578" s="0" t="n">
        <v>-3.56344405965091</v>
      </c>
    </row>
    <row r="579" customFormat="false" ht="13.8" hidden="false" customHeight="false" outlineLevel="0" collapsed="false">
      <c r="A579" s="2" t="n">
        <v>40263</v>
      </c>
      <c r="B579" s="0" t="n">
        <v>1166.59</v>
      </c>
      <c r="C579" s="0" t="n">
        <v>222.25</v>
      </c>
      <c r="D579" s="3" t="n">
        <f aca="false">B579*100/B$2</f>
        <v>80.6123718179054</v>
      </c>
      <c r="E579" s="3" t="n">
        <f aca="false">C579*100/C$2</f>
        <v>94.4538886527837</v>
      </c>
      <c r="F579" s="0" t="n">
        <v>74.5232040686586</v>
      </c>
      <c r="G579" s="0" t="n">
        <v>91.3244286994319</v>
      </c>
      <c r="H579" s="0" t="n">
        <v>89.1330216744581</v>
      </c>
      <c r="I579" s="0" t="n">
        <v>-2.19140702497373</v>
      </c>
    </row>
    <row r="580" customFormat="false" ht="13.8" hidden="false" customHeight="false" outlineLevel="0" collapsed="false">
      <c r="A580" s="2" t="n">
        <v>40266</v>
      </c>
      <c r="B580" s="0" t="n">
        <v>1173.22</v>
      </c>
      <c r="C580" s="0" t="n">
        <v>221.6</v>
      </c>
      <c r="D580" s="3" t="n">
        <f aca="false">B580*100/B$2</f>
        <v>81.0705105171508</v>
      </c>
      <c r="E580" s="3" t="n">
        <f aca="false">C580*100/C$2</f>
        <v>94.177645558861</v>
      </c>
      <c r="F580" s="0" t="n">
        <v>74.3186655241991</v>
      </c>
      <c r="G580" s="0" t="n">
        <v>91.2561046003182</v>
      </c>
      <c r="H580" s="0" t="n">
        <v>88.7122821929452</v>
      </c>
      <c r="I580" s="0" t="n">
        <v>-2.54382240737301</v>
      </c>
    </row>
    <row r="581" customFormat="false" ht="13.8" hidden="false" customHeight="false" outlineLevel="0" collapsed="false">
      <c r="A581" s="2" t="n">
        <v>40267</v>
      </c>
      <c r="B581" s="0" t="n">
        <v>1173.27</v>
      </c>
      <c r="C581" s="0" t="n">
        <v>222.48</v>
      </c>
      <c r="D581" s="3" t="n">
        <f aca="false">B581*100/B$2</f>
        <v>81.0739655601316</v>
      </c>
      <c r="E581" s="3" t="n">
        <f aca="false">C581*100/C$2</f>
        <v>94.5516362090948</v>
      </c>
      <c r="F581" s="0" t="n">
        <v>75.6564581663396</v>
      </c>
      <c r="G581" s="0" t="n">
        <v>91.7029811404671</v>
      </c>
      <c r="H581" s="0" t="n">
        <v>89.1330216744581</v>
      </c>
      <c r="I581" s="0" t="n">
        <v>-2.56995946600894</v>
      </c>
    </row>
    <row r="582" customFormat="false" ht="13.8" hidden="false" customHeight="false" outlineLevel="0" collapsed="false">
      <c r="A582" s="2" t="n">
        <v>40268</v>
      </c>
      <c r="B582" s="0" t="n">
        <v>1169.43</v>
      </c>
      <c r="C582" s="0" t="n">
        <v>221.58</v>
      </c>
      <c r="D582" s="3" t="n">
        <f aca="false">B582*100/B$2</f>
        <v>80.8086182592112</v>
      </c>
      <c r="E582" s="3" t="n">
        <f aca="false">C582*100/C$2</f>
        <v>94.1691457713557</v>
      </c>
      <c r="F582" s="0" t="n">
        <v>75.9770861549518</v>
      </c>
      <c r="G582" s="0" t="n">
        <v>91.8100837823209</v>
      </c>
      <c r="H582" s="0" t="n">
        <v>90.7097322566936</v>
      </c>
      <c r="I582" s="0" t="n">
        <v>-1.10035152562735</v>
      </c>
    </row>
    <row r="583" customFormat="false" ht="13.8" hidden="false" customHeight="false" outlineLevel="0" collapsed="false">
      <c r="A583" s="2" t="n">
        <v>40269</v>
      </c>
      <c r="B583" s="0" t="n">
        <v>1178.1</v>
      </c>
      <c r="C583" s="0" t="n">
        <v>225.47</v>
      </c>
      <c r="D583" s="3" t="n">
        <f aca="false">B583*100/B$2</f>
        <v>81.4077227120705</v>
      </c>
      <c r="E583" s="3" t="n">
        <f aca="false">C583*100/C$2</f>
        <v>95.822354441139</v>
      </c>
      <c r="F583" s="0" t="n">
        <v>76.4773763785621</v>
      </c>
      <c r="G583" s="0" t="n">
        <v>91.9772008355584</v>
      </c>
      <c r="H583" s="0" t="n">
        <v>90.3314917127072</v>
      </c>
      <c r="I583" s="0" t="n">
        <v>-1.64570912285124</v>
      </c>
    </row>
    <row r="584" customFormat="false" ht="13.8" hidden="false" customHeight="false" outlineLevel="0" collapsed="false">
      <c r="A584" s="2" t="n">
        <v>40270</v>
      </c>
      <c r="B584" s="0" t="n">
        <v>1178.1</v>
      </c>
      <c r="C584" s="0" t="n">
        <v>226.69</v>
      </c>
      <c r="D584" s="3" t="n">
        <f aca="false">B584*100/B$2</f>
        <v>81.4077227120705</v>
      </c>
      <c r="E584" s="3" t="n">
        <f aca="false">C584*100/C$2</f>
        <v>96.340841478963</v>
      </c>
      <c r="F584" s="0" t="n">
        <v>76.6446004588297</v>
      </c>
      <c r="G584" s="0" t="n">
        <v>92.0330604030771</v>
      </c>
      <c r="H584" s="0" t="n">
        <v>88.6952826179346</v>
      </c>
      <c r="I584" s="0" t="n">
        <v>-3.33777778514249</v>
      </c>
    </row>
    <row r="585" customFormat="false" ht="13.8" hidden="false" customHeight="false" outlineLevel="0" collapsed="false">
      <c r="A585" s="2" t="n">
        <v>40273</v>
      </c>
      <c r="B585" s="0" t="n">
        <v>1187.43</v>
      </c>
      <c r="C585" s="0" t="n">
        <v>227.48</v>
      </c>
      <c r="D585" s="3" t="n">
        <f aca="false">B585*100/B$2</f>
        <v>82.0524337322756</v>
      </c>
      <c r="E585" s="3" t="n">
        <f aca="false">C585*100/C$2</f>
        <v>96.6765830854229</v>
      </c>
      <c r="F585" s="0" t="n">
        <v>76.5644434616767</v>
      </c>
      <c r="G585" s="0" t="n">
        <v>92.0062847426136</v>
      </c>
      <c r="H585" s="0" t="n">
        <v>90.6417339566511</v>
      </c>
      <c r="I585" s="0" t="n">
        <v>-1.36455078596249</v>
      </c>
    </row>
    <row r="586" customFormat="false" ht="13.8" hidden="false" customHeight="false" outlineLevel="0" collapsed="false">
      <c r="A586" s="2" t="n">
        <v>40274</v>
      </c>
      <c r="B586" s="0" t="n">
        <v>1189.43</v>
      </c>
      <c r="C586" s="0" t="n">
        <v>227.51</v>
      </c>
      <c r="D586" s="3" t="n">
        <f aca="false">B586*100/B$2</f>
        <v>82.190635451505</v>
      </c>
      <c r="E586" s="3" t="n">
        <f aca="false">C586*100/C$2</f>
        <v>96.6893327666808</v>
      </c>
      <c r="F586" s="0" t="n">
        <v>75.6378009342436</v>
      </c>
      <c r="G586" s="0" t="n">
        <v>91.6967488746695</v>
      </c>
      <c r="H586" s="0" t="n">
        <v>90.7139821504462</v>
      </c>
      <c r="I586" s="0" t="n">
        <v>-0.98276672422331</v>
      </c>
    </row>
    <row r="587" customFormat="false" ht="13.8" hidden="false" customHeight="false" outlineLevel="0" collapsed="false">
      <c r="A587" s="2" t="n">
        <v>40275</v>
      </c>
      <c r="B587" s="0" t="n">
        <v>1182.44</v>
      </c>
      <c r="C587" s="0" t="n">
        <v>227.31</v>
      </c>
      <c r="D587" s="3" t="n">
        <f aca="false">B587*100/B$2</f>
        <v>81.7076204427983</v>
      </c>
      <c r="E587" s="3" t="n">
        <f aca="false">C587*100/C$2</f>
        <v>96.6043348916277</v>
      </c>
      <c r="F587" s="0" t="n">
        <v>76.373034080544</v>
      </c>
      <c r="G587" s="0" t="n">
        <v>91.9423463120241</v>
      </c>
      <c r="H587" s="0" t="n">
        <v>89.6387590310242</v>
      </c>
      <c r="I587" s="0" t="n">
        <v>-2.30358728099986</v>
      </c>
    </row>
    <row r="588" customFormat="false" ht="13.8" hidden="false" customHeight="false" outlineLevel="0" collapsed="false">
      <c r="A588" s="2" t="n">
        <v>40276</v>
      </c>
      <c r="B588" s="0" t="n">
        <v>1186.43</v>
      </c>
      <c r="C588" s="0" t="n">
        <v>228.27</v>
      </c>
      <c r="D588" s="3" t="n">
        <f aca="false">B588*100/B$2</f>
        <v>81.9833328726609</v>
      </c>
      <c r="E588" s="3" t="n">
        <f aca="false">C588*100/C$2</f>
        <v>97.0123246918827</v>
      </c>
      <c r="F588" s="0" t="n">
        <v>76.213411094834</v>
      </c>
      <c r="G588" s="0" t="n">
        <v>91.8890258157563</v>
      </c>
      <c r="H588" s="0" t="n">
        <v>88.2107947301317</v>
      </c>
      <c r="I588" s="0" t="n">
        <v>-3.67823108562459</v>
      </c>
    </row>
    <row r="589" customFormat="false" ht="13.8" hidden="false" customHeight="false" outlineLevel="0" collapsed="false">
      <c r="A589" s="2" t="n">
        <v>40277</v>
      </c>
      <c r="B589" s="0" t="n">
        <v>1194.37</v>
      </c>
      <c r="C589" s="0" t="n">
        <v>226.81</v>
      </c>
      <c r="D589" s="3" t="n">
        <f aca="false">B589*100/B$2</f>
        <v>82.5319936980016</v>
      </c>
      <c r="E589" s="3" t="n">
        <f aca="false">C589*100/C$2</f>
        <v>96.3918402039949</v>
      </c>
      <c r="F589" s="0" t="n">
        <v>76.3212084358329</v>
      </c>
      <c r="G589" s="0" t="n">
        <v>91.9250344625865</v>
      </c>
      <c r="H589" s="0" t="n">
        <v>88.5507862303443</v>
      </c>
      <c r="I589" s="0" t="n">
        <v>-3.37424823224227</v>
      </c>
    </row>
    <row r="590" customFormat="false" ht="13.8" hidden="false" customHeight="false" outlineLevel="0" collapsed="false">
      <c r="A590" s="2" t="n">
        <v>40280</v>
      </c>
      <c r="B590" s="0" t="n">
        <v>1196.48</v>
      </c>
      <c r="C590" s="0" t="n">
        <v>224.59</v>
      </c>
      <c r="D590" s="3" t="n">
        <f aca="false">B590*100/B$2</f>
        <v>82.6777965117886</v>
      </c>
      <c r="E590" s="3" t="n">
        <f aca="false">C590*100/C$2</f>
        <v>95.4483637909052</v>
      </c>
      <c r="F590" s="0" t="n">
        <v>77.0965200807098</v>
      </c>
      <c r="G590" s="0" t="n">
        <v>92.1840197301728</v>
      </c>
      <c r="H590" s="0" t="n">
        <v>88.5507862303443</v>
      </c>
      <c r="I590" s="0" t="n">
        <v>-3.63323349982855</v>
      </c>
    </row>
    <row r="591" customFormat="false" ht="13.8" hidden="false" customHeight="false" outlineLevel="0" collapsed="false">
      <c r="A591" s="2" t="n">
        <v>40281</v>
      </c>
      <c r="B591" s="0" t="n">
        <v>1197.3</v>
      </c>
      <c r="C591" s="0" t="n">
        <v>224.69</v>
      </c>
      <c r="D591" s="3" t="n">
        <f aca="false">B591*100/B$2</f>
        <v>82.7344592166726</v>
      </c>
      <c r="E591" s="3" t="n">
        <f aca="false">C591*100/C$2</f>
        <v>95.4908627284318</v>
      </c>
      <c r="F591" s="0" t="n">
        <v>77.276182315708</v>
      </c>
      <c r="G591" s="0" t="n">
        <v>92.2440341415564</v>
      </c>
      <c r="H591" s="0" t="n">
        <v>89.8597535061623</v>
      </c>
      <c r="I591" s="0" t="n">
        <v>-2.38428063539409</v>
      </c>
    </row>
    <row r="592" customFormat="false" ht="13.8" hidden="false" customHeight="false" outlineLevel="0" collapsed="false">
      <c r="A592" s="2" t="n">
        <v>40282</v>
      </c>
      <c r="B592" s="0" t="n">
        <v>1210.65</v>
      </c>
      <c r="C592" s="0" t="n">
        <v>228.08</v>
      </c>
      <c r="D592" s="3" t="n">
        <f aca="false">B592*100/B$2</f>
        <v>83.6569556925288</v>
      </c>
      <c r="E592" s="3" t="n">
        <f aca="false">C592*100/C$2</f>
        <v>96.9315767105822</v>
      </c>
      <c r="F592" s="0" t="n">
        <v>77.3093507283231</v>
      </c>
      <c r="G592" s="0" t="n">
        <v>92.2551137251965</v>
      </c>
      <c r="H592" s="0" t="n">
        <v>90.2507437314067</v>
      </c>
      <c r="I592" s="0" t="n">
        <v>-2.00436999378977</v>
      </c>
    </row>
    <row r="593" customFormat="false" ht="13.8" hidden="false" customHeight="false" outlineLevel="0" collapsed="false">
      <c r="A593" s="2" t="n">
        <v>40283</v>
      </c>
      <c r="B593" s="0" t="n">
        <v>1211.67</v>
      </c>
      <c r="C593" s="0" t="n">
        <v>229.17</v>
      </c>
      <c r="D593" s="3" t="n">
        <f aca="false">B593*100/B$2</f>
        <v>83.7274385693358</v>
      </c>
      <c r="E593" s="3" t="n">
        <f aca="false">C593*100/C$2</f>
        <v>97.3948151296218</v>
      </c>
      <c r="F593" s="0" t="n">
        <v>77.5981923215125</v>
      </c>
      <c r="G593" s="0" t="n">
        <v>92.3515984327286</v>
      </c>
      <c r="H593" s="0" t="n">
        <v>90.0594985125372</v>
      </c>
      <c r="I593" s="0" t="n">
        <v>-2.29209992019143</v>
      </c>
    </row>
    <row r="594" customFormat="false" ht="13.8" hidden="false" customHeight="false" outlineLevel="0" collapsed="false">
      <c r="A594" s="2" t="n">
        <v>40284</v>
      </c>
      <c r="B594" s="0" t="n">
        <v>1192.13</v>
      </c>
      <c r="C594" s="0" t="n">
        <v>227.69</v>
      </c>
      <c r="D594" s="3" t="n">
        <f aca="false">B594*100/B$2</f>
        <v>82.3772077724647</v>
      </c>
      <c r="E594" s="3" t="n">
        <f aca="false">C594*100/C$2</f>
        <v>96.7658308542286</v>
      </c>
      <c r="F594" s="0" t="n">
        <v>78.6844578346555</v>
      </c>
      <c r="G594" s="0" t="n">
        <v>92.7144547969404</v>
      </c>
      <c r="H594" s="0" t="n">
        <v>90.9689757756056</v>
      </c>
      <c r="I594" s="0" t="n">
        <v>-1.74547902133483</v>
      </c>
    </row>
    <row r="595" customFormat="false" ht="13.8" hidden="false" customHeight="false" outlineLevel="0" collapsed="false">
      <c r="A595" s="2" t="n">
        <v>40287</v>
      </c>
      <c r="B595" s="0" t="n">
        <v>1197.52</v>
      </c>
      <c r="C595" s="0" t="n">
        <v>223.65</v>
      </c>
      <c r="D595" s="3" t="n">
        <f aca="false">B595*100/B$2</f>
        <v>82.7496614057879</v>
      </c>
      <c r="E595" s="3" t="n">
        <f aca="false">C595*100/C$2</f>
        <v>95.0488737781555</v>
      </c>
      <c r="F595" s="0" t="n">
        <v>78.6713286713287</v>
      </c>
      <c r="G595" s="0" t="n">
        <v>92.7100691284162</v>
      </c>
      <c r="H595" s="0" t="n">
        <v>92.5329366765831</v>
      </c>
      <c r="I595" s="0" t="n">
        <v>-0.17713245183316</v>
      </c>
    </row>
    <row r="596" customFormat="false" ht="13.8" hidden="false" customHeight="false" outlineLevel="0" collapsed="false">
      <c r="A596" s="2" t="n">
        <v>40288</v>
      </c>
      <c r="B596" s="0" t="n">
        <v>1207.17</v>
      </c>
      <c r="C596" s="0" t="n">
        <v>225.13</v>
      </c>
      <c r="D596" s="3" t="n">
        <f aca="false">B596*100/B$2</f>
        <v>83.4164847010697</v>
      </c>
      <c r="E596" s="3" t="n">
        <f aca="false">C596*100/C$2</f>
        <v>95.6778580535487</v>
      </c>
      <c r="F596" s="0" t="n">
        <v>78.8053843389812</v>
      </c>
      <c r="G596" s="0" t="n">
        <v>92.7548491122948</v>
      </c>
      <c r="H596" s="0" t="n">
        <v>92.571185720357</v>
      </c>
      <c r="I596" s="0" t="n">
        <v>-0.183663391937799</v>
      </c>
    </row>
    <row r="597" customFormat="false" ht="13.8" hidden="false" customHeight="false" outlineLevel="0" collapsed="false">
      <c r="A597" s="2" t="n">
        <v>40289</v>
      </c>
      <c r="B597" s="0" t="n">
        <v>1205.93</v>
      </c>
      <c r="C597" s="0" t="n">
        <v>229.09</v>
      </c>
      <c r="D597" s="3" t="n">
        <f aca="false">B597*100/B$2</f>
        <v>83.3307996351475</v>
      </c>
      <c r="E597" s="3" t="n">
        <f aca="false">C597*100/C$2</f>
        <v>97.3608159796005</v>
      </c>
      <c r="F597" s="0" t="n">
        <v>79.1626357831891</v>
      </c>
      <c r="G597" s="0" t="n">
        <v>92.8741854610846</v>
      </c>
      <c r="H597" s="0" t="n">
        <v>92.571185720357</v>
      </c>
      <c r="I597" s="0" t="n">
        <v>-0.302999740727557</v>
      </c>
    </row>
    <row r="598" customFormat="false" ht="13.8" hidden="false" customHeight="false" outlineLevel="0" collapsed="false">
      <c r="A598" s="2" t="n">
        <v>40290</v>
      </c>
      <c r="B598" s="0" t="n">
        <v>1208.67</v>
      </c>
      <c r="C598" s="0" t="n">
        <v>227.76</v>
      </c>
      <c r="D598" s="3" t="n">
        <f aca="false">B598*100/B$2</f>
        <v>83.5201359904917</v>
      </c>
      <c r="E598" s="3" t="n">
        <f aca="false">C598*100/C$2</f>
        <v>96.7955801104972</v>
      </c>
      <c r="F598" s="0" t="n">
        <v>79.4825727632052</v>
      </c>
      <c r="G598" s="0" t="n">
        <v>92.9810572782793</v>
      </c>
      <c r="H598" s="0" t="n">
        <v>92.1206969825754</v>
      </c>
      <c r="I598" s="0" t="n">
        <v>-0.860360295703828</v>
      </c>
    </row>
    <row r="599" customFormat="false" ht="13.8" hidden="false" customHeight="false" outlineLevel="0" collapsed="false">
      <c r="A599" s="2" t="n">
        <v>40291</v>
      </c>
      <c r="B599" s="0" t="n">
        <v>1217.28</v>
      </c>
      <c r="C599" s="0" t="n">
        <v>227.36</v>
      </c>
      <c r="D599" s="3" t="n">
        <f aca="false">B599*100/B$2</f>
        <v>84.1150943917742</v>
      </c>
      <c r="E599" s="3" t="n">
        <f aca="false">C599*100/C$2</f>
        <v>96.625584360391</v>
      </c>
      <c r="F599" s="0" t="n">
        <v>79.4652975483015</v>
      </c>
      <c r="G599" s="0" t="n">
        <v>92.9752866618001</v>
      </c>
      <c r="H599" s="0" t="n">
        <v>92.3714407139821</v>
      </c>
      <c r="I599" s="0" t="n">
        <v>-0.603845947817916</v>
      </c>
    </row>
    <row r="600" customFormat="false" ht="13.8" hidden="false" customHeight="false" outlineLevel="0" collapsed="false">
      <c r="A600" s="2" t="n">
        <v>40294</v>
      </c>
      <c r="B600" s="0" t="n">
        <v>1212.05</v>
      </c>
      <c r="C600" s="0" t="n">
        <v>229.64</v>
      </c>
      <c r="D600" s="3" t="n">
        <f aca="false">B600*100/B$2</f>
        <v>83.7536968959894</v>
      </c>
      <c r="E600" s="3" t="n">
        <f aca="false">C600*100/C$2</f>
        <v>97.5945601359966</v>
      </c>
      <c r="F600" s="0" t="n">
        <v>79.5012299953011</v>
      </c>
      <c r="G600" s="0" t="n">
        <v>92.9872895440768</v>
      </c>
      <c r="H600" s="0" t="n">
        <v>91.5809604759881</v>
      </c>
      <c r="I600" s="0" t="n">
        <v>-1.40632906808868</v>
      </c>
    </row>
    <row r="601" customFormat="false" ht="13.8" hidden="false" customHeight="false" outlineLevel="0" collapsed="false">
      <c r="A601" s="2" t="n">
        <v>40295</v>
      </c>
      <c r="B601" s="0" t="n">
        <v>1183.71</v>
      </c>
      <c r="C601" s="0" t="n">
        <v>229.28</v>
      </c>
      <c r="D601" s="3" t="n">
        <f aca="false">B601*100/B$2</f>
        <v>81.795378534509</v>
      </c>
      <c r="E601" s="3" t="n">
        <f aca="false">C601*100/C$2</f>
        <v>97.441563960901</v>
      </c>
      <c r="F601" s="0" t="n">
        <v>80.1196826888527</v>
      </c>
      <c r="G601" s="0" t="n">
        <v>93.193877614032</v>
      </c>
      <c r="H601" s="0" t="n">
        <v>91.4789630259243</v>
      </c>
      <c r="I601" s="0" t="n">
        <v>-1.71491458810763</v>
      </c>
    </row>
    <row r="602" customFormat="false" ht="13.8" hidden="false" customHeight="false" outlineLevel="0" collapsed="false">
      <c r="A602" s="2" t="n">
        <v>40296</v>
      </c>
      <c r="B602" s="0" t="n">
        <v>1191.36</v>
      </c>
      <c r="C602" s="0" t="n">
        <v>226.98</v>
      </c>
      <c r="D602" s="3" t="n">
        <f aca="false">B602*100/B$2</f>
        <v>82.3240001105614</v>
      </c>
      <c r="E602" s="3" t="n">
        <f aca="false">C602*100/C$2</f>
        <v>96.46408839779</v>
      </c>
      <c r="F602" s="0" t="n">
        <v>80.5861134912518</v>
      </c>
      <c r="G602" s="0" t="n">
        <v>93.3496842589702</v>
      </c>
      <c r="H602" s="0" t="n">
        <v>93.6166595835104</v>
      </c>
      <c r="I602" s="0" t="n">
        <v>0.266975324540169</v>
      </c>
    </row>
    <row r="603" customFormat="false" ht="13.8" hidden="false" customHeight="false" outlineLevel="0" collapsed="false">
      <c r="A603" s="2" t="n">
        <v>40297</v>
      </c>
      <c r="B603" s="0" t="n">
        <v>1206.78</v>
      </c>
      <c r="C603" s="0" t="n">
        <v>226.11</v>
      </c>
      <c r="D603" s="3" t="n">
        <f aca="false">B603*100/B$2</f>
        <v>83.38953536582</v>
      </c>
      <c r="E603" s="3" t="n">
        <f aca="false">C603*100/C$2</f>
        <v>96.094347641309</v>
      </c>
      <c r="F603" s="0" t="n">
        <v>80.5591641560021</v>
      </c>
      <c r="G603" s="0" t="n">
        <v>93.3406820972627</v>
      </c>
      <c r="H603" s="0" t="n">
        <v>93.0811729706757</v>
      </c>
      <c r="I603" s="0" t="n">
        <v>-0.259509126586977</v>
      </c>
    </row>
    <row r="604" customFormat="false" ht="13.8" hidden="false" customHeight="false" outlineLevel="0" collapsed="false">
      <c r="A604" s="2" t="n">
        <v>40298</v>
      </c>
      <c r="B604" s="0" t="n">
        <v>1186.68</v>
      </c>
      <c r="C604" s="0" t="n">
        <v>227.95</v>
      </c>
      <c r="D604" s="3" t="n">
        <f aca="false">B604*100/B$2</f>
        <v>82.0006080875646</v>
      </c>
      <c r="E604" s="3" t="n">
        <f aca="false">C604*100/C$2</f>
        <v>96.8763280917977</v>
      </c>
      <c r="F604" s="0" t="n">
        <v>80.1500870670831</v>
      </c>
      <c r="G604" s="0" t="n">
        <v>93.2040338990354</v>
      </c>
      <c r="H604" s="0" t="n">
        <v>93.7016574585635</v>
      </c>
      <c r="I604" s="0" t="n">
        <v>0.497623559528179</v>
      </c>
    </row>
    <row r="605" customFormat="false" ht="13.8" hidden="false" customHeight="false" outlineLevel="0" collapsed="false">
      <c r="A605" s="2" t="n">
        <v>40301</v>
      </c>
      <c r="B605" s="0" t="n">
        <v>1202.26</v>
      </c>
      <c r="C605" s="0" t="n">
        <v>225.1</v>
      </c>
      <c r="D605" s="3" t="n">
        <f aca="false">B605*100/B$2</f>
        <v>83.0771994803615</v>
      </c>
      <c r="E605" s="3" t="n">
        <f aca="false">C605*100/C$2</f>
        <v>95.6651083722907</v>
      </c>
      <c r="F605" s="0" t="n">
        <v>80.5584731474059</v>
      </c>
      <c r="G605" s="0" t="n">
        <v>93.3404512726035</v>
      </c>
      <c r="H605" s="0" t="n">
        <v>92.8686782830429</v>
      </c>
      <c r="I605" s="0" t="n">
        <v>-0.471772989560606</v>
      </c>
    </row>
    <row r="606" customFormat="false" ht="13.8" hidden="false" customHeight="false" outlineLevel="0" collapsed="false">
      <c r="A606" s="2" t="n">
        <v>40302</v>
      </c>
      <c r="B606" s="0" t="n">
        <v>1173.6</v>
      </c>
      <c r="C606" s="0" t="n">
        <v>224.76</v>
      </c>
      <c r="D606" s="3" t="n">
        <f aca="false">B606*100/B$2</f>
        <v>81.0967688438044</v>
      </c>
      <c r="E606" s="3" t="n">
        <f aca="false">C606*100/C$2</f>
        <v>95.5206119847004</v>
      </c>
      <c r="F606" s="0" t="n">
        <v>81.1361563337848</v>
      </c>
      <c r="G606" s="0" t="n">
        <v>93.5334206876678</v>
      </c>
      <c r="H606" s="0" t="n">
        <v>93.5359116022099</v>
      </c>
      <c r="I606" s="0" t="n">
        <v>0.00249091454212191</v>
      </c>
    </row>
    <row r="607" customFormat="false" ht="13.8" hidden="false" customHeight="false" outlineLevel="0" collapsed="false">
      <c r="A607" s="2" t="n">
        <v>40303</v>
      </c>
      <c r="B607" s="0" t="n">
        <v>1165.87</v>
      </c>
      <c r="C607" s="0" t="n">
        <v>224.76</v>
      </c>
      <c r="D607" s="3" t="n">
        <f aca="false">B607*100/B$2</f>
        <v>80.5626191989828</v>
      </c>
      <c r="E607" s="3" t="n">
        <f aca="false">C607*100/C$2</f>
        <v>95.5206119847004</v>
      </c>
      <c r="F607" s="0" t="n">
        <v>80.69045578927</v>
      </c>
      <c r="G607" s="0" t="n">
        <v>93.3845387825046</v>
      </c>
      <c r="H607" s="0" t="n">
        <v>93.5359116022099</v>
      </c>
      <c r="I607" s="0" t="n">
        <v>0.151372819705358</v>
      </c>
    </row>
    <row r="608" customFormat="false" ht="13.8" hidden="false" customHeight="false" outlineLevel="0" collapsed="false">
      <c r="A608" s="2" t="n">
        <v>40304</v>
      </c>
      <c r="B608" s="0" t="n">
        <v>1128.15</v>
      </c>
      <c r="C608" s="0" t="n">
        <v>220.21</v>
      </c>
      <c r="D608" s="3" t="n">
        <f aca="false">B608*100/B$2</f>
        <v>77.9561347743166</v>
      </c>
      <c r="E608" s="3" t="n">
        <f aca="false">C608*100/C$2</f>
        <v>93.5869103272418</v>
      </c>
      <c r="F608" s="0" t="n">
        <v>80.5529450786368</v>
      </c>
      <c r="G608" s="0" t="n">
        <v>93.3386046753302</v>
      </c>
      <c r="H608" s="0" t="n">
        <v>93.9524011899703</v>
      </c>
      <c r="I608" s="0" t="n">
        <v>0.613796514640057</v>
      </c>
    </row>
    <row r="609" customFormat="false" ht="13.8" hidden="false" customHeight="false" outlineLevel="0" collapsed="false">
      <c r="A609" s="2" t="n">
        <v>40305</v>
      </c>
      <c r="B609" s="0" t="n">
        <v>1110.88</v>
      </c>
      <c r="C609" s="0" t="n">
        <v>215.09</v>
      </c>
      <c r="D609" s="3" t="n">
        <f aca="false">B609*100/B$2</f>
        <v>76.7627629287708</v>
      </c>
      <c r="E609" s="3" t="n">
        <f aca="false">C609*100/C$2</f>
        <v>91.4109647258819</v>
      </c>
      <c r="F609" s="0" t="n">
        <v>80.6123718179054</v>
      </c>
      <c r="G609" s="0" t="n">
        <v>93.3584555960186</v>
      </c>
      <c r="H609" s="0" t="n">
        <v>94.4538886527837</v>
      </c>
      <c r="I609" s="0" t="n">
        <v>1.09543305676506</v>
      </c>
    </row>
    <row r="610" customFormat="false" ht="13.8" hidden="false" customHeight="false" outlineLevel="0" collapsed="false">
      <c r="A610" s="2" t="n">
        <v>40308</v>
      </c>
      <c r="B610" s="0" t="n">
        <v>1159.73</v>
      </c>
      <c r="C610" s="0" t="n">
        <v>219.1</v>
      </c>
      <c r="D610" s="3" t="n">
        <f aca="false">B610*100/B$2</f>
        <v>80.1383399209486</v>
      </c>
      <c r="E610" s="3" t="n">
        <f aca="false">C610*100/C$2</f>
        <v>93.115172120697</v>
      </c>
      <c r="F610" s="0" t="n">
        <v>81.0705105171508</v>
      </c>
      <c r="G610" s="0" t="n">
        <v>93.5114923450469</v>
      </c>
      <c r="H610" s="0" t="n">
        <v>94.177645558861</v>
      </c>
      <c r="I610" s="0" t="n">
        <v>0.666153213814155</v>
      </c>
    </row>
    <row r="611" customFormat="false" ht="13.8" hidden="false" customHeight="false" outlineLevel="0" collapsed="false">
      <c r="A611" s="2" t="n">
        <v>40309</v>
      </c>
      <c r="B611" s="0" t="n">
        <v>1155.79</v>
      </c>
      <c r="C611" s="0" t="n">
        <v>217.63</v>
      </c>
      <c r="D611" s="3" t="n">
        <f aca="false">B611*100/B$2</f>
        <v>79.8660825340667</v>
      </c>
      <c r="E611" s="3" t="n">
        <f aca="false">C611*100/C$2</f>
        <v>92.4904377390565</v>
      </c>
      <c r="F611" s="0" t="n">
        <v>81.0739655601316</v>
      </c>
      <c r="G611" s="0" t="n">
        <v>93.5126464683427</v>
      </c>
      <c r="H611" s="0" t="n">
        <v>94.5516362090948</v>
      </c>
      <c r="I611" s="0" t="n">
        <v>1.03898974075204</v>
      </c>
    </row>
    <row r="612" customFormat="false" ht="13.8" hidden="false" customHeight="false" outlineLevel="0" collapsed="false">
      <c r="A612" s="2" t="n">
        <v>40310</v>
      </c>
      <c r="B612" s="0" t="n">
        <v>1171.67</v>
      </c>
      <c r="C612" s="0" t="n">
        <v>216.78</v>
      </c>
      <c r="D612" s="3" t="n">
        <f aca="false">B612*100/B$2</f>
        <v>80.9634041847481</v>
      </c>
      <c r="E612" s="3" t="n">
        <f aca="false">C612*100/C$2</f>
        <v>92.1291967700807</v>
      </c>
      <c r="F612" s="0" t="n">
        <v>80.8086182592112</v>
      </c>
      <c r="G612" s="0" t="n">
        <v>93.4240097992223</v>
      </c>
      <c r="H612" s="0" t="n">
        <v>94.1691457713557</v>
      </c>
      <c r="I612" s="0" t="n">
        <v>0.74513597213344</v>
      </c>
    </row>
    <row r="613" customFormat="false" ht="13.8" hidden="false" customHeight="false" outlineLevel="0" collapsed="false">
      <c r="A613" s="2" t="n">
        <v>40311</v>
      </c>
      <c r="B613" s="0" t="n">
        <v>1157.43</v>
      </c>
      <c r="C613" s="0" t="n">
        <v>220.8</v>
      </c>
      <c r="D613" s="3" t="n">
        <f aca="false">B613*100/B$2</f>
        <v>79.9794079438348</v>
      </c>
      <c r="E613" s="3" t="n">
        <f aca="false">C613*100/C$2</f>
        <v>93.8376540586485</v>
      </c>
      <c r="F613" s="0" t="n">
        <v>81.4077227120705</v>
      </c>
      <c r="G613" s="0" t="n">
        <v>93.6241347787208</v>
      </c>
      <c r="H613" s="0" t="n">
        <v>95.822354441139</v>
      </c>
      <c r="I613" s="0" t="n">
        <v>2.19821966241821</v>
      </c>
    </row>
    <row r="614" customFormat="false" ht="13.8" hidden="false" customHeight="false" outlineLevel="0" collapsed="false">
      <c r="A614" s="2" t="n">
        <v>40312</v>
      </c>
      <c r="B614" s="0" t="n">
        <v>1135.68</v>
      </c>
      <c r="C614" s="0" t="n">
        <v>221.08</v>
      </c>
      <c r="D614" s="3" t="n">
        <f aca="false">B614*100/B$2</f>
        <v>78.4764642472152</v>
      </c>
      <c r="E614" s="3" t="n">
        <f aca="false">C614*100/C$2</f>
        <v>93.9566510837229</v>
      </c>
      <c r="F614" s="0" t="n">
        <v>81.4077227120705</v>
      </c>
      <c r="G614" s="0" t="n">
        <v>93.6241347787208</v>
      </c>
      <c r="H614" s="0" t="n">
        <v>96.340841478963</v>
      </c>
      <c r="I614" s="0" t="n">
        <v>2.71670670024226</v>
      </c>
    </row>
    <row r="615" customFormat="false" ht="13.8" hidden="false" customHeight="false" outlineLevel="0" collapsed="false">
      <c r="A615" s="2" t="n">
        <v>40315</v>
      </c>
      <c r="B615" s="0" t="n">
        <v>1136.94</v>
      </c>
      <c r="C615" s="0" t="n">
        <v>215.36</v>
      </c>
      <c r="D615" s="3" t="n">
        <f aca="false">B615*100/B$2</f>
        <v>78.5635313303297</v>
      </c>
      <c r="E615" s="3" t="n">
        <f aca="false">C615*100/C$2</f>
        <v>91.5257118572036</v>
      </c>
      <c r="F615" s="0" t="n">
        <v>82.0524337322756</v>
      </c>
      <c r="G615" s="0" t="n">
        <v>93.8394941857243</v>
      </c>
      <c r="H615" s="0" t="n">
        <v>96.6765830854229</v>
      </c>
      <c r="I615" s="0" t="n">
        <v>2.83708889969853</v>
      </c>
    </row>
    <row r="616" customFormat="false" ht="13.8" hidden="false" customHeight="false" outlineLevel="0" collapsed="false">
      <c r="A616" s="2" t="n">
        <v>40316</v>
      </c>
      <c r="B616" s="0" t="n">
        <v>1120.8</v>
      </c>
      <c r="C616" s="0" t="n">
        <v>214.42</v>
      </c>
      <c r="D616" s="3" t="n">
        <f aca="false">B616*100/B$2</f>
        <v>77.4482434561486</v>
      </c>
      <c r="E616" s="3" t="n">
        <f aca="false">C616*100/C$2</f>
        <v>91.1262218444539</v>
      </c>
      <c r="F616" s="0" t="n">
        <v>82.190635451505</v>
      </c>
      <c r="G616" s="0" t="n">
        <v>93.8856591175579</v>
      </c>
      <c r="H616" s="0" t="n">
        <v>96.6893327666808</v>
      </c>
      <c r="I616" s="0" t="n">
        <v>2.80367364912293</v>
      </c>
    </row>
    <row r="617" customFormat="false" ht="13.8" hidden="false" customHeight="false" outlineLevel="0" collapsed="false">
      <c r="A617" s="2" t="n">
        <v>40317</v>
      </c>
      <c r="B617" s="0" t="n">
        <v>1115.05</v>
      </c>
      <c r="C617" s="0" t="n">
        <v>212.43</v>
      </c>
      <c r="D617" s="3" t="n">
        <f aca="false">B617*100/B$2</f>
        <v>77.0509135133641</v>
      </c>
      <c r="E617" s="3" t="n">
        <f aca="false">C617*100/C$2</f>
        <v>90.2804929876753</v>
      </c>
      <c r="F617" s="0" t="n">
        <v>81.7076204427983</v>
      </c>
      <c r="G617" s="0" t="n">
        <v>93.7243126807996</v>
      </c>
      <c r="H617" s="0" t="n">
        <v>96.6043348916277</v>
      </c>
      <c r="I617" s="0" t="n">
        <v>2.8800222108281</v>
      </c>
    </row>
    <row r="618" customFormat="false" ht="13.8" hidden="false" customHeight="false" outlineLevel="0" collapsed="false">
      <c r="A618" s="2" t="n">
        <v>40318</v>
      </c>
      <c r="B618" s="0" t="n">
        <v>1071.59</v>
      </c>
      <c r="C618" s="0" t="n">
        <v>208.78</v>
      </c>
      <c r="D618" s="3" t="n">
        <f aca="false">B618*100/B$2</f>
        <v>74.0477901545095</v>
      </c>
      <c r="E618" s="3" t="n">
        <f aca="false">C618*100/C$2</f>
        <v>88.7292817679558</v>
      </c>
      <c r="F618" s="0" t="n">
        <v>81.9833328726609</v>
      </c>
      <c r="G618" s="0" t="n">
        <v>93.8164117198076</v>
      </c>
      <c r="H618" s="0" t="n">
        <v>97.0123246918827</v>
      </c>
      <c r="I618" s="0" t="n">
        <v>3.19591297207513</v>
      </c>
    </row>
    <row r="619" customFormat="false" ht="13.8" hidden="false" customHeight="false" outlineLevel="0" collapsed="false">
      <c r="A619" s="2" t="n">
        <v>40319</v>
      </c>
      <c r="B619" s="0" t="n">
        <v>1087.69</v>
      </c>
      <c r="C619" s="0" t="n">
        <v>208.78</v>
      </c>
      <c r="D619" s="3" t="n">
        <f aca="false">B619*100/B$2</f>
        <v>75.1603139943061</v>
      </c>
      <c r="E619" s="3" t="n">
        <f aca="false">C619*100/C$2</f>
        <v>88.7292817679558</v>
      </c>
      <c r="F619" s="0" t="n">
        <v>82.5319936980016</v>
      </c>
      <c r="G619" s="0" t="n">
        <v>93.9996864991868</v>
      </c>
      <c r="H619" s="0" t="n">
        <v>96.3918402039949</v>
      </c>
      <c r="I619" s="0" t="n">
        <v>2.39215370480809</v>
      </c>
    </row>
    <row r="620" customFormat="false" ht="13.8" hidden="false" customHeight="false" outlineLevel="0" collapsed="false">
      <c r="A620" s="2" t="n">
        <v>40322</v>
      </c>
      <c r="B620" s="0" t="n">
        <v>1073.65</v>
      </c>
      <c r="C620" s="0" t="n">
        <v>210.27</v>
      </c>
      <c r="D620" s="3" t="n">
        <f aca="false">B620*100/B$2</f>
        <v>74.1901379253158</v>
      </c>
      <c r="E620" s="3" t="n">
        <f aca="false">C620*100/C$2</f>
        <v>89.3625159371016</v>
      </c>
      <c r="F620" s="0" t="n">
        <v>82.6777965117886</v>
      </c>
      <c r="G620" s="0" t="n">
        <v>94.0483905022712</v>
      </c>
      <c r="H620" s="0" t="n">
        <v>95.4483637909052</v>
      </c>
      <c r="I620" s="0" t="n">
        <v>1.39997328863402</v>
      </c>
    </row>
    <row r="621" customFormat="false" ht="13.8" hidden="false" customHeight="false" outlineLevel="0" collapsed="false">
      <c r="A621" s="2" t="n">
        <v>40323</v>
      </c>
      <c r="B621" s="0" t="n">
        <v>1074.03</v>
      </c>
      <c r="C621" s="0" t="n">
        <v>204.83</v>
      </c>
      <c r="D621" s="3" t="n">
        <f aca="false">B621*100/B$2</f>
        <v>74.2163962519694</v>
      </c>
      <c r="E621" s="3" t="n">
        <f aca="false">C621*100/C$2</f>
        <v>87.0505737356566</v>
      </c>
      <c r="F621" s="0" t="n">
        <v>82.7344592166726</v>
      </c>
      <c r="G621" s="0" t="n">
        <v>94.067318124323</v>
      </c>
      <c r="H621" s="0" t="n">
        <v>95.4908627284318</v>
      </c>
      <c r="I621" s="0" t="n">
        <v>1.42354460410881</v>
      </c>
    </row>
    <row r="622" customFormat="false" ht="13.8" hidden="false" customHeight="false" outlineLevel="0" collapsed="false">
      <c r="A622" s="2" t="n">
        <v>40324</v>
      </c>
      <c r="B622" s="0" t="n">
        <v>1067.95</v>
      </c>
      <c r="C622" s="0" t="n">
        <v>206.62</v>
      </c>
      <c r="D622" s="3" t="n">
        <f aca="false">B622*100/B$2</f>
        <v>73.796263025512</v>
      </c>
      <c r="E622" s="3" t="n">
        <f aca="false">C622*100/C$2</f>
        <v>87.8113047173821</v>
      </c>
      <c r="F622" s="0" t="n">
        <v>83.6569556925288</v>
      </c>
      <c r="G622" s="0" t="n">
        <v>94.375469044312</v>
      </c>
      <c r="H622" s="0" t="n">
        <v>96.9315767105822</v>
      </c>
      <c r="I622" s="0" t="n">
        <v>2.55610766627024</v>
      </c>
    </row>
    <row r="623" customFormat="false" ht="13.8" hidden="false" customHeight="false" outlineLevel="0" collapsed="false">
      <c r="A623" s="2" t="n">
        <v>40325</v>
      </c>
      <c r="B623" s="0" t="n">
        <v>1103.06</v>
      </c>
      <c r="C623" s="0" t="n">
        <v>209.83</v>
      </c>
      <c r="D623" s="3" t="n">
        <f aca="false">B623*100/B$2</f>
        <v>76.2223942065839</v>
      </c>
      <c r="E623" s="3" t="n">
        <f aca="false">C623*100/C$2</f>
        <v>89.1755206119847</v>
      </c>
      <c r="F623" s="0" t="n">
        <v>83.7274385693358</v>
      </c>
      <c r="G623" s="0" t="n">
        <v>94.3990131595471</v>
      </c>
      <c r="H623" s="0" t="n">
        <v>97.3948151296218</v>
      </c>
      <c r="I623" s="0" t="n">
        <v>2.99580197007465</v>
      </c>
    </row>
    <row r="624" customFormat="false" ht="13.8" hidden="false" customHeight="false" outlineLevel="0" collapsed="false">
      <c r="A624" s="2" t="n">
        <v>40326</v>
      </c>
      <c r="B624" s="0" t="n">
        <v>1089.41</v>
      </c>
      <c r="C624" s="0" t="n">
        <v>212.1</v>
      </c>
      <c r="D624" s="3" t="n">
        <f aca="false">B624*100/B$2</f>
        <v>75.2791674728434</v>
      </c>
      <c r="E624" s="3" t="n">
        <f aca="false">C624*100/C$2</f>
        <v>90.1402464938377</v>
      </c>
      <c r="F624" s="0" t="n">
        <v>82.3772077724647</v>
      </c>
      <c r="G624" s="0" t="n">
        <v>93.9479817755332</v>
      </c>
      <c r="H624" s="0" t="n">
        <v>96.7658308542286</v>
      </c>
      <c r="I624" s="0" t="n">
        <v>2.81784907869543</v>
      </c>
    </row>
    <row r="625" customFormat="false" ht="13.8" hidden="false" customHeight="false" outlineLevel="0" collapsed="false">
      <c r="A625" s="2" t="n">
        <v>40329</v>
      </c>
      <c r="B625" s="0" t="n">
        <v>1089.41</v>
      </c>
      <c r="C625" s="0" t="n">
        <v>214.34</v>
      </c>
      <c r="D625" s="3" t="n">
        <f aca="false">B625*100/B$2</f>
        <v>75.2791674728434</v>
      </c>
      <c r="E625" s="3" t="n">
        <f aca="false">C625*100/C$2</f>
        <v>91.0922226944326</v>
      </c>
      <c r="F625" s="0" t="n">
        <v>82.7496614057879</v>
      </c>
      <c r="G625" s="0" t="n">
        <v>94.0723962668247</v>
      </c>
      <c r="H625" s="0" t="n">
        <v>95.0488737781555</v>
      </c>
      <c r="I625" s="0" t="n">
        <v>0.976477511330884</v>
      </c>
    </row>
    <row r="626" customFormat="false" ht="13.8" hidden="false" customHeight="false" outlineLevel="0" collapsed="false">
      <c r="A626" s="2" t="n">
        <v>40330</v>
      </c>
      <c r="B626" s="0" t="n">
        <v>1070.71</v>
      </c>
      <c r="C626" s="0" t="n">
        <v>213.02</v>
      </c>
      <c r="D626" s="3" t="n">
        <f aca="false">B626*100/B$2</f>
        <v>73.9869813980486</v>
      </c>
      <c r="E626" s="3" t="n">
        <f aca="false">C626*100/C$2</f>
        <v>90.531236719082</v>
      </c>
      <c r="F626" s="0" t="n">
        <v>83.4164847010697</v>
      </c>
      <c r="G626" s="0" t="n">
        <v>94.2951420629216</v>
      </c>
      <c r="H626" s="0" t="n">
        <v>95.6778580535487</v>
      </c>
      <c r="I626" s="0" t="n">
        <v>1.38271599062706</v>
      </c>
    </row>
    <row r="627" customFormat="false" ht="13.8" hidden="false" customHeight="false" outlineLevel="0" collapsed="false">
      <c r="A627" s="2" t="n">
        <v>40331</v>
      </c>
      <c r="B627" s="0" t="n">
        <v>1098.38</v>
      </c>
      <c r="C627" s="0" t="n">
        <v>213.02</v>
      </c>
      <c r="D627" s="3" t="n">
        <f aca="false">B627*100/B$2</f>
        <v>75.8990021835872</v>
      </c>
      <c r="E627" s="3" t="n">
        <f aca="false">C627*100/C$2</f>
        <v>90.531236719082</v>
      </c>
      <c r="F627" s="0" t="n">
        <v>83.3307996351475</v>
      </c>
      <c r="G627" s="0" t="n">
        <v>94.2665198051848</v>
      </c>
      <c r="H627" s="0" t="n">
        <v>97.3608159796005</v>
      </c>
      <c r="I627" s="0" t="n">
        <v>3.0942961744157</v>
      </c>
    </row>
    <row r="628" customFormat="false" ht="13.8" hidden="false" customHeight="false" outlineLevel="0" collapsed="false">
      <c r="A628" s="2" t="n">
        <v>40332</v>
      </c>
      <c r="B628" s="0" t="n">
        <v>1102.83</v>
      </c>
      <c r="C628" s="0" t="n">
        <v>217.58</v>
      </c>
      <c r="D628" s="3" t="n">
        <f aca="false">B628*100/B$2</f>
        <v>76.2065010088726</v>
      </c>
      <c r="E628" s="3" t="n">
        <f aca="false">C628*100/C$2</f>
        <v>92.4691882702932</v>
      </c>
      <c r="F628" s="0" t="n">
        <v>83.5201359904917</v>
      </c>
      <c r="G628" s="0" t="n">
        <v>94.3297657617968</v>
      </c>
      <c r="H628" s="0" t="n">
        <v>96.7955801104972</v>
      </c>
      <c r="I628" s="0" t="n">
        <v>2.46581434870045</v>
      </c>
    </row>
    <row r="629" customFormat="false" ht="13.8" hidden="false" customHeight="false" outlineLevel="0" collapsed="false">
      <c r="A629" s="2" t="n">
        <v>40333</v>
      </c>
      <c r="B629" s="0" t="n">
        <v>1064.88</v>
      </c>
      <c r="C629" s="0" t="n">
        <v>218.03</v>
      </c>
      <c r="D629" s="3" t="n">
        <f aca="false">B629*100/B$2</f>
        <v>73.5841233864949</v>
      </c>
      <c r="E629" s="3" t="n">
        <f aca="false">C629*100/C$2</f>
        <v>92.6604334891628</v>
      </c>
      <c r="F629" s="0" t="n">
        <v>84.1150943917742</v>
      </c>
      <c r="G629" s="0" t="n">
        <v>94.5285057933403</v>
      </c>
      <c r="H629" s="0" t="n">
        <v>96.625584360391</v>
      </c>
      <c r="I629" s="0" t="n">
        <v>2.09707856705073</v>
      </c>
    </row>
    <row r="630" customFormat="false" ht="13.8" hidden="false" customHeight="false" outlineLevel="0" collapsed="false">
      <c r="A630" s="2" t="n">
        <v>40336</v>
      </c>
      <c r="B630" s="0" t="n">
        <v>1050.47</v>
      </c>
      <c r="C630" s="0" t="n">
        <v>214.38</v>
      </c>
      <c r="D630" s="3" t="n">
        <f aca="false">B630*100/B$2</f>
        <v>72.5883799994472</v>
      </c>
      <c r="E630" s="3" t="n">
        <f aca="false">C630*100/C$2</f>
        <v>91.1092222694433</v>
      </c>
      <c r="F630" s="0" t="n">
        <v>83.7536968959894</v>
      </c>
      <c r="G630" s="0" t="n">
        <v>94.4077844965955</v>
      </c>
      <c r="H630" s="0" t="n">
        <v>97.5945601359966</v>
      </c>
      <c r="I630" s="0" t="n">
        <v>3.18677563940111</v>
      </c>
    </row>
    <row r="631" customFormat="false" ht="13.8" hidden="false" customHeight="false" outlineLevel="0" collapsed="false">
      <c r="A631" s="2" t="n">
        <v>40337</v>
      </c>
      <c r="B631" s="0" t="n">
        <v>1062</v>
      </c>
      <c r="C631" s="0" t="n">
        <v>216.08</v>
      </c>
      <c r="D631" s="3" t="n">
        <f aca="false">B631*100/B$2</f>
        <v>73.3851129108046</v>
      </c>
      <c r="E631" s="3" t="n">
        <f aca="false">C631*100/C$2</f>
        <v>91.8317042073948</v>
      </c>
      <c r="F631" s="0" t="n">
        <v>81.795378534509</v>
      </c>
      <c r="G631" s="0" t="n">
        <v>93.7536274125139</v>
      </c>
      <c r="H631" s="0" t="n">
        <v>97.441563960901</v>
      </c>
      <c r="I631" s="0" t="n">
        <v>3.68793654838707</v>
      </c>
    </row>
    <row r="632" customFormat="false" ht="13.8" hidden="false" customHeight="false" outlineLevel="0" collapsed="false">
      <c r="A632" s="2" t="n">
        <v>40338</v>
      </c>
      <c r="B632" s="0" t="n">
        <v>1055.69</v>
      </c>
      <c r="C632" s="0" t="n">
        <v>215.26</v>
      </c>
      <c r="D632" s="3" t="n">
        <f aca="false">B632*100/B$2</f>
        <v>72.9490864866359</v>
      </c>
      <c r="E632" s="3" t="n">
        <f aca="false">C632*100/C$2</f>
        <v>91.483212919677</v>
      </c>
      <c r="F632" s="0" t="n">
        <v>82.3240001105614</v>
      </c>
      <c r="G632" s="0" t="n">
        <v>93.9302082767773</v>
      </c>
      <c r="H632" s="0" t="n">
        <v>96.46408839779</v>
      </c>
      <c r="I632" s="0" t="n">
        <v>2.53388012101277</v>
      </c>
    </row>
    <row r="633" customFormat="false" ht="13.8" hidden="false" customHeight="false" outlineLevel="0" collapsed="false">
      <c r="A633" s="2" t="n">
        <v>40339</v>
      </c>
      <c r="B633" s="0" t="n">
        <v>1086.84</v>
      </c>
      <c r="C633" s="0" t="n">
        <v>215.73</v>
      </c>
      <c r="D633" s="3" t="n">
        <f aca="false">B633*100/B$2</f>
        <v>75.1015782636336</v>
      </c>
      <c r="E633" s="3" t="n">
        <f aca="false">C633*100/C$2</f>
        <v>91.6829579260518</v>
      </c>
      <c r="F633" s="0" t="n">
        <v>83.38953536582</v>
      </c>
      <c r="G633" s="0" t="n">
        <v>94.2861399012141</v>
      </c>
      <c r="H633" s="0" t="n">
        <v>96.094347641309</v>
      </c>
      <c r="I633" s="0" t="n">
        <v>1.8082077400949</v>
      </c>
    </row>
    <row r="634" customFormat="false" ht="13.8" hidden="false" customHeight="false" outlineLevel="0" collapsed="false">
      <c r="A634" s="2" t="n">
        <v>40340</v>
      </c>
      <c r="B634" s="0" t="n">
        <v>1091.6</v>
      </c>
      <c r="C634" s="0" t="n">
        <v>219.22</v>
      </c>
      <c r="D634" s="3" t="n">
        <f aca="false">B634*100/B$2</f>
        <v>75.4304983553995</v>
      </c>
      <c r="E634" s="3" t="n">
        <f aca="false">C634*100/C$2</f>
        <v>93.1661708457289</v>
      </c>
      <c r="F634" s="0" t="n">
        <v>82.0006080875646</v>
      </c>
      <c r="G634" s="0" t="n">
        <v>93.8221823362867</v>
      </c>
      <c r="H634" s="0" t="n">
        <v>96.8763280917977</v>
      </c>
      <c r="I634" s="0" t="n">
        <v>3.05414575551096</v>
      </c>
    </row>
    <row r="635" customFormat="false" ht="13.8" hidden="false" customHeight="false" outlineLevel="0" collapsed="false">
      <c r="A635" s="2" t="n">
        <v>40343</v>
      </c>
      <c r="B635" s="0" t="n">
        <v>1089.63</v>
      </c>
      <c r="C635" s="0" t="n">
        <v>221.43</v>
      </c>
      <c r="D635" s="3" t="n">
        <f aca="false">B635*100/B$2</f>
        <v>75.2943696619586</v>
      </c>
      <c r="E635" s="3" t="n">
        <f aca="false">C635*100/C$2</f>
        <v>94.1053973650659</v>
      </c>
      <c r="F635" s="0" t="n">
        <v>83.0771994803615</v>
      </c>
      <c r="G635" s="0" t="n">
        <v>94.1818071552702</v>
      </c>
      <c r="H635" s="0" t="n">
        <v>95.6651083722907</v>
      </c>
      <c r="I635" s="0" t="n">
        <v>1.48330121702048</v>
      </c>
    </row>
    <row r="636" customFormat="false" ht="13.8" hidden="false" customHeight="false" outlineLevel="0" collapsed="false">
      <c r="A636" s="2" t="n">
        <v>40344</v>
      </c>
      <c r="B636" s="0" t="n">
        <v>1115.23</v>
      </c>
      <c r="C636" s="0" t="n">
        <v>221.34</v>
      </c>
      <c r="D636" s="3" t="n">
        <f aca="false">B636*100/B$2</f>
        <v>77.0633516680948</v>
      </c>
      <c r="E636" s="3" t="n">
        <f aca="false">C636*100/C$2</f>
        <v>94.067148321292</v>
      </c>
      <c r="F636" s="0" t="n">
        <v>81.0967688438044</v>
      </c>
      <c r="G636" s="0" t="n">
        <v>93.5202636820953</v>
      </c>
      <c r="H636" s="0" t="n">
        <v>95.5206119847004</v>
      </c>
      <c r="I636" s="0" t="n">
        <v>2.00034830260513</v>
      </c>
    </row>
    <row r="637" customFormat="false" ht="13.8" hidden="false" customHeight="false" outlineLevel="0" collapsed="false">
      <c r="A637" s="2" t="n">
        <v>40345</v>
      </c>
      <c r="B637" s="0" t="n">
        <v>1114.61</v>
      </c>
      <c r="C637" s="0" t="n">
        <v>223.34</v>
      </c>
      <c r="D637" s="3" t="n">
        <f aca="false">B637*100/B$2</f>
        <v>77.0205091351336</v>
      </c>
      <c r="E637" s="3" t="n">
        <f aca="false">C637*100/C$2</f>
        <v>94.9171270718232</v>
      </c>
      <c r="F637" s="0" t="n">
        <v>80.5626191989828</v>
      </c>
      <c r="G637" s="0" t="n">
        <v>93.3418362205585</v>
      </c>
      <c r="H637" s="0" t="n">
        <v>95.5206119847004</v>
      </c>
      <c r="I637" s="0" t="n">
        <v>2.17877576414185</v>
      </c>
    </row>
    <row r="638" customFormat="false" ht="13.8" hidden="false" customHeight="false" outlineLevel="0" collapsed="false">
      <c r="A638" s="2" t="n">
        <v>40346</v>
      </c>
      <c r="B638" s="0" t="n">
        <v>1116.04</v>
      </c>
      <c r="C638" s="0" t="n">
        <v>223.45</v>
      </c>
      <c r="D638" s="3" t="n">
        <f aca="false">B638*100/B$2</f>
        <v>77.1193233643827</v>
      </c>
      <c r="E638" s="3" t="n">
        <f aca="false">C638*100/C$2</f>
        <v>94.9638759031024</v>
      </c>
      <c r="F638" s="0" t="n">
        <v>77.9561347743166</v>
      </c>
      <c r="G638" s="0" t="n">
        <v>92.4711656061776</v>
      </c>
      <c r="H638" s="0" t="n">
        <v>93.5869103272418</v>
      </c>
      <c r="I638" s="0" t="n">
        <v>1.11574472106426</v>
      </c>
    </row>
    <row r="639" customFormat="false" ht="13.8" hidden="false" customHeight="false" outlineLevel="0" collapsed="false">
      <c r="A639" s="2" t="n">
        <v>40347</v>
      </c>
      <c r="B639" s="0" t="n">
        <v>1117.51</v>
      </c>
      <c r="C639" s="0" t="n">
        <v>223.77</v>
      </c>
      <c r="D639" s="3" t="n">
        <f aca="false">B639*100/B$2</f>
        <v>77.2209016280163</v>
      </c>
      <c r="E639" s="3" t="n">
        <f aca="false">C639*100/C$2</f>
        <v>95.0998725031874</v>
      </c>
      <c r="F639" s="0" t="n">
        <v>76.7627629287708</v>
      </c>
      <c r="G639" s="0" t="n">
        <v>92.0725314197948</v>
      </c>
      <c r="H639" s="0" t="n">
        <v>91.4109647258819</v>
      </c>
      <c r="I639" s="0" t="n">
        <v>-0.661566693912889</v>
      </c>
    </row>
    <row r="640" customFormat="false" ht="13.8" hidden="false" customHeight="false" outlineLevel="0" collapsed="false">
      <c r="A640" s="2" t="n">
        <v>40350</v>
      </c>
      <c r="B640" s="0" t="n">
        <v>1113.2</v>
      </c>
      <c r="C640" s="0" t="n">
        <v>227.69</v>
      </c>
      <c r="D640" s="3" t="n">
        <f aca="false">B640*100/B$2</f>
        <v>76.9230769230769</v>
      </c>
      <c r="E640" s="3" t="n">
        <f aca="false">C640*100/C$2</f>
        <v>96.7658308542286</v>
      </c>
      <c r="F640" s="0" t="n">
        <v>80.1383399209486</v>
      </c>
      <c r="G640" s="0" t="n">
        <v>93.2001098798295</v>
      </c>
      <c r="H640" s="0" t="n">
        <v>93.115172120697</v>
      </c>
      <c r="I640" s="0" t="n">
        <v>-0.0849377591325151</v>
      </c>
    </row>
    <row r="641" customFormat="false" ht="13.8" hidden="false" customHeight="false" outlineLevel="0" collapsed="false">
      <c r="A641" s="2" t="n">
        <v>40351</v>
      </c>
      <c r="B641" s="0" t="n">
        <v>1095.31</v>
      </c>
      <c r="C641" s="0" t="n">
        <v>226.45</v>
      </c>
      <c r="D641" s="3" t="n">
        <f aca="false">B641*100/B$2</f>
        <v>75.68686254457</v>
      </c>
      <c r="E641" s="3" t="n">
        <f aca="false">C641*100/C$2</f>
        <v>96.2388440288993</v>
      </c>
      <c r="F641" s="0" t="n">
        <v>79.8660825340667</v>
      </c>
      <c r="G641" s="0" t="n">
        <v>93.1091649641174</v>
      </c>
      <c r="H641" s="0" t="n">
        <v>92.4904377390565</v>
      </c>
      <c r="I641" s="0" t="n">
        <v>-0.618727225060866</v>
      </c>
    </row>
    <row r="642" customFormat="false" ht="13.8" hidden="false" customHeight="false" outlineLevel="0" collapsed="false">
      <c r="A642" s="2" t="n">
        <v>40352</v>
      </c>
      <c r="B642" s="0" t="n">
        <v>1092.04</v>
      </c>
      <c r="C642" s="0" t="n">
        <v>225.59</v>
      </c>
      <c r="D642" s="3" t="n">
        <f aca="false">B642*100/B$2</f>
        <v>75.46090273363</v>
      </c>
      <c r="E642" s="3" t="n">
        <f aca="false">C642*100/C$2</f>
        <v>95.8733531661708</v>
      </c>
      <c r="F642" s="0" t="n">
        <v>80.9634041847481</v>
      </c>
      <c r="G642" s="0" t="n">
        <v>93.4757145228759</v>
      </c>
      <c r="H642" s="0" t="n">
        <v>92.1291967700807</v>
      </c>
      <c r="I642" s="0" t="n">
        <v>-1.34651775279514</v>
      </c>
    </row>
    <row r="643" customFormat="false" ht="13.8" hidden="false" customHeight="false" outlineLevel="0" collapsed="false">
      <c r="A643" s="2" t="n">
        <v>40353</v>
      </c>
      <c r="B643" s="0" t="n">
        <v>1073.69</v>
      </c>
      <c r="C643" s="0" t="n">
        <v>227.45</v>
      </c>
      <c r="D643" s="3" t="n">
        <f aca="false">B643*100/B$2</f>
        <v>74.1929019597004</v>
      </c>
      <c r="E643" s="3" t="n">
        <f aca="false">C643*100/C$2</f>
        <v>96.6638334041649</v>
      </c>
      <c r="F643" s="0" t="n">
        <v>79.9794079438348</v>
      </c>
      <c r="G643" s="0" t="n">
        <v>93.1470202082209</v>
      </c>
      <c r="H643" s="0" t="n">
        <v>93.8376540586485</v>
      </c>
      <c r="I643" s="0" t="n">
        <v>0.690633850427616</v>
      </c>
    </row>
    <row r="644" customFormat="false" ht="13.8" hidden="false" customHeight="false" outlineLevel="0" collapsed="false">
      <c r="A644" s="2" t="n">
        <v>40354</v>
      </c>
      <c r="B644" s="0" t="n">
        <v>1076.76</v>
      </c>
      <c r="C644" s="0" t="n">
        <v>225.63</v>
      </c>
      <c r="D644" s="3" t="n">
        <f aca="false">B644*100/B$2</f>
        <v>74.4050415987175</v>
      </c>
      <c r="E644" s="3" t="n">
        <f aca="false">C644*100/C$2</f>
        <v>95.8903527411815</v>
      </c>
      <c r="F644" s="0" t="n">
        <v>78.4764642472152</v>
      </c>
      <c r="G644" s="0" t="n">
        <v>92.6449765745309</v>
      </c>
      <c r="H644" s="0" t="n">
        <v>93.9566510837229</v>
      </c>
      <c r="I644" s="0" t="n">
        <v>1.31167450919199</v>
      </c>
    </row>
    <row r="645" customFormat="false" ht="13.8" hidden="false" customHeight="false" outlineLevel="0" collapsed="false">
      <c r="A645" s="2" t="n">
        <v>40357</v>
      </c>
      <c r="B645" s="0" t="n">
        <v>1074.57</v>
      </c>
      <c r="C645" s="0" t="n">
        <v>225.55</v>
      </c>
      <c r="D645" s="3" t="n">
        <f aca="false">B645*100/B$2</f>
        <v>74.2537107161613</v>
      </c>
      <c r="E645" s="3" t="n">
        <f aca="false">C645*100/C$2</f>
        <v>95.8563535911602</v>
      </c>
      <c r="F645" s="0" t="n">
        <v>78.5635313303297</v>
      </c>
      <c r="G645" s="0" t="n">
        <v>92.6740604815861</v>
      </c>
      <c r="H645" s="0" t="n">
        <v>91.5257118572036</v>
      </c>
      <c r="I645" s="0" t="n">
        <v>-1.14834862438249</v>
      </c>
    </row>
    <row r="646" customFormat="false" ht="13.8" hidden="false" customHeight="false" outlineLevel="0" collapsed="false">
      <c r="A646" s="2" t="n">
        <v>40358</v>
      </c>
      <c r="B646" s="0" t="n">
        <v>1041.24</v>
      </c>
      <c r="C646" s="0" t="n">
        <v>222.54</v>
      </c>
      <c r="D646" s="3" t="n">
        <f aca="false">B646*100/B$2</f>
        <v>71.9505790652036</v>
      </c>
      <c r="E646" s="3" t="n">
        <f aca="false">C646*100/C$2</f>
        <v>94.5771355716107</v>
      </c>
      <c r="F646" s="0" t="n">
        <v>77.4482434561486</v>
      </c>
      <c r="G646" s="0" t="n">
        <v>92.3015094816892</v>
      </c>
      <c r="H646" s="0" t="n">
        <v>91.1262218444539</v>
      </c>
      <c r="I646" s="0" t="n">
        <v>-1.17528763723533</v>
      </c>
    </row>
    <row r="647" customFormat="false" ht="13.8" hidden="false" customHeight="false" outlineLevel="0" collapsed="false">
      <c r="A647" s="2" t="n">
        <v>40359</v>
      </c>
      <c r="B647" s="0" t="n">
        <v>1030.71</v>
      </c>
      <c r="C647" s="0" t="n">
        <v>220.85</v>
      </c>
      <c r="D647" s="3" t="n">
        <f aca="false">B647*100/B$2</f>
        <v>71.2229470134608</v>
      </c>
      <c r="E647" s="3" t="n">
        <f aca="false">C647*100/C$2</f>
        <v>93.8589035274118</v>
      </c>
      <c r="F647" s="0" t="n">
        <v>77.0509135133641</v>
      </c>
      <c r="G647" s="0" t="n">
        <v>92.1687853026677</v>
      </c>
      <c r="H647" s="0" t="n">
        <v>90.2804929876753</v>
      </c>
      <c r="I647" s="0" t="n">
        <v>-1.88829231499241</v>
      </c>
    </row>
    <row r="648" customFormat="false" ht="13.8" hidden="false" customHeight="false" outlineLevel="0" collapsed="false">
      <c r="A648" s="2" t="n">
        <v>40360</v>
      </c>
      <c r="B648" s="0" t="n">
        <v>1027.37</v>
      </c>
      <c r="C648" s="0" t="n">
        <v>218.65</v>
      </c>
      <c r="D648" s="3" t="n">
        <f aca="false">B648*100/B$2</f>
        <v>70.9921501423478</v>
      </c>
      <c r="E648" s="3" t="n">
        <f aca="false">C648*100/C$2</f>
        <v>92.9239269018274</v>
      </c>
      <c r="F648" s="0" t="n">
        <v>74.0477901545095</v>
      </c>
      <c r="G648" s="0" t="n">
        <v>91.1656213339244</v>
      </c>
      <c r="H648" s="0" t="n">
        <v>88.7292817679558</v>
      </c>
      <c r="I648" s="0" t="n">
        <v>-2.43633956596861</v>
      </c>
    </row>
    <row r="649" customFormat="false" ht="13.8" hidden="false" customHeight="false" outlineLevel="0" collapsed="false">
      <c r="A649" s="2" t="n">
        <v>40361</v>
      </c>
      <c r="B649" s="0" t="n">
        <v>1022.58</v>
      </c>
      <c r="C649" s="0" t="n">
        <v>217.01</v>
      </c>
      <c r="D649" s="3" t="n">
        <f aca="false">B649*100/B$2</f>
        <v>70.6611570247934</v>
      </c>
      <c r="E649" s="3" t="n">
        <f aca="false">C649*100/C$2</f>
        <v>92.2269443263918</v>
      </c>
      <c r="F649" s="0" t="n">
        <v>75.1603139943061</v>
      </c>
      <c r="G649" s="0" t="n">
        <v>91.5372490351846</v>
      </c>
      <c r="H649" s="0" t="n">
        <v>88.7292817679558</v>
      </c>
      <c r="I649" s="0" t="n">
        <v>-2.80796726722878</v>
      </c>
    </row>
    <row r="650" customFormat="false" ht="13.8" hidden="false" customHeight="false" outlineLevel="0" collapsed="false">
      <c r="A650" s="2" t="n">
        <v>40364</v>
      </c>
      <c r="B650" s="0" t="n">
        <v>1022.58</v>
      </c>
      <c r="C650" s="0" t="n">
        <v>217.47</v>
      </c>
      <c r="D650" s="3" t="n">
        <f aca="false">B650*100/B$2</f>
        <v>70.6611570247934</v>
      </c>
      <c r="E650" s="3" t="n">
        <f aca="false">C650*100/C$2</f>
        <v>92.422439439014</v>
      </c>
      <c r="F650" s="0" t="n">
        <v>74.1901379253158</v>
      </c>
      <c r="G650" s="0" t="n">
        <v>91.213171213713</v>
      </c>
      <c r="H650" s="0" t="n">
        <v>89.3625159371016</v>
      </c>
      <c r="I650" s="0" t="n">
        <v>-1.85065527661141</v>
      </c>
    </row>
    <row r="651" customFormat="false" ht="13.8" hidden="false" customHeight="false" outlineLevel="0" collapsed="false">
      <c r="A651" s="2" t="n">
        <v>40365</v>
      </c>
      <c r="B651" s="0" t="n">
        <v>1028.06</v>
      </c>
      <c r="C651" s="0" t="n">
        <v>219.12</v>
      </c>
      <c r="D651" s="3" t="n">
        <f aca="false">B651*100/B$2</f>
        <v>71.0398297354819</v>
      </c>
      <c r="E651" s="3" t="n">
        <f aca="false">C651*100/C$2</f>
        <v>93.1236719082023</v>
      </c>
      <c r="F651" s="0" t="n">
        <v>74.2163962519694</v>
      </c>
      <c r="G651" s="0" t="n">
        <v>91.2219425507614</v>
      </c>
      <c r="H651" s="0" t="n">
        <v>87.0505737356566</v>
      </c>
      <c r="I651" s="0" t="n">
        <v>-4.17136881510476</v>
      </c>
    </row>
    <row r="652" customFormat="false" ht="13.8" hidden="false" customHeight="false" outlineLevel="0" collapsed="false">
      <c r="A652" s="2" t="n">
        <v>40366</v>
      </c>
      <c r="B652" s="0" t="n">
        <v>1060.27</v>
      </c>
      <c r="C652" s="0" t="n">
        <v>217.45</v>
      </c>
      <c r="D652" s="3" t="n">
        <f aca="false">B652*100/B$2</f>
        <v>73.2655684236712</v>
      </c>
      <c r="E652" s="3" t="n">
        <f aca="false">C652*100/C$2</f>
        <v>92.4139396515087</v>
      </c>
      <c r="F652" s="0" t="n">
        <v>73.796263025512</v>
      </c>
      <c r="G652" s="0" t="n">
        <v>91.0816011579873</v>
      </c>
      <c r="H652" s="0" t="n">
        <v>87.8113047173821</v>
      </c>
      <c r="I652" s="0" t="n">
        <v>-3.27029644060526</v>
      </c>
    </row>
    <row r="653" customFormat="false" ht="13.8" hidden="false" customHeight="false" outlineLevel="0" collapsed="false">
      <c r="A653" s="2" t="n">
        <v>40367</v>
      </c>
      <c r="B653" s="0" t="n">
        <v>1070.25</v>
      </c>
      <c r="C653" s="0" t="n">
        <v>220.78</v>
      </c>
      <c r="D653" s="3" t="n">
        <f aca="false">B653*100/B$2</f>
        <v>73.9551950026258</v>
      </c>
      <c r="E653" s="3" t="n">
        <f aca="false">C653*100/C$2</f>
        <v>93.8291542711432</v>
      </c>
      <c r="F653" s="0" t="n">
        <v>76.2223942065839</v>
      </c>
      <c r="G653" s="0" t="n">
        <v>91.8920265363255</v>
      </c>
      <c r="H653" s="0" t="n">
        <v>89.1755206119847</v>
      </c>
      <c r="I653" s="0" t="n">
        <v>-2.71650592434082</v>
      </c>
    </row>
    <row r="654" customFormat="false" ht="13.8" hidden="false" customHeight="false" outlineLevel="0" collapsed="false">
      <c r="A654" s="2" t="n">
        <v>40368</v>
      </c>
      <c r="B654" s="0" t="n">
        <v>1077.96</v>
      </c>
      <c r="C654" s="0" t="n">
        <v>224.44</v>
      </c>
      <c r="D654" s="3" t="n">
        <f aca="false">B654*100/B$2</f>
        <v>74.4879626302551</v>
      </c>
      <c r="E654" s="3" t="n">
        <f aca="false">C654*100/C$2</f>
        <v>95.3846153846154</v>
      </c>
      <c r="F654" s="0" t="n">
        <v>75.2791674728434</v>
      </c>
      <c r="G654" s="0" t="n">
        <v>91.5769508765615</v>
      </c>
      <c r="H654" s="0" t="n">
        <v>90.1402464938377</v>
      </c>
      <c r="I654" s="0" t="n">
        <v>-1.4367043827238</v>
      </c>
    </row>
    <row r="655" customFormat="false" ht="13.8" hidden="false" customHeight="false" outlineLevel="0" collapsed="false">
      <c r="A655" s="2" t="n">
        <v>40371</v>
      </c>
      <c r="B655" s="0" t="n">
        <v>1078.75</v>
      </c>
      <c r="C655" s="0" t="n">
        <v>225.86</v>
      </c>
      <c r="D655" s="3" t="n">
        <f aca="false">B655*100/B$2</f>
        <v>74.5425523093507</v>
      </c>
      <c r="E655" s="3" t="n">
        <f aca="false">C655*100/C$2</f>
        <v>95.9881002974926</v>
      </c>
      <c r="F655" s="0" t="n">
        <v>75.2791674728434</v>
      </c>
      <c r="G655" s="0" t="n">
        <v>91.5769508765615</v>
      </c>
      <c r="H655" s="0" t="n">
        <v>91.0922226944326</v>
      </c>
      <c r="I655" s="0" t="n">
        <v>-0.484728182128819</v>
      </c>
    </row>
    <row r="656" customFormat="false" ht="13.8" hidden="false" customHeight="false" outlineLevel="0" collapsed="false">
      <c r="A656" s="2" t="n">
        <v>40372</v>
      </c>
      <c r="B656" s="0" t="n">
        <v>1095.34</v>
      </c>
      <c r="C656" s="0" t="n">
        <v>226.14</v>
      </c>
      <c r="D656" s="3" t="n">
        <f aca="false">B656*100/B$2</f>
        <v>75.6889355703585</v>
      </c>
      <c r="E656" s="3" t="n">
        <f aca="false">C656*100/C$2</f>
        <v>96.1070973225669</v>
      </c>
      <c r="F656" s="0" t="n">
        <v>73.9869813980486</v>
      </c>
      <c r="G656" s="0" t="n">
        <v>91.1453087639176</v>
      </c>
      <c r="H656" s="0" t="n">
        <v>90.531236719082</v>
      </c>
      <c r="I656" s="0" t="n">
        <v>-0.614072044835609</v>
      </c>
    </row>
    <row r="657" customFormat="false" ht="13.8" hidden="false" customHeight="false" outlineLevel="0" collapsed="false">
      <c r="A657" s="2" t="n">
        <v>40373</v>
      </c>
      <c r="B657" s="0" t="n">
        <v>1095.17</v>
      </c>
      <c r="C657" s="0" t="n">
        <v>229.27</v>
      </c>
      <c r="D657" s="3" t="n">
        <f aca="false">B657*100/B$2</f>
        <v>75.677188424224</v>
      </c>
      <c r="E657" s="3" t="n">
        <f aca="false">C657*100/C$2</f>
        <v>97.4373140671483</v>
      </c>
      <c r="F657" s="0" t="n">
        <v>75.8990021835872</v>
      </c>
      <c r="G657" s="0" t="n">
        <v>91.784000595835</v>
      </c>
      <c r="H657" s="0" t="n">
        <v>90.531236719082</v>
      </c>
      <c r="I657" s="0" t="n">
        <v>-1.25276387675297</v>
      </c>
    </row>
    <row r="658" customFormat="false" ht="13.8" hidden="false" customHeight="false" outlineLevel="0" collapsed="false">
      <c r="A658" s="2" t="n">
        <v>40374</v>
      </c>
      <c r="B658" s="0" t="n">
        <v>1096.48</v>
      </c>
      <c r="C658" s="0" t="n">
        <v>228.39</v>
      </c>
      <c r="D658" s="3" t="n">
        <f aca="false">B658*100/B$2</f>
        <v>75.7677105503192</v>
      </c>
      <c r="E658" s="3" t="n">
        <f aca="false">C658*100/C$2</f>
        <v>97.0633234169146</v>
      </c>
      <c r="F658" s="0" t="n">
        <v>76.2065010088726</v>
      </c>
      <c r="G658" s="0" t="n">
        <v>91.8867175691647</v>
      </c>
      <c r="H658" s="0" t="n">
        <v>92.4691882702932</v>
      </c>
      <c r="I658" s="0" t="n">
        <v>0.582470701128599</v>
      </c>
    </row>
    <row r="659" customFormat="false" ht="13.8" hidden="false" customHeight="false" outlineLevel="0" collapsed="false">
      <c r="A659" s="2" t="n">
        <v>40375</v>
      </c>
      <c r="B659" s="0" t="n">
        <v>1064.88</v>
      </c>
      <c r="C659" s="0" t="n">
        <v>226.34</v>
      </c>
      <c r="D659" s="3" t="n">
        <f aca="false">B659*100/B$2</f>
        <v>73.5841233864949</v>
      </c>
      <c r="E659" s="3" t="n">
        <f aca="false">C659*100/C$2</f>
        <v>96.1920951976201</v>
      </c>
      <c r="F659" s="0" t="n">
        <v>73.5841233864949</v>
      </c>
      <c r="G659" s="0" t="n">
        <v>91.0107379876228</v>
      </c>
      <c r="H659" s="0" t="n">
        <v>92.6604334891628</v>
      </c>
      <c r="I659" s="0" t="n">
        <v>1.64969550153997</v>
      </c>
    </row>
    <row r="660" customFormat="false" ht="13.8" hidden="false" customHeight="false" outlineLevel="0" collapsed="false">
      <c r="A660" s="2" t="n">
        <v>40378</v>
      </c>
      <c r="B660" s="0" t="n">
        <v>1071.25</v>
      </c>
      <c r="C660" s="0" t="n">
        <v>225.32</v>
      </c>
      <c r="D660" s="3" t="n">
        <f aca="false">B660*100/B$2</f>
        <v>74.0242958622405</v>
      </c>
      <c r="E660" s="3" t="n">
        <f aca="false">C660*100/C$2</f>
        <v>95.7586060348491</v>
      </c>
      <c r="F660" s="0" t="n">
        <v>72.5883799994472</v>
      </c>
      <c r="G660" s="0" t="n">
        <v>90.678119653762</v>
      </c>
      <c r="H660" s="0" t="n">
        <v>91.1092222694433</v>
      </c>
      <c r="I660" s="0" t="n">
        <v>0.431102615681283</v>
      </c>
    </row>
    <row r="661" customFormat="false" ht="13.8" hidden="false" customHeight="false" outlineLevel="0" collapsed="false">
      <c r="A661" s="2" t="n">
        <v>40379</v>
      </c>
      <c r="B661" s="0" t="n">
        <v>1083.48</v>
      </c>
      <c r="C661" s="0" t="n">
        <v>225.84</v>
      </c>
      <c r="D661" s="3" t="n">
        <f aca="false">B661*100/B$2</f>
        <v>74.8693993753282</v>
      </c>
      <c r="E661" s="3" t="n">
        <f aca="false">C661*100/C$2</f>
        <v>95.9796005099873</v>
      </c>
      <c r="F661" s="0" t="n">
        <v>73.3851129108046</v>
      </c>
      <c r="G661" s="0" t="n">
        <v>90.9442604857825</v>
      </c>
      <c r="H661" s="0" t="n">
        <v>91.8317042073948</v>
      </c>
      <c r="I661" s="0" t="n">
        <v>0.887443721612328</v>
      </c>
    </row>
    <row r="662" customFormat="false" ht="13.8" hidden="false" customHeight="false" outlineLevel="0" collapsed="false">
      <c r="A662" s="2" t="n">
        <v>40380</v>
      </c>
      <c r="B662" s="0" t="n">
        <v>1069.59</v>
      </c>
      <c r="C662" s="0" t="n">
        <v>227.88</v>
      </c>
      <c r="D662" s="3" t="n">
        <f aca="false">B662*100/B$2</f>
        <v>73.9095884352801</v>
      </c>
      <c r="E662" s="3" t="n">
        <f aca="false">C662*100/C$2</f>
        <v>96.8465788355291</v>
      </c>
      <c r="F662" s="0" t="n">
        <v>72.9490864866359</v>
      </c>
      <c r="G662" s="0" t="n">
        <v>90.7986101258476</v>
      </c>
      <c r="H662" s="0" t="n">
        <v>91.483212919677</v>
      </c>
      <c r="I662" s="0" t="n">
        <v>0.684602793829427</v>
      </c>
    </row>
    <row r="663" customFormat="false" ht="13.8" hidden="false" customHeight="false" outlineLevel="0" collapsed="false">
      <c r="A663" s="2" t="n">
        <v>40381</v>
      </c>
      <c r="B663" s="0" t="n">
        <v>1093.67</v>
      </c>
      <c r="C663" s="0" t="n">
        <v>226.23</v>
      </c>
      <c r="D663" s="3" t="n">
        <f aca="false">B663*100/B$2</f>
        <v>75.573537134802</v>
      </c>
      <c r="E663" s="3" t="n">
        <f aca="false">C663*100/C$2</f>
        <v>96.1453463663408</v>
      </c>
      <c r="F663" s="0" t="n">
        <v>75.1015782636336</v>
      </c>
      <c r="G663" s="0" t="n">
        <v>91.5176289391553</v>
      </c>
      <c r="H663" s="0" t="n">
        <v>91.6829579260518</v>
      </c>
      <c r="I663" s="0" t="n">
        <v>0.165328986896526</v>
      </c>
    </row>
    <row r="664" customFormat="false" ht="13.8" hidden="false" customHeight="false" outlineLevel="0" collapsed="false">
      <c r="A664" s="2" t="n">
        <v>40382</v>
      </c>
      <c r="B664" s="0" t="n">
        <v>1102.66</v>
      </c>
      <c r="C664" s="0" t="n">
        <v>229.5</v>
      </c>
      <c r="D664" s="3" t="n">
        <f aca="false">B664*100/B$2</f>
        <v>76.1947538627381</v>
      </c>
      <c r="E664" s="3" t="n">
        <f aca="false">C664*100/C$2</f>
        <v>97.5350616234594</v>
      </c>
      <c r="F664" s="0" t="n">
        <v>75.4304983553995</v>
      </c>
      <c r="G664" s="0" t="n">
        <v>91.6275014769192</v>
      </c>
      <c r="H664" s="0" t="n">
        <v>93.1661708457289</v>
      </c>
      <c r="I664" s="0" t="n">
        <v>1.53866936880966</v>
      </c>
    </row>
    <row r="665" customFormat="false" ht="13.8" hidden="false" customHeight="false" outlineLevel="0" collapsed="false">
      <c r="A665" s="2" t="n">
        <v>40385</v>
      </c>
      <c r="B665" s="0" t="n">
        <v>1115.01</v>
      </c>
      <c r="C665" s="0" t="n">
        <v>230.87</v>
      </c>
      <c r="D665" s="3" t="n">
        <f aca="false">B665*100/B$2</f>
        <v>77.0481494789795</v>
      </c>
      <c r="E665" s="3" t="n">
        <f aca="false">C665*100/C$2</f>
        <v>98.1172970675733</v>
      </c>
      <c r="F665" s="0" t="n">
        <v>75.2943696619586</v>
      </c>
      <c r="G665" s="0" t="n">
        <v>91.5820290190631</v>
      </c>
      <c r="H665" s="0" t="n">
        <v>94.1053973650659</v>
      </c>
      <c r="I665" s="0" t="n">
        <v>2.52336834600273</v>
      </c>
    </row>
    <row r="666" customFormat="false" ht="13.8" hidden="false" customHeight="false" outlineLevel="0" collapsed="false">
      <c r="A666" s="2" t="n">
        <v>40386</v>
      </c>
      <c r="B666" s="0" t="n">
        <v>1113.84</v>
      </c>
      <c r="C666" s="0" t="n">
        <v>230.93</v>
      </c>
      <c r="D666" s="3" t="n">
        <f aca="false">B666*100/B$2</f>
        <v>76.9673014732303</v>
      </c>
      <c r="E666" s="3" t="n">
        <f aca="false">C666*100/C$2</f>
        <v>98.1427964300893</v>
      </c>
      <c r="F666" s="0" t="n">
        <v>77.0633516680948</v>
      </c>
      <c r="G666" s="0" t="n">
        <v>92.1729401465327</v>
      </c>
      <c r="H666" s="0" t="n">
        <v>94.067148321292</v>
      </c>
      <c r="I666" s="0" t="n">
        <v>1.89420817475923</v>
      </c>
    </row>
    <row r="667" customFormat="false" ht="13.8" hidden="false" customHeight="false" outlineLevel="0" collapsed="false">
      <c r="A667" s="2" t="n">
        <v>40387</v>
      </c>
      <c r="B667" s="0" t="n">
        <v>1106.13</v>
      </c>
      <c r="C667" s="0" t="n">
        <v>231.56</v>
      </c>
      <c r="D667" s="3" t="n">
        <f aca="false">B667*100/B$2</f>
        <v>76.434533845601</v>
      </c>
      <c r="E667" s="3" t="n">
        <f aca="false">C667*100/C$2</f>
        <v>98.4105397365066</v>
      </c>
      <c r="F667" s="0" t="n">
        <v>77.0205091351336</v>
      </c>
      <c r="G667" s="0" t="n">
        <v>92.1586290176643</v>
      </c>
      <c r="H667" s="0" t="n">
        <v>94.9171270718232</v>
      </c>
      <c r="I667" s="0" t="n">
        <v>2.75849805415888</v>
      </c>
    </row>
    <row r="668" customFormat="false" ht="13.8" hidden="false" customHeight="false" outlineLevel="0" collapsed="false">
      <c r="A668" s="2" t="n">
        <v>40388</v>
      </c>
      <c r="B668" s="0" t="n">
        <v>1101.53</v>
      </c>
      <c r="C668" s="0" t="n">
        <v>231.16</v>
      </c>
      <c r="D668" s="3" t="n">
        <f aca="false">B668*100/B$2</f>
        <v>76.1166698913735</v>
      </c>
      <c r="E668" s="3" t="n">
        <f aca="false">C668*100/C$2</f>
        <v>98.2405439864003</v>
      </c>
      <c r="F668" s="0" t="n">
        <v>77.1193233643827</v>
      </c>
      <c r="G668" s="0" t="n">
        <v>92.1916369439253</v>
      </c>
      <c r="H668" s="0" t="n">
        <v>94.9638759031024</v>
      </c>
      <c r="I668" s="0" t="n">
        <v>2.77223895917709</v>
      </c>
    </row>
    <row r="669" customFormat="false" ht="13.8" hidden="false" customHeight="false" outlineLevel="0" collapsed="false">
      <c r="A669" s="2" t="n">
        <v>40389</v>
      </c>
      <c r="B669" s="0" t="n">
        <v>1101.6</v>
      </c>
      <c r="C669" s="0" t="n">
        <v>229.25</v>
      </c>
      <c r="D669" s="3" t="n">
        <f aca="false">B669*100/B$2</f>
        <v>76.1215069515465</v>
      </c>
      <c r="E669" s="3" t="n">
        <f aca="false">C669*100/C$2</f>
        <v>97.428814279643</v>
      </c>
      <c r="F669" s="0" t="n">
        <v>77.2209016280163</v>
      </c>
      <c r="G669" s="0" t="n">
        <v>92.225568168823</v>
      </c>
      <c r="H669" s="0" t="n">
        <v>95.0998725031874</v>
      </c>
      <c r="I669" s="0" t="n">
        <v>2.87430433436441</v>
      </c>
    </row>
    <row r="670" customFormat="false" ht="13.8" hidden="false" customHeight="false" outlineLevel="0" collapsed="false">
      <c r="A670" s="2" t="n">
        <v>40392</v>
      </c>
      <c r="B670" s="0" t="n">
        <v>1125.86</v>
      </c>
      <c r="C670" s="0" t="n">
        <v>232.22</v>
      </c>
      <c r="D670" s="3" t="n">
        <f aca="false">B670*100/B$2</f>
        <v>77.7978938057989</v>
      </c>
      <c r="E670" s="3" t="n">
        <f aca="false">C670*100/C$2</f>
        <v>98.6910327241819</v>
      </c>
      <c r="F670" s="0" t="n">
        <v>76.9230769230769</v>
      </c>
      <c r="G670" s="0" t="n">
        <v>92.1260827407217</v>
      </c>
      <c r="H670" s="0" t="n">
        <v>96.7658308542286</v>
      </c>
      <c r="I670" s="0" t="n">
        <v>4.63974811350697</v>
      </c>
    </row>
    <row r="671" customFormat="false" ht="13.8" hidden="false" customHeight="false" outlineLevel="0" collapsed="false">
      <c r="A671" s="2" t="n">
        <v>40393</v>
      </c>
      <c r="B671" s="0" t="n">
        <v>1120.46</v>
      </c>
      <c r="C671" s="0" t="n">
        <v>233.38</v>
      </c>
      <c r="D671" s="3" t="n">
        <f aca="false">B671*100/B$2</f>
        <v>77.4247491638796</v>
      </c>
      <c r="E671" s="3" t="n">
        <f aca="false">C671*100/C$2</f>
        <v>99.18402039949</v>
      </c>
      <c r="F671" s="0" t="n">
        <v>75.68686254457</v>
      </c>
      <c r="G671" s="0" t="n">
        <v>91.7131374254705</v>
      </c>
      <c r="H671" s="0" t="n">
        <v>96.2388440288993</v>
      </c>
      <c r="I671" s="0" t="n">
        <v>4.52570660342883</v>
      </c>
    </row>
    <row r="672" customFormat="false" ht="13.8" hidden="false" customHeight="false" outlineLevel="0" collapsed="false">
      <c r="A672" s="2" t="n">
        <v>40394</v>
      </c>
      <c r="B672" s="0" t="n">
        <v>1127.24</v>
      </c>
      <c r="C672" s="0" t="n">
        <v>233.14</v>
      </c>
      <c r="D672" s="3" t="n">
        <f aca="false">B672*100/B$2</f>
        <v>77.8932529920672</v>
      </c>
      <c r="E672" s="3" t="n">
        <f aca="false">C672*100/C$2</f>
        <v>99.0820229494263</v>
      </c>
      <c r="F672" s="0" t="n">
        <v>75.46090273363</v>
      </c>
      <c r="G672" s="0" t="n">
        <v>91.6376577619226</v>
      </c>
      <c r="H672" s="0" t="n">
        <v>95.8733531661708</v>
      </c>
      <c r="I672" s="0" t="n">
        <v>4.23569540424826</v>
      </c>
    </row>
    <row r="673" customFormat="false" ht="13.8" hidden="false" customHeight="false" outlineLevel="0" collapsed="false">
      <c r="A673" s="2" t="n">
        <v>40395</v>
      </c>
      <c r="B673" s="0" t="n">
        <v>1125.81</v>
      </c>
      <c r="C673" s="0" t="n">
        <v>232.39</v>
      </c>
      <c r="D673" s="3" t="n">
        <f aca="false">B673*100/B$2</f>
        <v>77.7944387628182</v>
      </c>
      <c r="E673" s="3" t="n">
        <f aca="false">C673*100/C$2</f>
        <v>98.763280917977</v>
      </c>
      <c r="F673" s="0" t="n">
        <v>74.1929019597004</v>
      </c>
      <c r="G673" s="0" t="n">
        <v>91.2140945123496</v>
      </c>
      <c r="H673" s="0" t="n">
        <v>96.6638334041649</v>
      </c>
      <c r="I673" s="0" t="n">
        <v>5.44973889181524</v>
      </c>
    </row>
    <row r="674" customFormat="false" ht="13.8" hidden="false" customHeight="false" outlineLevel="0" collapsed="false">
      <c r="A674" s="2" t="n">
        <v>40396</v>
      </c>
      <c r="B674" s="0" t="n">
        <v>1121.64</v>
      </c>
      <c r="C674" s="0" t="n">
        <v>232.35</v>
      </c>
      <c r="D674" s="3" t="n">
        <f aca="false">B674*100/B$2</f>
        <v>77.506288178225</v>
      </c>
      <c r="E674" s="3" t="n">
        <f aca="false">C674*100/C$2</f>
        <v>98.7462813429664</v>
      </c>
      <c r="F674" s="0" t="n">
        <v>74.4050415987175</v>
      </c>
      <c r="G674" s="0" t="n">
        <v>91.2849576827142</v>
      </c>
      <c r="H674" s="0" t="n">
        <v>95.8903527411815</v>
      </c>
      <c r="I674" s="0" t="n">
        <v>4.6053950584673</v>
      </c>
    </row>
    <row r="675" customFormat="false" ht="13.8" hidden="false" customHeight="false" outlineLevel="0" collapsed="false">
      <c r="A675" s="2" t="n">
        <v>40399</v>
      </c>
      <c r="B675" s="0" t="n">
        <v>1127.79</v>
      </c>
      <c r="C675" s="0" t="n">
        <v>233.14</v>
      </c>
      <c r="D675" s="3" t="n">
        <f aca="false">B675*100/B$2</f>
        <v>77.9312584648553</v>
      </c>
      <c r="E675" s="3" t="n">
        <f aca="false">C675*100/C$2</f>
        <v>99.0820229494263</v>
      </c>
      <c r="F675" s="0" t="n">
        <v>74.2537107161613</v>
      </c>
      <c r="G675" s="0" t="n">
        <v>91.2344070823564</v>
      </c>
      <c r="H675" s="0" t="n">
        <v>95.8563535911602</v>
      </c>
      <c r="I675" s="0" t="n">
        <v>4.6219465088038</v>
      </c>
    </row>
    <row r="676" customFormat="false" ht="13.8" hidden="false" customHeight="false" outlineLevel="0" collapsed="false">
      <c r="A676" s="2" t="n">
        <v>40400</v>
      </c>
      <c r="B676" s="0" t="n">
        <v>1121.06</v>
      </c>
      <c r="C676" s="0" t="n">
        <v>232.04</v>
      </c>
      <c r="D676" s="3" t="n">
        <f aca="false">B676*100/B$2</f>
        <v>77.4662096796484</v>
      </c>
      <c r="E676" s="3" t="n">
        <f aca="false">C676*100/C$2</f>
        <v>98.6145346366341</v>
      </c>
      <c r="F676" s="0" t="n">
        <v>71.9505790652036</v>
      </c>
      <c r="G676" s="0" t="n">
        <v>90.4650684933501</v>
      </c>
      <c r="H676" s="0" t="n">
        <v>94.5771355716107</v>
      </c>
      <c r="I676" s="0" t="n">
        <v>4.11206707826062</v>
      </c>
    </row>
    <row r="677" customFormat="false" ht="13.8" hidden="false" customHeight="false" outlineLevel="0" collapsed="false">
      <c r="A677" s="2" t="n">
        <v>40401</v>
      </c>
      <c r="B677" s="0" t="n">
        <v>1089.47</v>
      </c>
      <c r="C677" s="0" t="n">
        <v>228.98</v>
      </c>
      <c r="D677" s="3" t="n">
        <f aca="false">B677*100/B$2</f>
        <v>75.2833135244202</v>
      </c>
      <c r="E677" s="3" t="n">
        <f aca="false">C677*100/C$2</f>
        <v>97.3140671483213</v>
      </c>
      <c r="F677" s="0" t="n">
        <v>71.2229470134608</v>
      </c>
      <c r="G677" s="0" t="n">
        <v>90.2220101272464</v>
      </c>
      <c r="H677" s="0" t="n">
        <v>93.8589035274118</v>
      </c>
      <c r="I677" s="0" t="n">
        <v>3.63689340016542</v>
      </c>
    </row>
    <row r="678" customFormat="false" ht="13.8" hidden="false" customHeight="false" outlineLevel="0" collapsed="false">
      <c r="A678" s="2" t="n">
        <v>40402</v>
      </c>
      <c r="B678" s="0" t="n">
        <v>1083.61</v>
      </c>
      <c r="C678" s="0" t="n">
        <v>223.96</v>
      </c>
      <c r="D678" s="3" t="n">
        <f aca="false">B678*100/B$2</f>
        <v>74.8783824870781</v>
      </c>
      <c r="E678" s="3" t="n">
        <f aca="false">C678*100/C$2</f>
        <v>95.1806204844879</v>
      </c>
      <c r="F678" s="0" t="n">
        <v>70.9921501423478</v>
      </c>
      <c r="G678" s="0" t="n">
        <v>90.1449146910843</v>
      </c>
      <c r="H678" s="0" t="n">
        <v>92.9239269018274</v>
      </c>
      <c r="I678" s="0" t="n">
        <v>2.7790122107431</v>
      </c>
    </row>
    <row r="679" customFormat="false" ht="13.8" hidden="false" customHeight="false" outlineLevel="0" collapsed="false">
      <c r="A679" s="2" t="n">
        <v>40403</v>
      </c>
      <c r="B679" s="0" t="n">
        <v>1079.25</v>
      </c>
      <c r="C679" s="0" t="n">
        <v>227.01</v>
      </c>
      <c r="D679" s="3" t="n">
        <f aca="false">B679*100/B$2</f>
        <v>74.5771027391581</v>
      </c>
      <c r="E679" s="3" t="n">
        <f aca="false">C679*100/C$2</f>
        <v>96.476838079048</v>
      </c>
      <c r="F679" s="0" t="n">
        <v>70.6611570247934</v>
      </c>
      <c r="G679" s="0" t="n">
        <v>90.034349679343</v>
      </c>
      <c r="H679" s="0" t="n">
        <v>92.2269443263918</v>
      </c>
      <c r="I679" s="0" t="n">
        <v>2.19259464704888</v>
      </c>
    </row>
    <row r="680" customFormat="false" ht="13.8" hidden="false" customHeight="false" outlineLevel="0" collapsed="false">
      <c r="A680" s="2" t="n">
        <v>40406</v>
      </c>
      <c r="B680" s="0" t="n">
        <v>1079.38</v>
      </c>
      <c r="C680" s="0" t="n">
        <v>226.51</v>
      </c>
      <c r="D680" s="3" t="n">
        <f aca="false">B680*100/B$2</f>
        <v>74.586085850908</v>
      </c>
      <c r="E680" s="3" t="n">
        <f aca="false">C680*100/C$2</f>
        <v>96.2643433914152</v>
      </c>
      <c r="F680" s="0" t="n">
        <v>70.6611570247934</v>
      </c>
      <c r="G680" s="0" t="n">
        <v>90.034349679343</v>
      </c>
      <c r="H680" s="0" t="n">
        <v>92.422439439014</v>
      </c>
      <c r="I680" s="0" t="n">
        <v>2.38808975967106</v>
      </c>
    </row>
    <row r="681" customFormat="false" ht="13.8" hidden="false" customHeight="false" outlineLevel="0" collapsed="false">
      <c r="A681" s="2" t="n">
        <v>40407</v>
      </c>
      <c r="B681" s="0" t="n">
        <v>1092.54</v>
      </c>
      <c r="C681" s="0" t="n">
        <v>227.96</v>
      </c>
      <c r="D681" s="3" t="n">
        <f aca="false">B681*100/B$2</f>
        <v>75.4954531634373</v>
      </c>
      <c r="E681" s="3" t="n">
        <f aca="false">C681*100/C$2</f>
        <v>96.8805779855504</v>
      </c>
      <c r="F681" s="0" t="n">
        <v>71.0398297354819</v>
      </c>
      <c r="G681" s="0" t="n">
        <v>90.1608415925669</v>
      </c>
      <c r="H681" s="0" t="n">
        <v>93.1236719082023</v>
      </c>
      <c r="I681" s="0" t="n">
        <v>2.96283031563539</v>
      </c>
    </row>
    <row r="682" customFormat="false" ht="13.8" hidden="false" customHeight="false" outlineLevel="0" collapsed="false">
      <c r="A682" s="2" t="n">
        <v>40408</v>
      </c>
      <c r="B682" s="0" t="n">
        <v>1094.16</v>
      </c>
      <c r="C682" s="0" t="n">
        <v>228.9</v>
      </c>
      <c r="D682" s="3" t="n">
        <f aca="false">B682*100/B$2</f>
        <v>75.6073965560132</v>
      </c>
      <c r="E682" s="3" t="n">
        <f aca="false">C682*100/C$2</f>
        <v>97.2800679983</v>
      </c>
      <c r="F682" s="0" t="n">
        <v>73.2655684236712</v>
      </c>
      <c r="G682" s="0" t="n">
        <v>90.9043278197465</v>
      </c>
      <c r="H682" s="0" t="n">
        <v>92.4139396515087</v>
      </c>
      <c r="I682" s="0" t="n">
        <v>1.50961183176227</v>
      </c>
    </row>
    <row r="683" customFormat="false" ht="13.8" hidden="false" customHeight="false" outlineLevel="0" collapsed="false">
      <c r="A683" s="2" t="n">
        <v>40409</v>
      </c>
      <c r="B683" s="0" t="n">
        <v>1075.63</v>
      </c>
      <c r="C683" s="0" t="n">
        <v>231.88</v>
      </c>
      <c r="D683" s="3" t="n">
        <f aca="false">B683*100/B$2</f>
        <v>74.3269576273529</v>
      </c>
      <c r="E683" s="3" t="n">
        <f aca="false">C683*100/C$2</f>
        <v>98.5465363365916</v>
      </c>
      <c r="F683" s="0" t="n">
        <v>73.9551950026258</v>
      </c>
      <c r="G683" s="0" t="n">
        <v>91.1346908295959</v>
      </c>
      <c r="H683" s="0" t="n">
        <v>93.8291542711432</v>
      </c>
      <c r="I683" s="0" t="n">
        <v>2.6944634415473</v>
      </c>
    </row>
    <row r="684" customFormat="false" ht="13.8" hidden="false" customHeight="false" outlineLevel="0" collapsed="false">
      <c r="A684" s="2" t="n">
        <v>40410</v>
      </c>
      <c r="B684" s="0" t="n">
        <v>1071.69</v>
      </c>
      <c r="C684" s="0" t="n">
        <v>231.17</v>
      </c>
      <c r="D684" s="3" t="n">
        <f aca="false">B684*100/B$2</f>
        <v>74.054700240471</v>
      </c>
      <c r="E684" s="3" t="n">
        <f aca="false">C684*100/C$2</f>
        <v>98.244793880153</v>
      </c>
      <c r="F684" s="0" t="n">
        <v>74.4879626302551</v>
      </c>
      <c r="G684" s="0" t="n">
        <v>91.3126566418143</v>
      </c>
      <c r="H684" s="0" t="n">
        <v>95.3846153846154</v>
      </c>
      <c r="I684" s="0" t="n">
        <v>4.07195874280109</v>
      </c>
    </row>
    <row r="685" customFormat="false" ht="13.8" hidden="false" customHeight="false" outlineLevel="0" collapsed="false">
      <c r="A685" s="2" t="n">
        <v>40413</v>
      </c>
      <c r="B685" s="0" t="n">
        <v>1067.36</v>
      </c>
      <c r="C685" s="0" t="n">
        <v>230.2</v>
      </c>
      <c r="D685" s="3" t="n">
        <f aca="false">B685*100/B$2</f>
        <v>73.7554935183394</v>
      </c>
      <c r="E685" s="3" t="n">
        <f aca="false">C685*100/C$2</f>
        <v>97.8325541861453</v>
      </c>
      <c r="F685" s="0" t="n">
        <v>74.5425523093507</v>
      </c>
      <c r="G685" s="0" t="n">
        <v>91.3308917898886</v>
      </c>
      <c r="H685" s="0" t="n">
        <v>95.9881002974926</v>
      </c>
      <c r="I685" s="0" t="n">
        <v>4.65720850760401</v>
      </c>
    </row>
    <row r="686" customFormat="false" ht="13.8" hidden="false" customHeight="false" outlineLevel="0" collapsed="false">
      <c r="A686" s="2" t="n">
        <v>40414</v>
      </c>
      <c r="B686" s="0" t="n">
        <v>1051.87</v>
      </c>
      <c r="C686" s="0" t="n">
        <v>229.42</v>
      </c>
      <c r="D686" s="3" t="n">
        <f aca="false">B686*100/B$2</f>
        <v>72.6851212029078</v>
      </c>
      <c r="E686" s="3" t="n">
        <f aca="false">C686*100/C$2</f>
        <v>97.5010624734382</v>
      </c>
      <c r="F686" s="0" t="n">
        <v>75.6889355703585</v>
      </c>
      <c r="G686" s="0" t="n">
        <v>91.713829899448</v>
      </c>
      <c r="H686" s="0" t="n">
        <v>96.1070973225669</v>
      </c>
      <c r="I686" s="0" t="n">
        <v>4.39326742311897</v>
      </c>
    </row>
    <row r="687" customFormat="false" ht="13.8" hidden="false" customHeight="false" outlineLevel="0" collapsed="false">
      <c r="A687" s="2" t="n">
        <v>40415</v>
      </c>
      <c r="B687" s="0" t="n">
        <v>1055.33</v>
      </c>
      <c r="C687" s="0" t="n">
        <v>225.99</v>
      </c>
      <c r="D687" s="3" t="n">
        <f aca="false">B687*100/B$2</f>
        <v>72.9242101771746</v>
      </c>
      <c r="E687" s="3" t="n">
        <f aca="false">C687*100/C$2</f>
        <v>96.0433489162771</v>
      </c>
      <c r="F687" s="0" t="n">
        <v>75.677188424224</v>
      </c>
      <c r="G687" s="0" t="n">
        <v>91.7099058802421</v>
      </c>
      <c r="H687" s="0" t="n">
        <v>97.4373140671483</v>
      </c>
      <c r="I687" s="0" t="n">
        <v>5.72740818690622</v>
      </c>
    </row>
    <row r="688" customFormat="false" ht="13.8" hidden="false" customHeight="false" outlineLevel="0" collapsed="false">
      <c r="A688" s="2" t="n">
        <v>40416</v>
      </c>
      <c r="B688" s="0" t="n">
        <v>1047.22</v>
      </c>
      <c r="C688" s="0" t="n">
        <v>225.39</v>
      </c>
      <c r="D688" s="3" t="n">
        <f aca="false">B688*100/B$2</f>
        <v>72.3638022056994</v>
      </c>
      <c r="E688" s="3" t="n">
        <f aca="false">C688*100/C$2</f>
        <v>95.7883552911177</v>
      </c>
      <c r="F688" s="0" t="n">
        <v>75.7677105503192</v>
      </c>
      <c r="G688" s="0" t="n">
        <v>91.7401439105931</v>
      </c>
      <c r="H688" s="0" t="n">
        <v>97.0633234169146</v>
      </c>
      <c r="I688" s="0" t="n">
        <v>5.32317950632148</v>
      </c>
    </row>
    <row r="689" customFormat="false" ht="13.8" hidden="false" customHeight="false" outlineLevel="0" collapsed="false">
      <c r="A689" s="2" t="n">
        <v>40417</v>
      </c>
      <c r="B689" s="0" t="n">
        <v>1064.59</v>
      </c>
      <c r="C689" s="0" t="n">
        <v>225.52</v>
      </c>
      <c r="D689" s="3" t="n">
        <f aca="false">B689*100/B$2</f>
        <v>73.5640841372067</v>
      </c>
      <c r="E689" s="3" t="n">
        <f aca="false">C689*100/C$2</f>
        <v>95.8436039099022</v>
      </c>
      <c r="F689" s="0" t="n">
        <v>73.5841233864949</v>
      </c>
      <c r="G689" s="0" t="n">
        <v>91.0107379876228</v>
      </c>
      <c r="H689" s="0" t="n">
        <v>96.1920951976201</v>
      </c>
      <c r="I689" s="0" t="n">
        <v>5.18135720999725</v>
      </c>
    </row>
    <row r="690" customFormat="false" ht="13.8" hidden="false" customHeight="false" outlineLevel="0" collapsed="false">
      <c r="A690" s="2" t="n">
        <v>40420</v>
      </c>
      <c r="B690" s="0" t="n">
        <v>1048.92</v>
      </c>
      <c r="C690" s="0" t="n">
        <v>229.63</v>
      </c>
      <c r="D690" s="3" t="n">
        <f aca="false">B690*100/B$2</f>
        <v>72.4812736670444</v>
      </c>
      <c r="E690" s="3" t="n">
        <f aca="false">C690*100/C$2</f>
        <v>97.590310242244</v>
      </c>
      <c r="F690" s="0" t="n">
        <v>74.0242958622405</v>
      </c>
      <c r="G690" s="0" t="n">
        <v>91.1577732955127</v>
      </c>
      <c r="H690" s="0" t="n">
        <v>95.7586060348491</v>
      </c>
      <c r="I690" s="0" t="n">
        <v>4.60083273933643</v>
      </c>
    </row>
    <row r="691" customFormat="false" ht="13.8" hidden="false" customHeight="false" outlineLevel="0" collapsed="false">
      <c r="A691" s="2" t="n">
        <v>40421</v>
      </c>
      <c r="B691" s="0" t="n">
        <v>1049.33</v>
      </c>
      <c r="C691" s="0" t="n">
        <v>226.81</v>
      </c>
      <c r="D691" s="3" t="n">
        <f aca="false">B691*100/B$2</f>
        <v>72.5096050194864</v>
      </c>
      <c r="E691" s="3" t="n">
        <f aca="false">C691*100/C$2</f>
        <v>96.3918402039949</v>
      </c>
      <c r="F691" s="0" t="n">
        <v>74.8693993753282</v>
      </c>
      <c r="G691" s="0" t="n">
        <v>91.4400718536749</v>
      </c>
      <c r="H691" s="0" t="n">
        <v>95.9796005099873</v>
      </c>
      <c r="I691" s="0" t="n">
        <v>4.53952865631231</v>
      </c>
    </row>
    <row r="692" customFormat="false" ht="13.8" hidden="false" customHeight="false" outlineLevel="0" collapsed="false">
      <c r="A692" s="2" t="n">
        <v>40422</v>
      </c>
      <c r="B692" s="0" t="n">
        <v>1080.29</v>
      </c>
      <c r="C692" s="0" t="n">
        <v>229.41</v>
      </c>
      <c r="D692" s="3" t="n">
        <f aca="false">B692*100/B$2</f>
        <v>74.6489676331574</v>
      </c>
      <c r="E692" s="3" t="n">
        <f aca="false">C692*100/C$2</f>
        <v>97.4968125796855</v>
      </c>
      <c r="F692" s="0" t="n">
        <v>73.9095884352801</v>
      </c>
      <c r="G692" s="0" t="n">
        <v>91.1194564020908</v>
      </c>
      <c r="H692" s="0" t="n">
        <v>96.8465788355291</v>
      </c>
      <c r="I692" s="0" t="n">
        <v>5.72712243343827</v>
      </c>
    </row>
    <row r="693" customFormat="false" ht="13.8" hidden="false" customHeight="false" outlineLevel="0" collapsed="false">
      <c r="A693" s="2" t="n">
        <v>40423</v>
      </c>
      <c r="B693" s="0" t="n">
        <v>1090.1</v>
      </c>
      <c r="C693" s="0" t="n">
        <v>230.66</v>
      </c>
      <c r="D693" s="3" t="n">
        <f aca="false">B693*100/B$2</f>
        <v>75.3268470659775</v>
      </c>
      <c r="E693" s="3" t="n">
        <f aca="false">C693*100/C$2</f>
        <v>98.0280492987675</v>
      </c>
      <c r="F693" s="0" t="n">
        <v>75.573537134802</v>
      </c>
      <c r="G693" s="0" t="n">
        <v>91.6752821813669</v>
      </c>
      <c r="H693" s="0" t="n">
        <v>96.1453463663408</v>
      </c>
      <c r="I693" s="0" t="n">
        <v>4.47006418497391</v>
      </c>
    </row>
    <row r="694" customFormat="false" ht="13.8" hidden="false" customHeight="false" outlineLevel="0" collapsed="false">
      <c r="A694" s="2" t="n">
        <v>40424</v>
      </c>
      <c r="B694" s="0" t="n">
        <v>1104.51</v>
      </c>
      <c r="C694" s="0" t="n">
        <v>231.04</v>
      </c>
      <c r="D694" s="3" t="n">
        <f aca="false">B694*100/B$2</f>
        <v>76.3225904530252</v>
      </c>
      <c r="E694" s="3" t="n">
        <f aca="false">C694*100/C$2</f>
        <v>98.1895452613685</v>
      </c>
      <c r="F694" s="0" t="n">
        <v>76.1947538627381</v>
      </c>
      <c r="G694" s="0" t="n">
        <v>91.8827935499588</v>
      </c>
      <c r="H694" s="0" t="n">
        <v>97.5350616234594</v>
      </c>
      <c r="I694" s="0" t="n">
        <v>5.65226807350062</v>
      </c>
    </row>
    <row r="695" customFormat="false" ht="13.8" hidden="false" customHeight="false" outlineLevel="0" collapsed="false">
      <c r="A695" s="2" t="n">
        <v>40427</v>
      </c>
      <c r="B695" s="0" t="n">
        <v>1104.51</v>
      </c>
      <c r="C695" s="0" t="n">
        <v>232.77</v>
      </c>
      <c r="D695" s="3" t="n">
        <f aca="false">B695*100/B$2</f>
        <v>76.3225904530252</v>
      </c>
      <c r="E695" s="3" t="n">
        <f aca="false">C695*100/C$2</f>
        <v>98.924776880578</v>
      </c>
      <c r="F695" s="0" t="n">
        <v>77.0481494789795</v>
      </c>
      <c r="G695" s="0" t="n">
        <v>92.167862004031</v>
      </c>
      <c r="H695" s="0" t="n">
        <v>98.1172970675733</v>
      </c>
      <c r="I695" s="0" t="n">
        <v>5.94943506354227</v>
      </c>
    </row>
    <row r="696" customFormat="false" ht="13.8" hidden="false" customHeight="false" outlineLevel="0" collapsed="false">
      <c r="A696" s="2" t="n">
        <v>40428</v>
      </c>
      <c r="B696" s="0" t="n">
        <v>1091.84</v>
      </c>
      <c r="C696" s="0" t="n">
        <v>232.45</v>
      </c>
      <c r="D696" s="3" t="n">
        <f aca="false">B696*100/B$2</f>
        <v>75.4470825617071</v>
      </c>
      <c r="E696" s="3" t="n">
        <f aca="false">C696*100/C$2</f>
        <v>98.788780280493</v>
      </c>
      <c r="F696" s="0" t="n">
        <v>76.9673014732303</v>
      </c>
      <c r="G696" s="0" t="n">
        <v>92.1408555189084</v>
      </c>
      <c r="H696" s="0" t="n">
        <v>98.1427964300893</v>
      </c>
      <c r="I696" s="0" t="n">
        <v>6.00194091118084</v>
      </c>
    </row>
    <row r="697" customFormat="false" ht="13.8" hidden="false" customHeight="false" outlineLevel="0" collapsed="false">
      <c r="A697" s="2" t="n">
        <v>40429</v>
      </c>
      <c r="B697" s="0" t="n">
        <v>1098.87</v>
      </c>
      <c r="C697" s="0" t="n">
        <v>230.94</v>
      </c>
      <c r="D697" s="3" t="n">
        <f aca="false">B697*100/B$2</f>
        <v>75.9328616047984</v>
      </c>
      <c r="E697" s="3" t="n">
        <f aca="false">C697*100/C$2</f>
        <v>98.1470463238419</v>
      </c>
      <c r="F697" s="0" t="n">
        <v>76.434533845601</v>
      </c>
      <c r="G697" s="0" t="n">
        <v>91.96288970669</v>
      </c>
      <c r="H697" s="0" t="n">
        <v>98.4105397365066</v>
      </c>
      <c r="I697" s="0" t="n">
        <v>6.44765002981656</v>
      </c>
    </row>
    <row r="698" customFormat="false" ht="13.8" hidden="false" customHeight="false" outlineLevel="0" collapsed="false">
      <c r="A698" s="2" t="n">
        <v>40430</v>
      </c>
      <c r="B698" s="0" t="n">
        <v>1104.18</v>
      </c>
      <c r="C698" s="0" t="n">
        <v>231.53</v>
      </c>
      <c r="D698" s="3" t="n">
        <f aca="false">B698*100/B$2</f>
        <v>76.2997871693524</v>
      </c>
      <c r="E698" s="3" t="n">
        <f aca="false">C698*100/C$2</f>
        <v>98.3977900552486</v>
      </c>
      <c r="F698" s="0" t="n">
        <v>76.1166698913735</v>
      </c>
      <c r="G698" s="0" t="n">
        <v>91.8567103634728</v>
      </c>
      <c r="H698" s="0" t="n">
        <v>98.2405439864003</v>
      </c>
      <c r="I698" s="0" t="n">
        <v>6.38383362292751</v>
      </c>
    </row>
    <row r="699" customFormat="false" ht="13.8" hidden="false" customHeight="false" outlineLevel="0" collapsed="false">
      <c r="A699" s="2" t="n">
        <v>40431</v>
      </c>
      <c r="B699" s="0" t="n">
        <v>1109.55</v>
      </c>
      <c r="C699" s="0" t="n">
        <v>233.93</v>
      </c>
      <c r="D699" s="3" t="n">
        <f aca="false">B699*100/B$2</f>
        <v>76.6708587854833</v>
      </c>
      <c r="E699" s="3" t="n">
        <f aca="false">C699*100/C$2</f>
        <v>99.4177645558861</v>
      </c>
      <c r="F699" s="0" t="n">
        <v>76.1215069515465</v>
      </c>
      <c r="G699" s="0" t="n">
        <v>91.858326136087</v>
      </c>
      <c r="H699" s="0" t="n">
        <v>97.428814279643</v>
      </c>
      <c r="I699" s="0" t="n">
        <v>5.57048814355601</v>
      </c>
    </row>
    <row r="700" customFormat="false" ht="13.8" hidden="false" customHeight="false" outlineLevel="0" collapsed="false">
      <c r="A700" s="2" t="n">
        <v>40434</v>
      </c>
      <c r="B700" s="0" t="n">
        <v>1121.9</v>
      </c>
      <c r="C700" s="0" t="n">
        <v>236.34</v>
      </c>
      <c r="D700" s="3" t="n">
        <f aca="false">B700*100/B$2</f>
        <v>77.5242544017248</v>
      </c>
      <c r="E700" s="3" t="n">
        <f aca="false">C700*100/C$2</f>
        <v>100.441988950276</v>
      </c>
      <c r="F700" s="0" t="n">
        <v>77.7978938057989</v>
      </c>
      <c r="G700" s="0" t="n">
        <v>92.4183067592281</v>
      </c>
      <c r="H700" s="0" t="n">
        <v>98.6910327241819</v>
      </c>
      <c r="I700" s="0" t="n">
        <v>6.27272596495378</v>
      </c>
    </row>
    <row r="701" customFormat="false" ht="13.8" hidden="false" customHeight="false" outlineLevel="0" collapsed="false">
      <c r="A701" s="2" t="n">
        <v>40435</v>
      </c>
      <c r="B701" s="0" t="n">
        <v>1121.1</v>
      </c>
      <c r="C701" s="0" t="n">
        <v>235.98</v>
      </c>
      <c r="D701" s="3" t="n">
        <f aca="false">B701*100/B$2</f>
        <v>77.468973714033</v>
      </c>
      <c r="E701" s="3" t="n">
        <f aca="false">C701*100/C$2</f>
        <v>100.288992775181</v>
      </c>
      <c r="F701" s="0" t="n">
        <v>77.4247491638796</v>
      </c>
      <c r="G701" s="0" t="n">
        <v>92.2936614432775</v>
      </c>
      <c r="H701" s="0" t="n">
        <v>99.18402039949</v>
      </c>
      <c r="I701" s="0" t="n">
        <v>6.89035895621251</v>
      </c>
    </row>
    <row r="702" customFormat="false" ht="13.8" hidden="false" customHeight="false" outlineLevel="0" collapsed="false">
      <c r="A702" s="2" t="n">
        <v>40436</v>
      </c>
      <c r="B702" s="0" t="n">
        <v>1125.07</v>
      </c>
      <c r="C702" s="0" t="n">
        <v>237.14</v>
      </c>
      <c r="D702" s="3" t="n">
        <f aca="false">B702*100/B$2</f>
        <v>77.7433041267033</v>
      </c>
      <c r="E702" s="3" t="n">
        <f aca="false">C702*100/C$2</f>
        <v>100.781980450489</v>
      </c>
      <c r="F702" s="0" t="n">
        <v>77.8932529920672</v>
      </c>
      <c r="G702" s="0" t="n">
        <v>92.4501605621933</v>
      </c>
      <c r="H702" s="0" t="n">
        <v>99.0820229494263</v>
      </c>
      <c r="I702" s="0" t="n">
        <v>6.63186238723299</v>
      </c>
    </row>
    <row r="703" customFormat="false" ht="13.8" hidden="false" customHeight="false" outlineLevel="0" collapsed="false">
      <c r="A703" s="2" t="n">
        <v>40437</v>
      </c>
      <c r="B703" s="0" t="n">
        <v>1124.66</v>
      </c>
      <c r="C703" s="0" t="n">
        <v>235.37</v>
      </c>
      <c r="D703" s="3" t="n">
        <f aca="false">B703*100/B$2</f>
        <v>77.7149727742613</v>
      </c>
      <c r="E703" s="3" t="n">
        <f aca="false">C703*100/C$2</f>
        <v>100.029749256269</v>
      </c>
      <c r="F703" s="0" t="n">
        <v>77.7944387628182</v>
      </c>
      <c r="G703" s="0" t="n">
        <v>92.4171526359323</v>
      </c>
      <c r="H703" s="0" t="n">
        <v>98.763280917977</v>
      </c>
      <c r="I703" s="0" t="n">
        <v>6.34612828204476</v>
      </c>
    </row>
    <row r="704" customFormat="false" ht="13.8" hidden="false" customHeight="false" outlineLevel="0" collapsed="false">
      <c r="A704" s="2" t="n">
        <v>40438</v>
      </c>
      <c r="B704" s="0" t="n">
        <v>1125.59</v>
      </c>
      <c r="C704" s="0" t="n">
        <v>237.64</v>
      </c>
      <c r="D704" s="3" t="n">
        <f aca="false">B704*100/B$2</f>
        <v>77.779236573703</v>
      </c>
      <c r="E704" s="3" t="n">
        <f aca="false">C704*100/C$2</f>
        <v>100.994475138122</v>
      </c>
      <c r="F704" s="0" t="n">
        <v>77.506288178225</v>
      </c>
      <c r="G704" s="0" t="n">
        <v>92.3208987530593</v>
      </c>
      <c r="H704" s="0" t="n">
        <v>98.7462813429664</v>
      </c>
      <c r="I704" s="0" t="n">
        <v>6.42538258990712</v>
      </c>
    </row>
    <row r="705" customFormat="false" ht="13.8" hidden="false" customHeight="false" outlineLevel="0" collapsed="false">
      <c r="A705" s="2" t="n">
        <v>40441</v>
      </c>
      <c r="B705" s="0" t="n">
        <v>1142.71</v>
      </c>
      <c r="C705" s="0" t="n">
        <v>238.29</v>
      </c>
      <c r="D705" s="3" t="n">
        <f aca="false">B705*100/B$2</f>
        <v>78.9622432903065</v>
      </c>
      <c r="E705" s="3" t="n">
        <f aca="false">C705*100/C$2</f>
        <v>101.270718232044</v>
      </c>
      <c r="F705" s="0" t="n">
        <v>77.9312584648553</v>
      </c>
      <c r="G705" s="0" t="n">
        <v>92.4628559184475</v>
      </c>
      <c r="H705" s="0" t="n">
        <v>99.0820229494263</v>
      </c>
      <c r="I705" s="0" t="n">
        <v>6.61916703097876</v>
      </c>
    </row>
    <row r="706" customFormat="false" ht="13.8" hidden="false" customHeight="false" outlineLevel="0" collapsed="false">
      <c r="A706" s="2" t="n">
        <v>40442</v>
      </c>
      <c r="B706" s="0" t="n">
        <v>1139.78</v>
      </c>
      <c r="C706" s="0" t="n">
        <v>238.29</v>
      </c>
      <c r="D706" s="3" t="n">
        <f aca="false">B706*100/B$2</f>
        <v>78.7597777716355</v>
      </c>
      <c r="E706" s="3" t="n">
        <f aca="false">C706*100/C$2</f>
        <v>101.270718232044</v>
      </c>
      <c r="F706" s="0" t="n">
        <v>77.4662096796484</v>
      </c>
      <c r="G706" s="0" t="n">
        <v>92.3075109228276</v>
      </c>
      <c r="H706" s="0" t="n">
        <v>98.6145346366341</v>
      </c>
      <c r="I706" s="0" t="n">
        <v>6.3070237138065</v>
      </c>
    </row>
    <row r="707" customFormat="false" ht="13.8" hidden="false" customHeight="false" outlineLevel="0" collapsed="false">
      <c r="A707" s="2" t="n">
        <v>40443</v>
      </c>
      <c r="B707" s="0" t="n">
        <v>1134.28</v>
      </c>
      <c r="C707" s="0" t="n">
        <v>238.29</v>
      </c>
      <c r="D707" s="3" t="n">
        <f aca="false">B707*100/B$2</f>
        <v>78.3797230437547</v>
      </c>
      <c r="E707" s="3" t="n">
        <f aca="false">C707*100/C$2</f>
        <v>101.270718232044</v>
      </c>
      <c r="F707" s="0" t="n">
        <v>75.2833135244202</v>
      </c>
      <c r="G707" s="0" t="n">
        <v>91.5783358245164</v>
      </c>
      <c r="H707" s="0" t="n">
        <v>97.3140671483213</v>
      </c>
      <c r="I707" s="0" t="n">
        <v>5.73573132380484</v>
      </c>
    </row>
    <row r="708" customFormat="false" ht="13.8" hidden="false" customHeight="false" outlineLevel="0" collapsed="false">
      <c r="A708" s="2" t="n">
        <v>40444</v>
      </c>
      <c r="B708" s="0" t="n">
        <v>1124.83</v>
      </c>
      <c r="C708" s="0" t="n">
        <v>238.29</v>
      </c>
      <c r="D708" s="3" t="n">
        <f aca="false">B708*100/B$2</f>
        <v>77.7267199203958</v>
      </c>
      <c r="E708" s="3" t="n">
        <f aca="false">C708*100/C$2</f>
        <v>101.270718232044</v>
      </c>
      <c r="F708" s="0" t="n">
        <v>74.8783824870781</v>
      </c>
      <c r="G708" s="0" t="n">
        <v>91.4430725742441</v>
      </c>
      <c r="H708" s="0" t="n">
        <v>95.1806204844879</v>
      </c>
      <c r="I708" s="0" t="n">
        <v>3.73754791024378</v>
      </c>
    </row>
    <row r="709" customFormat="false" ht="13.8" hidden="false" customHeight="false" outlineLevel="0" collapsed="false">
      <c r="A709" s="2" t="n">
        <v>40445</v>
      </c>
      <c r="B709" s="0" t="n">
        <v>1148.67</v>
      </c>
      <c r="C709" s="0" t="n">
        <v>239.8</v>
      </c>
      <c r="D709" s="3" t="n">
        <f aca="false">B709*100/B$2</f>
        <v>79.3740844136101</v>
      </c>
      <c r="E709" s="3" t="n">
        <f aca="false">C709*100/C$2</f>
        <v>101.912452188695</v>
      </c>
      <c r="F709" s="0" t="n">
        <v>74.5771027391581</v>
      </c>
      <c r="G709" s="0" t="n">
        <v>91.342433022847</v>
      </c>
      <c r="H709" s="0" t="n">
        <v>96.476838079048</v>
      </c>
      <c r="I709" s="0" t="n">
        <v>5.13440505620108</v>
      </c>
    </row>
    <row r="710" customFormat="false" ht="13.8" hidden="false" customHeight="false" outlineLevel="0" collapsed="false">
      <c r="A710" s="2" t="n">
        <v>40448</v>
      </c>
      <c r="B710" s="0" t="n">
        <v>1142.16</v>
      </c>
      <c r="C710" s="0" t="n">
        <v>241.38</v>
      </c>
      <c r="D710" s="3" t="n">
        <f aca="false">B710*100/B$2</f>
        <v>78.9242378175185</v>
      </c>
      <c r="E710" s="3" t="n">
        <f aca="false">C710*100/C$2</f>
        <v>102.583935401615</v>
      </c>
      <c r="F710" s="0" t="n">
        <v>74.586085850908</v>
      </c>
      <c r="G710" s="0" t="n">
        <v>91.3454337434161</v>
      </c>
      <c r="H710" s="0" t="n">
        <v>96.2643433914152</v>
      </c>
      <c r="I710" s="0" t="n">
        <v>4.91890964799909</v>
      </c>
    </row>
    <row r="711" customFormat="false" ht="13.8" hidden="false" customHeight="false" outlineLevel="0" collapsed="false">
      <c r="A711" s="2" t="n">
        <v>40449</v>
      </c>
      <c r="B711" s="0" t="n">
        <v>1147.7</v>
      </c>
      <c r="C711" s="0" t="n">
        <v>240.59</v>
      </c>
      <c r="D711" s="3" t="n">
        <f aca="false">B711*100/B$2</f>
        <v>79.3070565797838</v>
      </c>
      <c r="E711" s="3" t="n">
        <f aca="false">C711*100/C$2</f>
        <v>102.248193795155</v>
      </c>
      <c r="F711" s="0" t="n">
        <v>75.4954531634373</v>
      </c>
      <c r="G711" s="0" t="n">
        <v>91.649198994881</v>
      </c>
      <c r="H711" s="0" t="n">
        <v>96.8805779855504</v>
      </c>
      <c r="I711" s="0" t="n">
        <v>5.23137899066938</v>
      </c>
    </row>
    <row r="712" customFormat="false" ht="13.8" hidden="false" customHeight="false" outlineLevel="0" collapsed="false">
      <c r="A712" s="2" t="n">
        <v>40450</v>
      </c>
      <c r="B712" s="0" t="n">
        <v>1144.73</v>
      </c>
      <c r="C712" s="0" t="n">
        <v>242.27</v>
      </c>
      <c r="D712" s="3" t="n">
        <f aca="false">B712*100/B$2</f>
        <v>79.1018270267282</v>
      </c>
      <c r="E712" s="3" t="n">
        <f aca="false">C712*100/C$2</f>
        <v>102.962175945601</v>
      </c>
      <c r="F712" s="0" t="n">
        <v>75.6073965560132</v>
      </c>
      <c r="G712" s="0" t="n">
        <v>91.6865925896662</v>
      </c>
      <c r="H712" s="0" t="n">
        <v>97.2800679983</v>
      </c>
      <c r="I712" s="0" t="n">
        <v>5.59347540863388</v>
      </c>
    </row>
    <row r="713" customFormat="false" ht="13.8" hidden="false" customHeight="false" outlineLevel="0" collapsed="false">
      <c r="A713" s="2" t="n">
        <v>40451</v>
      </c>
      <c r="B713" s="0" t="n">
        <v>1141.2</v>
      </c>
      <c r="C713" s="0" t="n">
        <v>242.95</v>
      </c>
      <c r="D713" s="3" t="n">
        <f aca="false">B713*100/B$2</f>
        <v>78.8579009922883</v>
      </c>
      <c r="E713" s="3" t="n">
        <f aca="false">C713*100/C$2</f>
        <v>103.251168720782</v>
      </c>
      <c r="F713" s="0" t="n">
        <v>74.3269576273529</v>
      </c>
      <c r="G713" s="0" t="n">
        <v>91.2588744962282</v>
      </c>
      <c r="H713" s="0" t="n">
        <v>98.5465363365916</v>
      </c>
      <c r="I713" s="0" t="n">
        <v>7.28766184036338</v>
      </c>
    </row>
    <row r="714" customFormat="false" ht="13.8" hidden="false" customHeight="false" outlineLevel="0" collapsed="false">
      <c r="A714" s="2" t="n">
        <v>40452</v>
      </c>
      <c r="B714" s="0" t="n">
        <v>1146.24</v>
      </c>
      <c r="C714" s="0" t="n">
        <v>243.49</v>
      </c>
      <c r="D714" s="3" t="n">
        <f aca="false">B714*100/B$2</f>
        <v>79.2061693247464</v>
      </c>
      <c r="E714" s="3" t="n">
        <f aca="false">C714*100/C$2</f>
        <v>103.480662983425</v>
      </c>
      <c r="F714" s="0" t="n">
        <v>74.054700240471</v>
      </c>
      <c r="G714" s="0" t="n">
        <v>91.1679295805161</v>
      </c>
      <c r="H714" s="0" t="n">
        <v>98.244793880153</v>
      </c>
      <c r="I714" s="0" t="n">
        <v>7.07686429963691</v>
      </c>
    </row>
    <row r="715" customFormat="false" ht="13.8" hidden="false" customHeight="false" outlineLevel="0" collapsed="false">
      <c r="A715" s="2" t="n">
        <v>40455</v>
      </c>
      <c r="B715" s="0" t="n">
        <v>1137.03</v>
      </c>
      <c r="C715" s="0" t="n">
        <v>243.99</v>
      </c>
      <c r="D715" s="3" t="n">
        <f aca="false">B715*100/B$2</f>
        <v>78.5697504076951</v>
      </c>
      <c r="E715" s="3" t="n">
        <f aca="false">C715*100/C$2</f>
        <v>103.693157671058</v>
      </c>
      <c r="F715" s="0" t="n">
        <v>73.7554935183394</v>
      </c>
      <c r="G715" s="0" t="n">
        <v>91.0679825030964</v>
      </c>
      <c r="H715" s="0" t="n">
        <v>97.8325541861453</v>
      </c>
      <c r="I715" s="0" t="n">
        <v>6.76457168304893</v>
      </c>
    </row>
    <row r="716" customFormat="false" ht="13.8" hidden="false" customHeight="false" outlineLevel="0" collapsed="false">
      <c r="A716" s="2" t="n">
        <v>40456</v>
      </c>
      <c r="B716" s="0" t="n">
        <v>1160.75</v>
      </c>
      <c r="C716" s="0" t="n">
        <v>244.22</v>
      </c>
      <c r="D716" s="3" t="n">
        <f aca="false">B716*100/B$2</f>
        <v>80.2088227977556</v>
      </c>
      <c r="E716" s="3" t="n">
        <f aca="false">C716*100/C$2</f>
        <v>103.790905227369</v>
      </c>
      <c r="F716" s="0" t="n">
        <v>72.6851212029078</v>
      </c>
      <c r="G716" s="0" t="n">
        <v>90.7104351060455</v>
      </c>
      <c r="H716" s="0" t="n">
        <v>97.5010624734382</v>
      </c>
      <c r="I716" s="0" t="n">
        <v>6.79062736739267</v>
      </c>
    </row>
    <row r="717" customFormat="false" ht="13.8" hidden="false" customHeight="false" outlineLevel="0" collapsed="false">
      <c r="A717" s="2" t="n">
        <v>40457</v>
      </c>
      <c r="B717" s="0" t="n">
        <v>1159.97</v>
      </c>
      <c r="C717" s="0" t="n">
        <v>247.7</v>
      </c>
      <c r="D717" s="3" t="n">
        <f aca="false">B717*100/B$2</f>
        <v>80.1549241272561</v>
      </c>
      <c r="E717" s="3" t="n">
        <f aca="false">C717*100/C$2</f>
        <v>105.269868253294</v>
      </c>
      <c r="F717" s="0" t="n">
        <v>72.9242101771746</v>
      </c>
      <c r="G717" s="0" t="n">
        <v>90.7903004381175</v>
      </c>
      <c r="H717" s="0" t="n">
        <v>96.0433489162771</v>
      </c>
      <c r="I717" s="0" t="n">
        <v>5.25304847815954</v>
      </c>
    </row>
    <row r="718" customFormat="false" ht="13.8" hidden="false" customHeight="false" outlineLevel="0" collapsed="false">
      <c r="A718" s="2" t="n">
        <v>40458</v>
      </c>
      <c r="B718" s="0" t="n">
        <v>1158.06</v>
      </c>
      <c r="C718" s="0" t="n">
        <v>247.22</v>
      </c>
      <c r="D718" s="3" t="n">
        <f aca="false">B718*100/B$2</f>
        <v>80.0229414853921</v>
      </c>
      <c r="E718" s="3" t="n">
        <f aca="false">C718*100/C$2</f>
        <v>105.065873353166</v>
      </c>
      <c r="F718" s="0" t="n">
        <v>72.3638022056994</v>
      </c>
      <c r="G718" s="0" t="n">
        <v>90.6031016395324</v>
      </c>
      <c r="H718" s="0" t="n">
        <v>95.7883552911177</v>
      </c>
      <c r="I718" s="0" t="n">
        <v>5.18525365158527</v>
      </c>
    </row>
    <row r="719" customFormat="false" ht="13.8" hidden="false" customHeight="false" outlineLevel="0" collapsed="false">
      <c r="A719" s="2" t="n">
        <v>40459</v>
      </c>
      <c r="B719" s="0" t="n">
        <v>1165.15</v>
      </c>
      <c r="C719" s="0" t="n">
        <v>246.51</v>
      </c>
      <c r="D719" s="3" t="n">
        <f aca="false">B719*100/B$2</f>
        <v>80.5128665800603</v>
      </c>
      <c r="E719" s="3" t="n">
        <f aca="false">C719*100/C$2</f>
        <v>104.764130896728</v>
      </c>
      <c r="F719" s="0" t="n">
        <v>73.5640841372067</v>
      </c>
      <c r="G719" s="0" t="n">
        <v>91.0040440725069</v>
      </c>
      <c r="H719" s="0" t="n">
        <v>95.8436039099022</v>
      </c>
      <c r="I719" s="0" t="n">
        <v>4.83955983739531</v>
      </c>
    </row>
    <row r="720" customFormat="false" ht="13.8" hidden="false" customHeight="false" outlineLevel="0" collapsed="false">
      <c r="A720" s="2" t="n">
        <v>40462</v>
      </c>
      <c r="B720" s="0" t="n">
        <v>1165.32</v>
      </c>
      <c r="C720" s="0" t="n">
        <v>245.44</v>
      </c>
      <c r="D720" s="3" t="n">
        <f aca="false">B720*100/B$2</f>
        <v>80.5246137261947</v>
      </c>
      <c r="E720" s="3" t="n">
        <f aca="false">C720*100/C$2</f>
        <v>104.309392265193</v>
      </c>
      <c r="F720" s="0" t="n">
        <v>72.4812736670444</v>
      </c>
      <c r="G720" s="0" t="n">
        <v>90.642341831591</v>
      </c>
      <c r="H720" s="0" t="n">
        <v>97.590310242244</v>
      </c>
      <c r="I720" s="0" t="n">
        <v>6.94796841065296</v>
      </c>
    </row>
    <row r="721" customFormat="false" ht="13.8" hidden="false" customHeight="false" outlineLevel="0" collapsed="false">
      <c r="A721" s="2" t="n">
        <v>40463</v>
      </c>
      <c r="B721" s="0" t="n">
        <v>1169.77</v>
      </c>
      <c r="C721" s="0" t="n">
        <v>242.35</v>
      </c>
      <c r="D721" s="3" t="n">
        <f aca="false">B721*100/B$2</f>
        <v>80.8321125514801</v>
      </c>
      <c r="E721" s="3" t="n">
        <f aca="false">C721*100/C$2</f>
        <v>102.996175095623</v>
      </c>
      <c r="F721" s="0" t="n">
        <v>72.5096050194864</v>
      </c>
      <c r="G721" s="0" t="n">
        <v>90.6518056426168</v>
      </c>
      <c r="H721" s="0" t="n">
        <v>96.3918402039949</v>
      </c>
      <c r="I721" s="0" t="n">
        <v>5.74003456137804</v>
      </c>
    </row>
    <row r="722" customFormat="false" ht="13.8" hidden="false" customHeight="false" outlineLevel="0" collapsed="false">
      <c r="A722" s="2" t="n">
        <v>40464</v>
      </c>
      <c r="B722" s="0" t="n">
        <v>1178.1</v>
      </c>
      <c r="C722" s="0" t="n">
        <v>242.99</v>
      </c>
      <c r="D722" s="3" t="n">
        <f aca="false">B722*100/B$2</f>
        <v>81.4077227120705</v>
      </c>
      <c r="E722" s="3" t="n">
        <f aca="false">C722*100/C$2</f>
        <v>103.268168295793</v>
      </c>
      <c r="F722" s="0" t="n">
        <v>74.6489676331574</v>
      </c>
      <c r="G722" s="0" t="n">
        <v>91.3664387874004</v>
      </c>
      <c r="H722" s="0" t="n">
        <v>97.4968125796855</v>
      </c>
      <c r="I722" s="0" t="n">
        <v>6.1303737922851</v>
      </c>
    </row>
    <row r="723" customFormat="false" ht="13.8" hidden="false" customHeight="false" outlineLevel="0" collapsed="false">
      <c r="A723" s="2" t="n">
        <v>40465</v>
      </c>
      <c r="B723" s="0" t="n">
        <v>1173.81</v>
      </c>
      <c r="C723" s="0" t="n">
        <v>246.25</v>
      </c>
      <c r="D723" s="3" t="n">
        <f aca="false">B723*100/B$2</f>
        <v>81.1112800243235</v>
      </c>
      <c r="E723" s="3" t="n">
        <f aca="false">C723*100/C$2</f>
        <v>104.653633659159</v>
      </c>
      <c r="F723" s="0" t="n">
        <v>75.3268470659775</v>
      </c>
      <c r="G723" s="0" t="n">
        <v>91.592877778044</v>
      </c>
      <c r="H723" s="0" t="n">
        <v>98.0280492987675</v>
      </c>
      <c r="I723" s="0" t="n">
        <v>6.4351715207235</v>
      </c>
    </row>
    <row r="724" customFormat="false" ht="13.8" hidden="false" customHeight="false" outlineLevel="0" collapsed="false">
      <c r="A724" s="2" t="n">
        <v>40466</v>
      </c>
      <c r="B724" s="0" t="n">
        <v>1176.19</v>
      </c>
      <c r="C724" s="0" t="n">
        <v>246.56</v>
      </c>
      <c r="D724" s="3" t="n">
        <f aca="false">B724*100/B$2</f>
        <v>81.2757400702065</v>
      </c>
      <c r="E724" s="3" t="n">
        <f aca="false">C724*100/C$2</f>
        <v>104.785380365491</v>
      </c>
      <c r="F724" s="0" t="n">
        <v>76.3225904530252</v>
      </c>
      <c r="G724" s="0" t="n">
        <v>91.9254961119048</v>
      </c>
      <c r="H724" s="0" t="n">
        <v>98.1895452613685</v>
      </c>
      <c r="I724" s="0" t="n">
        <v>6.26404914946363</v>
      </c>
    </row>
    <row r="725" customFormat="false" ht="13.8" hidden="false" customHeight="false" outlineLevel="0" collapsed="false">
      <c r="A725" s="2" t="n">
        <v>40469</v>
      </c>
      <c r="B725" s="0" t="n">
        <v>1184.71</v>
      </c>
      <c r="C725" s="0" t="n">
        <v>242.64</v>
      </c>
      <c r="D725" s="3" t="n">
        <f aca="false">B725*100/B$2</f>
        <v>81.8644793941237</v>
      </c>
      <c r="E725" s="3" t="n">
        <f aca="false">C725*100/C$2</f>
        <v>103.11942201445</v>
      </c>
      <c r="F725" s="0" t="n">
        <v>76.3225904530252</v>
      </c>
      <c r="G725" s="0" t="n">
        <v>91.9254961119048</v>
      </c>
      <c r="H725" s="0" t="n">
        <v>98.924776880578</v>
      </c>
      <c r="I725" s="0" t="n">
        <v>6.99928076867315</v>
      </c>
    </row>
    <row r="726" customFormat="false" ht="13.8" hidden="false" customHeight="false" outlineLevel="0" collapsed="false">
      <c r="A726" s="2" t="n">
        <v>40470</v>
      </c>
      <c r="B726" s="0" t="n">
        <v>1165.9</v>
      </c>
      <c r="C726" s="0" t="n">
        <v>240.11</v>
      </c>
      <c r="D726" s="3" t="n">
        <f aca="false">B726*100/B$2</f>
        <v>80.5646922247713</v>
      </c>
      <c r="E726" s="3" t="n">
        <f aca="false">C726*100/C$2</f>
        <v>102.044198895028</v>
      </c>
      <c r="F726" s="0" t="n">
        <v>75.4470825617071</v>
      </c>
      <c r="G726" s="0" t="n">
        <v>91.6330412687392</v>
      </c>
      <c r="H726" s="0" t="n">
        <v>98.788780280493</v>
      </c>
      <c r="I726" s="0" t="n">
        <v>7.15573901175377</v>
      </c>
    </row>
    <row r="727" customFormat="false" ht="13.8" hidden="false" customHeight="false" outlineLevel="0" collapsed="false">
      <c r="A727" s="2" t="n">
        <v>40471</v>
      </c>
      <c r="B727" s="0" t="n">
        <v>1178.17</v>
      </c>
      <c r="C727" s="0" t="n">
        <v>241.79</v>
      </c>
      <c r="D727" s="3" t="n">
        <f aca="false">B727*100/B$2</f>
        <v>81.4125597722436</v>
      </c>
      <c r="E727" s="3" t="n">
        <f aca="false">C727*100/C$2</f>
        <v>102.758181045474</v>
      </c>
      <c r="F727" s="0" t="n">
        <v>75.9328616047984</v>
      </c>
      <c r="G727" s="0" t="n">
        <v>91.7953110041342</v>
      </c>
      <c r="H727" s="0" t="n">
        <v>98.1470463238419</v>
      </c>
      <c r="I727" s="0" t="n">
        <v>6.35173531970771</v>
      </c>
    </row>
    <row r="728" customFormat="false" ht="13.8" hidden="false" customHeight="false" outlineLevel="0" collapsed="false">
      <c r="A728" s="2" t="n">
        <v>40472</v>
      </c>
      <c r="B728" s="0" t="n">
        <v>1180.26</v>
      </c>
      <c r="C728" s="0" t="n">
        <v>242.53</v>
      </c>
      <c r="D728" s="3" t="n">
        <f aca="false">B728*100/B$2</f>
        <v>81.5569805688383</v>
      </c>
      <c r="E728" s="3" t="n">
        <f aca="false">C728*100/C$2</f>
        <v>103.07267318317</v>
      </c>
      <c r="F728" s="0" t="n">
        <v>76.2997871693524</v>
      </c>
      <c r="G728" s="0" t="n">
        <v>91.9178788981523</v>
      </c>
      <c r="H728" s="0" t="n">
        <v>98.3977900552486</v>
      </c>
      <c r="I728" s="0" t="n">
        <v>6.47991115709631</v>
      </c>
    </row>
    <row r="729" customFormat="false" ht="13.8" hidden="false" customHeight="false" outlineLevel="0" collapsed="false">
      <c r="A729" s="2" t="n">
        <v>40473</v>
      </c>
      <c r="B729" s="0" t="n">
        <v>1183.08</v>
      </c>
      <c r="C729" s="0" t="n">
        <v>245.84</v>
      </c>
      <c r="D729" s="3" t="n">
        <f aca="false">B729*100/B$2</f>
        <v>81.7518449929517</v>
      </c>
      <c r="E729" s="3" t="n">
        <f aca="false">C729*100/C$2</f>
        <v>104.4793880153</v>
      </c>
      <c r="F729" s="0" t="n">
        <v>76.6708587854833</v>
      </c>
      <c r="G729" s="0" t="n">
        <v>92.0418317401254</v>
      </c>
      <c r="H729" s="0" t="n">
        <v>99.4177645558861</v>
      </c>
      <c r="I729" s="0" t="n">
        <v>7.37593281576068</v>
      </c>
    </row>
    <row r="730" customFormat="false" ht="13.8" hidden="false" customHeight="false" outlineLevel="0" collapsed="false">
      <c r="A730" s="2" t="n">
        <v>40476</v>
      </c>
      <c r="B730" s="0" t="n">
        <v>1185.62</v>
      </c>
      <c r="C730" s="0" t="n">
        <v>248.16</v>
      </c>
      <c r="D730" s="3" t="n">
        <f aca="false">B730*100/B$2</f>
        <v>81.927361176373</v>
      </c>
      <c r="E730" s="3" t="n">
        <f aca="false">C730*100/C$2</f>
        <v>105.465363365916</v>
      </c>
      <c r="F730" s="0" t="n">
        <v>77.5242544017248</v>
      </c>
      <c r="G730" s="0" t="n">
        <v>92.3269001941977</v>
      </c>
      <c r="H730" s="0" t="n">
        <v>100.441988950276</v>
      </c>
      <c r="I730" s="0" t="n">
        <v>8.11508875607858</v>
      </c>
    </row>
    <row r="731" customFormat="false" ht="13.8" hidden="false" customHeight="false" outlineLevel="0" collapsed="false">
      <c r="A731" s="2" t="n">
        <v>40477</v>
      </c>
      <c r="B731" s="0" t="n">
        <v>1185.64</v>
      </c>
      <c r="C731" s="0" t="n">
        <v>248.38</v>
      </c>
      <c r="D731" s="3" t="n">
        <f aca="false">B731*100/B$2</f>
        <v>81.9287431935653</v>
      </c>
      <c r="E731" s="3" t="n">
        <f aca="false">C731*100/C$2</f>
        <v>105.558861028474</v>
      </c>
      <c r="F731" s="0" t="n">
        <v>77.468973714033</v>
      </c>
      <c r="G731" s="0" t="n">
        <v>92.3084342214642</v>
      </c>
      <c r="H731" s="0" t="n">
        <v>100.288992775181</v>
      </c>
      <c r="I731" s="0" t="n">
        <v>7.98055855371638</v>
      </c>
    </row>
    <row r="732" customFormat="false" ht="13.8" hidden="false" customHeight="false" outlineLevel="0" collapsed="false">
      <c r="A732" s="2" t="n">
        <v>40478</v>
      </c>
      <c r="B732" s="0" t="n">
        <v>1182.45</v>
      </c>
      <c r="C732" s="0" t="n">
        <v>246.61</v>
      </c>
      <c r="D732" s="3" t="n">
        <f aca="false">B732*100/B$2</f>
        <v>81.7083114513945</v>
      </c>
      <c r="E732" s="3" t="n">
        <f aca="false">C732*100/C$2</f>
        <v>104.806629834254</v>
      </c>
      <c r="F732" s="0" t="n">
        <v>77.7433041267033</v>
      </c>
      <c r="G732" s="0" t="n">
        <v>92.4000716111539</v>
      </c>
      <c r="H732" s="0" t="n">
        <v>100.781980450489</v>
      </c>
      <c r="I732" s="0" t="n">
        <v>8.38190883933487</v>
      </c>
    </row>
    <row r="733" customFormat="false" ht="13.8" hidden="false" customHeight="false" outlineLevel="0" collapsed="false">
      <c r="A733" s="2" t="n">
        <v>40479</v>
      </c>
      <c r="B733" s="0" t="n">
        <v>1183.78</v>
      </c>
      <c r="C733" s="0" t="n">
        <v>246.41</v>
      </c>
      <c r="D733" s="3" t="n">
        <f aca="false">B733*100/B$2</f>
        <v>81.800215594682</v>
      </c>
      <c r="E733" s="3" t="n">
        <f aca="false">C733*100/C$2</f>
        <v>104.721631959201</v>
      </c>
      <c r="F733" s="0" t="n">
        <v>77.7149727742613</v>
      </c>
      <c r="G733" s="0" t="n">
        <v>92.390607800128</v>
      </c>
      <c r="H733" s="0" t="n">
        <v>100.029749256269</v>
      </c>
      <c r="I733" s="0" t="n">
        <v>7.63914145614061</v>
      </c>
    </row>
    <row r="734" customFormat="false" ht="13.8" hidden="false" customHeight="false" outlineLevel="0" collapsed="false">
      <c r="A734" s="2" t="n">
        <v>40480</v>
      </c>
      <c r="B734" s="0" t="n">
        <v>1183.26</v>
      </c>
      <c r="C734" s="0" t="n">
        <v>242.98</v>
      </c>
      <c r="D734" s="3" t="n">
        <f aca="false">B734*100/B$2</f>
        <v>81.7642831476823</v>
      </c>
      <c r="E734" s="3" t="n">
        <f aca="false">C734*100/C$2</f>
        <v>103.26391840204</v>
      </c>
      <c r="F734" s="0" t="n">
        <v>77.779236573703</v>
      </c>
      <c r="G734" s="0" t="n">
        <v>92.4120744934306</v>
      </c>
      <c r="H734" s="0" t="n">
        <v>100.994475138122</v>
      </c>
      <c r="I734" s="0" t="n">
        <v>8.58240064469096</v>
      </c>
    </row>
    <row r="735" customFormat="false" ht="13.8" hidden="false" customHeight="false" outlineLevel="0" collapsed="false">
      <c r="A735" s="2" t="n">
        <v>40483</v>
      </c>
      <c r="B735" s="0" t="n">
        <v>1184.38</v>
      </c>
      <c r="C735" s="0" t="n">
        <v>247.41</v>
      </c>
      <c r="D735" s="3" t="n">
        <f aca="false">B735*100/B$2</f>
        <v>81.8416761104508</v>
      </c>
      <c r="E735" s="3" t="n">
        <f aca="false">C735*100/C$2</f>
        <v>105.146621334467</v>
      </c>
      <c r="F735" s="0" t="n">
        <v>78.9622432903065</v>
      </c>
      <c r="G735" s="0" t="n">
        <v>92.8072463099259</v>
      </c>
      <c r="H735" s="0" t="n">
        <v>101.270718232044</v>
      </c>
      <c r="I735" s="0" t="n">
        <v>8.4634719221183</v>
      </c>
    </row>
    <row r="736" customFormat="false" ht="13.8" hidden="false" customHeight="false" outlineLevel="0" collapsed="false">
      <c r="A736" s="2" t="n">
        <v>40484</v>
      </c>
      <c r="B736" s="0" t="n">
        <v>1193.57</v>
      </c>
      <c r="C736" s="0" t="n">
        <v>247.93</v>
      </c>
      <c r="D736" s="3" t="n">
        <f aca="false">B736*100/B$2</f>
        <v>82.4767130103098</v>
      </c>
      <c r="E736" s="3" t="n">
        <f aca="false">C736*100/C$2</f>
        <v>105.367615809605</v>
      </c>
      <c r="F736" s="0" t="n">
        <v>78.7597777716355</v>
      </c>
      <c r="G736" s="0" t="n">
        <v>92.7396146847897</v>
      </c>
      <c r="H736" s="0" t="n">
        <v>101.270718232044</v>
      </c>
      <c r="I736" s="0" t="n">
        <v>8.53110354725447</v>
      </c>
    </row>
    <row r="737" customFormat="false" ht="13.8" hidden="false" customHeight="false" outlineLevel="0" collapsed="false">
      <c r="A737" s="2" t="n">
        <v>40485</v>
      </c>
      <c r="B737" s="0" t="n">
        <v>1197.96</v>
      </c>
      <c r="C737" s="0" t="n">
        <v>249.99</v>
      </c>
      <c r="D737" s="3" t="n">
        <f aca="false">B737*100/B$2</f>
        <v>82.7800657840183</v>
      </c>
      <c r="E737" s="3" t="n">
        <f aca="false">C737*100/C$2</f>
        <v>106.243093922652</v>
      </c>
      <c r="F737" s="0" t="n">
        <v>78.3797230437547</v>
      </c>
      <c r="G737" s="0" t="n">
        <v>92.6126611222474</v>
      </c>
      <c r="H737" s="0" t="n">
        <v>101.270718232044</v>
      </c>
      <c r="I737" s="0" t="n">
        <v>8.65805710979677</v>
      </c>
    </row>
    <row r="738" customFormat="false" ht="13.8" hidden="false" customHeight="false" outlineLevel="0" collapsed="false">
      <c r="A738" s="2" t="n">
        <v>40486</v>
      </c>
      <c r="B738" s="0" t="n">
        <v>1221.06</v>
      </c>
      <c r="C738" s="0" t="n">
        <v>251.12</v>
      </c>
      <c r="D738" s="3" t="n">
        <f aca="false">B738*100/B$2</f>
        <v>84.3762956411178</v>
      </c>
      <c r="E738" s="3" t="n">
        <f aca="false">C738*100/C$2</f>
        <v>106.723331916702</v>
      </c>
      <c r="F738" s="0" t="n">
        <v>77.7267199203958</v>
      </c>
      <c r="G738" s="0" t="n">
        <v>92.3945318193338</v>
      </c>
      <c r="H738" s="0" t="n">
        <v>101.270718232044</v>
      </c>
      <c r="I738" s="0" t="n">
        <v>8.87618641271035</v>
      </c>
    </row>
    <row r="739" customFormat="false" ht="13.8" hidden="false" customHeight="false" outlineLevel="0" collapsed="false">
      <c r="A739" s="2" t="n">
        <v>40487</v>
      </c>
      <c r="B739" s="0" t="n">
        <v>1225.85</v>
      </c>
      <c r="C739" s="0" t="n">
        <v>251.22</v>
      </c>
      <c r="D739" s="3" t="n">
        <f aca="false">B739*100/B$2</f>
        <v>84.7072887586721</v>
      </c>
      <c r="E739" s="3" t="n">
        <f aca="false">C739*100/C$2</f>
        <v>106.765830854229</v>
      </c>
      <c r="F739" s="0" t="n">
        <v>79.3740844136101</v>
      </c>
      <c r="G739" s="0" t="n">
        <v>92.9448178067899</v>
      </c>
      <c r="H739" s="0" t="n">
        <v>101.912452188695</v>
      </c>
      <c r="I739" s="0" t="n">
        <v>8.96763438190538</v>
      </c>
    </row>
    <row r="740" customFormat="false" ht="13.8" hidden="false" customHeight="false" outlineLevel="0" collapsed="false">
      <c r="A740" s="2" t="n">
        <v>40490</v>
      </c>
      <c r="B740" s="0" t="n">
        <v>1223.25</v>
      </c>
      <c r="C740" s="0" t="n">
        <v>251.73</v>
      </c>
      <c r="D740" s="3" t="n">
        <f aca="false">B740*100/B$2</f>
        <v>84.5276265236739</v>
      </c>
      <c r="E740" s="3" t="n">
        <f aca="false">C740*100/C$2</f>
        <v>106.982575435614</v>
      </c>
      <c r="F740" s="0" t="n">
        <v>78.9242378175185</v>
      </c>
      <c r="G740" s="0" t="n">
        <v>92.7945509536717</v>
      </c>
      <c r="H740" s="0" t="n">
        <v>102.583935401615</v>
      </c>
      <c r="I740" s="0" t="n">
        <v>9.78938444794329</v>
      </c>
    </row>
    <row r="741" customFormat="false" ht="13.8" hidden="false" customHeight="false" outlineLevel="0" collapsed="false">
      <c r="A741" s="2" t="n">
        <v>40491</v>
      </c>
      <c r="B741" s="0" t="n">
        <v>1213.4</v>
      </c>
      <c r="C741" s="0" t="n">
        <v>252.07</v>
      </c>
      <c r="D741" s="3" t="n">
        <f aca="false">B741*100/B$2</f>
        <v>83.8469830564692</v>
      </c>
      <c r="E741" s="3" t="n">
        <f aca="false">C741*100/C$2</f>
        <v>107.127071823204</v>
      </c>
      <c r="F741" s="0" t="n">
        <v>79.3070565797838</v>
      </c>
      <c r="G741" s="0" t="n">
        <v>92.9224278148506</v>
      </c>
      <c r="H741" s="0" t="n">
        <v>102.248193795155</v>
      </c>
      <c r="I741" s="0" t="n">
        <v>9.3257659803045</v>
      </c>
    </row>
    <row r="742" customFormat="false" ht="13.8" hidden="false" customHeight="false" outlineLevel="0" collapsed="false">
      <c r="A742" s="2" t="n">
        <v>40492</v>
      </c>
      <c r="B742" s="0" t="n">
        <v>1218.71</v>
      </c>
      <c r="C742" s="0" t="n">
        <v>255.13</v>
      </c>
      <c r="D742" s="3" t="n">
        <f aca="false">B742*100/B$2</f>
        <v>84.2139086210232</v>
      </c>
      <c r="E742" s="3" t="n">
        <f aca="false">C742*100/C$2</f>
        <v>108.427539311517</v>
      </c>
      <c r="F742" s="0" t="n">
        <v>79.1018270267282</v>
      </c>
      <c r="G742" s="0" t="n">
        <v>92.8538728910778</v>
      </c>
      <c r="H742" s="0" t="n">
        <v>102.962175945601</v>
      </c>
      <c r="I742" s="0" t="n">
        <v>10.1083030545236</v>
      </c>
    </row>
    <row r="743" customFormat="false" ht="13.8" hidden="false" customHeight="false" outlineLevel="0" collapsed="false">
      <c r="A743" s="2" t="n">
        <v>40493</v>
      </c>
      <c r="B743" s="0" t="n">
        <v>1213.54</v>
      </c>
      <c r="C743" s="0" t="n">
        <v>247.51</v>
      </c>
      <c r="D743" s="3" t="n">
        <f aca="false">B743*100/B$2</f>
        <v>83.8566571768153</v>
      </c>
      <c r="E743" s="3" t="n">
        <f aca="false">C743*100/C$2</f>
        <v>105.189120271993</v>
      </c>
      <c r="F743" s="0" t="n">
        <v>78.8579009922883</v>
      </c>
      <c r="G743" s="0" t="n">
        <v>92.7723917863915</v>
      </c>
      <c r="H743" s="0" t="n">
        <v>103.251168720782</v>
      </c>
      <c r="I743" s="0" t="n">
        <v>10.4787769343904</v>
      </c>
    </row>
    <row r="744" customFormat="false" ht="13.8" hidden="false" customHeight="false" outlineLevel="0" collapsed="false">
      <c r="A744" s="2" t="n">
        <v>40494</v>
      </c>
      <c r="B744" s="0" t="n">
        <v>1199.21</v>
      </c>
      <c r="C744" s="0" t="n">
        <v>248.35</v>
      </c>
      <c r="D744" s="3" t="n">
        <f aca="false">B744*100/B$2</f>
        <v>82.8664418585367</v>
      </c>
      <c r="E744" s="3" t="n">
        <f aca="false">C744*100/C$2</f>
        <v>105.546111347216</v>
      </c>
      <c r="F744" s="0" t="n">
        <v>79.2061693247464</v>
      </c>
      <c r="G744" s="0" t="n">
        <v>92.8887274146121</v>
      </c>
      <c r="H744" s="0" t="n">
        <v>103.480662983425</v>
      </c>
      <c r="I744" s="0" t="n">
        <v>10.5919355688133</v>
      </c>
    </row>
    <row r="745" customFormat="false" ht="13.8" hidden="false" customHeight="false" outlineLevel="0" collapsed="false">
      <c r="A745" s="2" t="n">
        <v>40497</v>
      </c>
      <c r="B745" s="0" t="n">
        <v>1197.75</v>
      </c>
      <c r="C745" s="0" t="n">
        <v>249.22</v>
      </c>
      <c r="D745" s="3" t="n">
        <f aca="false">B745*100/B$2</f>
        <v>82.7655546034993</v>
      </c>
      <c r="E745" s="3" t="n">
        <f aca="false">C745*100/C$2</f>
        <v>105.915852103697</v>
      </c>
      <c r="F745" s="0" t="n">
        <v>78.5697504076951</v>
      </c>
      <c r="G745" s="0" t="n">
        <v>92.6761379035186</v>
      </c>
      <c r="H745" s="0" t="n">
        <v>103.693157671058</v>
      </c>
      <c r="I745" s="0" t="n">
        <v>11.0170197675397</v>
      </c>
    </row>
    <row r="746" customFormat="false" ht="13.8" hidden="false" customHeight="false" outlineLevel="0" collapsed="false">
      <c r="A746" s="2" t="n">
        <v>40498</v>
      </c>
      <c r="B746" s="0" t="n">
        <v>1178.34</v>
      </c>
      <c r="C746" s="0" t="n">
        <v>247.84</v>
      </c>
      <c r="D746" s="3" t="n">
        <f aca="false">B746*100/B$2</f>
        <v>81.4243069183781</v>
      </c>
      <c r="E746" s="3" t="n">
        <f aca="false">C746*100/C$2</f>
        <v>105.329366765831</v>
      </c>
      <c r="F746" s="0" t="n">
        <v>80.2088227977556</v>
      </c>
      <c r="G746" s="0" t="n">
        <v>93.2236539950646</v>
      </c>
      <c r="H746" s="0" t="n">
        <v>103.790905227369</v>
      </c>
      <c r="I746" s="0" t="n">
        <v>10.5672512323047</v>
      </c>
    </row>
    <row r="747" customFormat="false" ht="13.8" hidden="false" customHeight="false" outlineLevel="0" collapsed="false">
      <c r="A747" s="2" t="n">
        <v>40499</v>
      </c>
      <c r="B747" s="0" t="n">
        <v>1178.59</v>
      </c>
      <c r="C747" s="0" t="n">
        <v>247.3</v>
      </c>
      <c r="D747" s="3" t="n">
        <f aca="false">B747*100/B$2</f>
        <v>81.4415821332817</v>
      </c>
      <c r="E747" s="3" t="n">
        <f aca="false">C747*100/C$2</f>
        <v>105.099872503187</v>
      </c>
      <c r="F747" s="0" t="n">
        <v>80.1549241272561</v>
      </c>
      <c r="G747" s="0" t="n">
        <v>93.2056496716495</v>
      </c>
      <c r="H747" s="0" t="n">
        <v>105.269868253294</v>
      </c>
      <c r="I747" s="0" t="n">
        <v>12.0642185816441</v>
      </c>
    </row>
    <row r="748" customFormat="false" ht="13.8" hidden="false" customHeight="false" outlineLevel="0" collapsed="false">
      <c r="A748" s="2" t="n">
        <v>40500</v>
      </c>
      <c r="B748" s="0" t="n">
        <v>1196.69</v>
      </c>
      <c r="C748" s="0" t="n">
        <v>251.15</v>
      </c>
      <c r="D748" s="3" t="n">
        <f aca="false">B748*100/B$2</f>
        <v>82.6923076923077</v>
      </c>
      <c r="E748" s="3" t="n">
        <f aca="false">C748*100/C$2</f>
        <v>106.73608159796</v>
      </c>
      <c r="F748" s="0" t="n">
        <v>80.0229414853921</v>
      </c>
      <c r="G748" s="0" t="n">
        <v>93.1615621617485</v>
      </c>
      <c r="H748" s="0" t="n">
        <v>105.065873353166</v>
      </c>
      <c r="I748" s="0" t="n">
        <v>11.9043111914177</v>
      </c>
    </row>
    <row r="749" customFormat="false" ht="13.8" hidden="false" customHeight="false" outlineLevel="0" collapsed="false">
      <c r="A749" s="2" t="n">
        <v>40501</v>
      </c>
      <c r="B749" s="0" t="n">
        <v>1199.73</v>
      </c>
      <c r="C749" s="0" t="n">
        <v>253.04</v>
      </c>
      <c r="D749" s="3" t="n">
        <f aca="false">B749*100/B$2</f>
        <v>82.9023743055364</v>
      </c>
      <c r="E749" s="3" t="n">
        <f aca="false">C749*100/C$2</f>
        <v>107.539311517212</v>
      </c>
      <c r="F749" s="0" t="n">
        <v>80.5128665800603</v>
      </c>
      <c r="G749" s="0" t="n">
        <v>93.3252168450985</v>
      </c>
      <c r="H749" s="0" t="n">
        <v>104.764130896728</v>
      </c>
      <c r="I749" s="0" t="n">
        <v>11.4389140516291</v>
      </c>
    </row>
    <row r="750" customFormat="false" ht="13.8" hidden="false" customHeight="false" outlineLevel="0" collapsed="false">
      <c r="A750" s="2" t="n">
        <v>40504</v>
      </c>
      <c r="B750" s="0" t="n">
        <v>1197.84</v>
      </c>
      <c r="C750" s="0" t="n">
        <v>254</v>
      </c>
      <c r="D750" s="3" t="n">
        <f aca="false">B750*100/B$2</f>
        <v>82.7717736808646</v>
      </c>
      <c r="E750" s="3" t="n">
        <f aca="false">C750*100/C$2</f>
        <v>107.947301317467</v>
      </c>
      <c r="F750" s="0" t="n">
        <v>80.5246137261947</v>
      </c>
      <c r="G750" s="0" t="n">
        <v>93.3291408643043</v>
      </c>
      <c r="H750" s="0" t="n">
        <v>104.309392265193</v>
      </c>
      <c r="I750" s="0" t="n">
        <v>10.9802514008891</v>
      </c>
    </row>
    <row r="751" customFormat="false" ht="13.8" hidden="false" customHeight="false" outlineLevel="0" collapsed="false">
      <c r="A751" s="2" t="n">
        <v>40505</v>
      </c>
      <c r="B751" s="0" t="n">
        <v>1180.73</v>
      </c>
      <c r="C751" s="0" t="n">
        <v>252.12</v>
      </c>
      <c r="D751" s="3" t="n">
        <f aca="false">B751*100/B$2</f>
        <v>81.5894579728572</v>
      </c>
      <c r="E751" s="3" t="n">
        <f aca="false">C751*100/C$2</f>
        <v>107.148321291968</v>
      </c>
      <c r="F751" s="0" t="n">
        <v>80.8321125514801</v>
      </c>
      <c r="G751" s="0" t="n">
        <v>93.431857837634</v>
      </c>
      <c r="H751" s="0" t="n">
        <v>102.996175095623</v>
      </c>
      <c r="I751" s="0" t="n">
        <v>9.56431725798862</v>
      </c>
    </row>
    <row r="752" customFormat="false" ht="13.8" hidden="false" customHeight="false" outlineLevel="0" collapsed="false">
      <c r="A752" s="2" t="n">
        <v>40506</v>
      </c>
      <c r="B752" s="0" t="n">
        <v>1198.35</v>
      </c>
      <c r="C752" s="0" t="n">
        <v>252.38</v>
      </c>
      <c r="D752" s="3" t="n">
        <f aca="false">B752*100/B$2</f>
        <v>82.8070151192681</v>
      </c>
      <c r="E752" s="3" t="n">
        <f aca="false">C752*100/C$2</f>
        <v>107.258818529537</v>
      </c>
      <c r="F752" s="0" t="n">
        <v>81.4077227120705</v>
      </c>
      <c r="G752" s="0" t="n">
        <v>93.6241347787208</v>
      </c>
      <c r="H752" s="0" t="n">
        <v>103.268168295793</v>
      </c>
      <c r="I752" s="0" t="n">
        <v>9.64403351707185</v>
      </c>
    </row>
    <row r="753" customFormat="false" ht="13.8" hidden="false" customHeight="false" outlineLevel="0" collapsed="false">
      <c r="A753" s="2" t="n">
        <v>40507</v>
      </c>
      <c r="B753" s="0" t="n">
        <v>1198.35</v>
      </c>
      <c r="C753" s="0" t="n">
        <v>252.45</v>
      </c>
      <c r="D753" s="3" t="n">
        <f aca="false">B753*100/B$2</f>
        <v>82.8070151192681</v>
      </c>
      <c r="E753" s="3" t="n">
        <f aca="false">C753*100/C$2</f>
        <v>107.288567785805</v>
      </c>
      <c r="F753" s="0" t="n">
        <v>81.1112800243235</v>
      </c>
      <c r="G753" s="0" t="n">
        <v>93.5251109999378</v>
      </c>
      <c r="H753" s="0" t="n">
        <v>104.653633659159</v>
      </c>
      <c r="I753" s="0" t="n">
        <v>11.1285226592207</v>
      </c>
    </row>
    <row r="754" customFormat="false" ht="13.8" hidden="false" customHeight="false" outlineLevel="0" collapsed="false">
      <c r="A754" s="2" t="n">
        <v>40508</v>
      </c>
      <c r="B754" s="0" t="n">
        <v>1189.4</v>
      </c>
      <c r="C754" s="0" t="n">
        <v>249.31</v>
      </c>
      <c r="D754" s="3" t="n">
        <f aca="false">B754*100/B$2</f>
        <v>82.1885624257166</v>
      </c>
      <c r="E754" s="3" t="n">
        <f aca="false">C754*100/C$2</f>
        <v>105.954101147471</v>
      </c>
      <c r="F754" s="0" t="n">
        <v>81.2757400702065</v>
      </c>
      <c r="G754" s="0" t="n">
        <v>93.5800472688197</v>
      </c>
      <c r="H754" s="0" t="n">
        <v>104.785380365491</v>
      </c>
      <c r="I754" s="0" t="n">
        <v>11.2053330966711</v>
      </c>
    </row>
    <row r="755" customFormat="false" ht="13.8" hidden="false" customHeight="false" outlineLevel="0" collapsed="false">
      <c r="A755" s="2" t="n">
        <v>40511</v>
      </c>
      <c r="B755" s="0" t="n">
        <v>1187.76</v>
      </c>
      <c r="C755" s="0" t="n">
        <v>248.92</v>
      </c>
      <c r="D755" s="3" t="n">
        <f aca="false">B755*100/B$2</f>
        <v>82.0752370159485</v>
      </c>
      <c r="E755" s="3" t="n">
        <f aca="false">C755*100/C$2</f>
        <v>105.788355291118</v>
      </c>
      <c r="F755" s="0" t="n">
        <v>81.8644793941237</v>
      </c>
      <c r="G755" s="0" t="n">
        <v>93.7767098784307</v>
      </c>
      <c r="H755" s="0" t="n">
        <v>103.11942201445</v>
      </c>
      <c r="I755" s="0" t="n">
        <v>9.34271213601895</v>
      </c>
    </row>
    <row r="756" customFormat="false" ht="13.8" hidden="false" customHeight="false" outlineLevel="0" collapsed="false">
      <c r="A756" s="2" t="n">
        <v>40512</v>
      </c>
      <c r="B756" s="0" t="n">
        <v>1180.55</v>
      </c>
      <c r="C756" s="0" t="n">
        <v>249.64</v>
      </c>
      <c r="D756" s="3" t="n">
        <f aca="false">B756*100/B$2</f>
        <v>81.5770198181265</v>
      </c>
      <c r="E756" s="3" t="n">
        <f aca="false">C756*100/C$2</f>
        <v>106.094347641309</v>
      </c>
      <c r="F756" s="0" t="n">
        <v>80.5646922247713</v>
      </c>
      <c r="G756" s="0" t="n">
        <v>93.342528694536</v>
      </c>
      <c r="H756" s="0" t="n">
        <v>102.044198895028</v>
      </c>
      <c r="I756" s="0" t="n">
        <v>8.70167020049158</v>
      </c>
    </row>
    <row r="757" customFormat="false" ht="13.8" hidden="false" customHeight="false" outlineLevel="0" collapsed="false">
      <c r="A757" s="2" t="n">
        <v>40513</v>
      </c>
      <c r="B757" s="0" t="n">
        <v>1206.07</v>
      </c>
      <c r="C757" s="0" t="n">
        <v>252.8</v>
      </c>
      <c r="D757" s="3" t="n">
        <f aca="false">B757*100/B$2</f>
        <v>83.3404737554935</v>
      </c>
      <c r="E757" s="3" t="n">
        <f aca="false">C757*100/C$2</f>
        <v>107.437314067148</v>
      </c>
      <c r="F757" s="0" t="n">
        <v>81.4125597722436</v>
      </c>
      <c r="G757" s="0" t="n">
        <v>93.6257505513349</v>
      </c>
      <c r="H757" s="0" t="n">
        <v>102.758181045474</v>
      </c>
      <c r="I757" s="0" t="n">
        <v>9.13243049413892</v>
      </c>
    </row>
    <row r="758" customFormat="false" ht="13.8" hidden="false" customHeight="false" outlineLevel="0" collapsed="false">
      <c r="A758" s="2" t="n">
        <v>40514</v>
      </c>
      <c r="B758" s="0" t="n">
        <v>1221.53</v>
      </c>
      <c r="C758" s="0" t="n">
        <v>256.02</v>
      </c>
      <c r="D758" s="3" t="n">
        <f aca="false">B758*100/B$2</f>
        <v>84.4087730451367</v>
      </c>
      <c r="E758" s="3" t="n">
        <f aca="false">C758*100/C$2</f>
        <v>108.805779855504</v>
      </c>
      <c r="F758" s="0" t="n">
        <v>81.5569805688383</v>
      </c>
      <c r="G758" s="0" t="n">
        <v>93.673992905101</v>
      </c>
      <c r="H758" s="0" t="n">
        <v>103.07267318317</v>
      </c>
      <c r="I758" s="0" t="n">
        <v>9.39868027806941</v>
      </c>
    </row>
    <row r="759" customFormat="false" ht="13.8" hidden="false" customHeight="false" outlineLevel="0" collapsed="false">
      <c r="A759" s="2" t="n">
        <v>40515</v>
      </c>
      <c r="B759" s="0" t="n">
        <v>1224.71</v>
      </c>
      <c r="C759" s="0" t="n">
        <v>257.65</v>
      </c>
      <c r="D759" s="3" t="n">
        <f aca="false">B759*100/B$2</f>
        <v>84.6285137787114</v>
      </c>
      <c r="E759" s="3" t="n">
        <f aca="false">C759*100/C$2</f>
        <v>109.498512537187</v>
      </c>
      <c r="F759" s="0" t="n">
        <v>81.7518449929517</v>
      </c>
      <c r="G759" s="0" t="n">
        <v>93.7390854589863</v>
      </c>
      <c r="H759" s="0" t="n">
        <v>104.4793880153</v>
      </c>
      <c r="I759" s="0" t="n">
        <v>10.7403025563133</v>
      </c>
    </row>
    <row r="760" customFormat="false" ht="13.8" hidden="false" customHeight="false" outlineLevel="0" collapsed="false">
      <c r="A760" s="2" t="n">
        <v>40518</v>
      </c>
      <c r="B760" s="0" t="n">
        <v>1223.12</v>
      </c>
      <c r="C760" s="0" t="n">
        <v>257.32</v>
      </c>
      <c r="D760" s="3" t="n">
        <f aca="false">B760*100/B$2</f>
        <v>84.518643411924</v>
      </c>
      <c r="E760" s="3" t="n">
        <f aca="false">C760*100/C$2</f>
        <v>109.358266043349</v>
      </c>
      <c r="F760" s="0" t="n">
        <v>81.927361176373</v>
      </c>
      <c r="G760" s="0" t="n">
        <v>93.797714922415</v>
      </c>
      <c r="H760" s="0" t="n">
        <v>105.465363365916</v>
      </c>
      <c r="I760" s="0" t="n">
        <v>11.6676484435009</v>
      </c>
    </row>
    <row r="761" customFormat="false" ht="13.8" hidden="false" customHeight="false" outlineLevel="0" collapsed="false">
      <c r="A761" s="2" t="n">
        <v>40519</v>
      </c>
      <c r="B761" s="0" t="n">
        <v>1223.75</v>
      </c>
      <c r="C761" s="0" t="n">
        <v>258.63</v>
      </c>
      <c r="D761" s="3" t="n">
        <f aca="false">B761*100/B$2</f>
        <v>84.5621769534813</v>
      </c>
      <c r="E761" s="3" t="n">
        <f aca="false">C761*100/C$2</f>
        <v>109.915002124947</v>
      </c>
      <c r="F761" s="0" t="n">
        <v>81.9287431935653</v>
      </c>
      <c r="G761" s="0" t="n">
        <v>93.7981765717333</v>
      </c>
      <c r="H761" s="0" t="n">
        <v>105.558861028474</v>
      </c>
      <c r="I761" s="0" t="n">
        <v>11.760684456741</v>
      </c>
    </row>
    <row r="762" customFormat="false" ht="13.8" hidden="false" customHeight="false" outlineLevel="0" collapsed="false">
      <c r="A762" s="2" t="n">
        <v>40520</v>
      </c>
      <c r="B762" s="0" t="n">
        <v>1228.28</v>
      </c>
      <c r="C762" s="0" t="n">
        <v>257.51</v>
      </c>
      <c r="D762" s="3" t="n">
        <f aca="false">B762*100/B$2</f>
        <v>84.8752038475359</v>
      </c>
      <c r="E762" s="3" t="n">
        <f aca="false">C762*100/C$2</f>
        <v>109.439014024649</v>
      </c>
      <c r="F762" s="0" t="n">
        <v>81.7083114513945</v>
      </c>
      <c r="G762" s="0" t="n">
        <v>93.7245435054588</v>
      </c>
      <c r="H762" s="0" t="n">
        <v>104.806629834254</v>
      </c>
      <c r="I762" s="0" t="n">
        <v>11.0820863287954</v>
      </c>
    </row>
    <row r="763" customFormat="false" ht="13.8" hidden="false" customHeight="false" outlineLevel="0" collapsed="false">
      <c r="A763" s="2" t="n">
        <v>40521</v>
      </c>
      <c r="B763" s="0" t="n">
        <v>1233</v>
      </c>
      <c r="C763" s="0" t="n">
        <v>262.32</v>
      </c>
      <c r="D763" s="3" t="n">
        <f aca="false">B763*100/B$2</f>
        <v>85.2013599049172</v>
      </c>
      <c r="E763" s="3" t="n">
        <f aca="false">C763*100/C$2</f>
        <v>111.483212919677</v>
      </c>
      <c r="F763" s="0" t="n">
        <v>81.800215594682</v>
      </c>
      <c r="G763" s="0" t="n">
        <v>93.7552431851281</v>
      </c>
      <c r="H763" s="0" t="n">
        <v>104.721631959201</v>
      </c>
      <c r="I763" s="0" t="n">
        <v>10.9663887740729</v>
      </c>
    </row>
    <row r="764" customFormat="false" ht="13.8" hidden="false" customHeight="false" outlineLevel="0" collapsed="false">
      <c r="A764" s="2" t="n">
        <v>40522</v>
      </c>
      <c r="B764" s="0" t="n">
        <v>1240.4</v>
      </c>
      <c r="C764" s="0" t="n">
        <v>261.74</v>
      </c>
      <c r="D764" s="3" t="n">
        <f aca="false">B764*100/B$2</f>
        <v>85.7127062660659</v>
      </c>
      <c r="E764" s="3" t="n">
        <f aca="false">C764*100/C$2</f>
        <v>111.236719082023</v>
      </c>
      <c r="F764" s="0" t="n">
        <v>81.7642831476823</v>
      </c>
      <c r="G764" s="0" t="n">
        <v>93.7432403028514</v>
      </c>
      <c r="H764" s="0" t="n">
        <v>103.26391840204</v>
      </c>
      <c r="I764" s="0" t="n">
        <v>9.52067809918859</v>
      </c>
    </row>
    <row r="765" customFormat="false" ht="13.8" hidden="false" customHeight="false" outlineLevel="0" collapsed="false">
      <c r="A765" s="2" t="n">
        <v>40525</v>
      </c>
      <c r="B765" s="0" t="n">
        <v>1240.46</v>
      </c>
      <c r="C765" s="0" t="n">
        <v>263.31</v>
      </c>
      <c r="D765" s="3" t="n">
        <f aca="false">B765*100/B$2</f>
        <v>85.7168523176428</v>
      </c>
      <c r="E765" s="3" t="n">
        <f aca="false">C765*100/C$2</f>
        <v>111.90395240119</v>
      </c>
      <c r="F765" s="0" t="n">
        <v>81.8416761104508</v>
      </c>
      <c r="G765" s="0" t="n">
        <v>93.7690926646782</v>
      </c>
      <c r="H765" s="0" t="n">
        <v>105.146621334467</v>
      </c>
      <c r="I765" s="0" t="n">
        <v>11.3775286697885</v>
      </c>
    </row>
    <row r="766" customFormat="false" ht="13.8" hidden="false" customHeight="false" outlineLevel="0" collapsed="false">
      <c r="A766" s="2" t="n">
        <v>40526</v>
      </c>
      <c r="B766" s="0" t="n">
        <v>1241.59</v>
      </c>
      <c r="C766" s="0" t="n">
        <v>265.13</v>
      </c>
      <c r="D766" s="3" t="n">
        <f aca="false">B766*100/B$2</f>
        <v>85.7949362890074</v>
      </c>
      <c r="E766" s="3" t="n">
        <f aca="false">C766*100/C$2</f>
        <v>112.677433064173</v>
      </c>
      <c r="F766" s="0" t="n">
        <v>82.4767130103098</v>
      </c>
      <c r="G766" s="0" t="n">
        <v>93.9812205264534</v>
      </c>
      <c r="H766" s="0" t="n">
        <v>105.367615809605</v>
      </c>
      <c r="I766" s="0" t="n">
        <v>11.3863952831514</v>
      </c>
    </row>
    <row r="767" customFormat="false" ht="13.8" hidden="false" customHeight="false" outlineLevel="0" collapsed="false">
      <c r="A767" s="2" t="n">
        <v>40527</v>
      </c>
      <c r="B767" s="0" t="n">
        <v>1235.23</v>
      </c>
      <c r="C767" s="0" t="n">
        <v>265.95</v>
      </c>
      <c r="D767" s="3" t="n">
        <f aca="false">B767*100/B$2</f>
        <v>85.355454821858</v>
      </c>
      <c r="E767" s="3" t="n">
        <f aca="false">C767*100/C$2</f>
        <v>113.025924351891</v>
      </c>
      <c r="F767" s="0" t="n">
        <v>82.7800657840183</v>
      </c>
      <c r="G767" s="0" t="n">
        <v>94.0825525518281</v>
      </c>
      <c r="H767" s="0" t="n">
        <v>106.243093922652</v>
      </c>
      <c r="I767" s="0" t="n">
        <v>12.1605413708239</v>
      </c>
    </row>
    <row r="768" customFormat="false" ht="13.8" hidden="false" customHeight="false" outlineLevel="0" collapsed="false">
      <c r="A768" s="2" t="n">
        <v>40528</v>
      </c>
      <c r="B768" s="0" t="n">
        <v>1242.87</v>
      </c>
      <c r="C768" s="0" t="n">
        <v>264.92</v>
      </c>
      <c r="D768" s="3" t="n">
        <f aca="false">B768*100/B$2</f>
        <v>85.8833853893142</v>
      </c>
      <c r="E768" s="3" t="n">
        <f aca="false">C768*100/C$2</f>
        <v>112.588185295368</v>
      </c>
      <c r="F768" s="0" t="n">
        <v>84.3762956411178</v>
      </c>
      <c r="G768" s="0" t="n">
        <v>94.6157575145057</v>
      </c>
      <c r="H768" s="0" t="n">
        <v>106.723331916702</v>
      </c>
      <c r="I768" s="0" t="n">
        <v>12.1075744021964</v>
      </c>
    </row>
    <row r="769" customFormat="false" ht="13.8" hidden="false" customHeight="false" outlineLevel="0" collapsed="false">
      <c r="A769" s="2" t="n">
        <v>40529</v>
      </c>
      <c r="B769" s="0" t="n">
        <v>1243.91</v>
      </c>
      <c r="C769" s="0" t="n">
        <v>267.67</v>
      </c>
      <c r="D769" s="3" t="n">
        <f aca="false">B769*100/B$2</f>
        <v>85.9552502833135</v>
      </c>
      <c r="E769" s="3" t="n">
        <f aca="false">C769*100/C$2</f>
        <v>113.756906077348</v>
      </c>
      <c r="F769" s="0" t="n">
        <v>84.7072887586721</v>
      </c>
      <c r="G769" s="0" t="n">
        <v>94.7263225262471</v>
      </c>
      <c r="H769" s="0" t="n">
        <v>106.765830854229</v>
      </c>
      <c r="I769" s="0" t="n">
        <v>12.0395083279816</v>
      </c>
    </row>
    <row r="770" customFormat="false" ht="13.8" hidden="false" customHeight="false" outlineLevel="0" collapsed="false">
      <c r="A770" s="2" t="n">
        <v>40532</v>
      </c>
      <c r="B770" s="0" t="n">
        <v>1247.08</v>
      </c>
      <c r="C770" s="0" t="n">
        <v>267.42</v>
      </c>
      <c r="D770" s="3" t="n">
        <f aca="false">B770*100/B$2</f>
        <v>86.1743000082921</v>
      </c>
      <c r="E770" s="3" t="n">
        <f aca="false">C770*100/C$2</f>
        <v>113.650658733532</v>
      </c>
      <c r="F770" s="0" t="n">
        <v>84.5276265236739</v>
      </c>
      <c r="G770" s="0" t="n">
        <v>94.6663081148634</v>
      </c>
      <c r="H770" s="0" t="n">
        <v>106.982575435614</v>
      </c>
      <c r="I770" s="0" t="n">
        <v>12.3162673207507</v>
      </c>
    </row>
    <row r="771" customFormat="false" ht="13.8" hidden="false" customHeight="false" outlineLevel="0" collapsed="false">
      <c r="A771" s="2" t="n">
        <v>40533</v>
      </c>
      <c r="B771" s="0" t="n">
        <v>1254.6</v>
      </c>
      <c r="C771" s="0" t="n">
        <v>269.31</v>
      </c>
      <c r="D771" s="3" t="n">
        <f aca="false">B771*100/B$2</f>
        <v>86.6939384725946</v>
      </c>
      <c r="E771" s="3" t="n">
        <f aca="false">C771*100/C$2</f>
        <v>114.453888652784</v>
      </c>
      <c r="F771" s="0" t="n">
        <v>83.8469830564692</v>
      </c>
      <c r="G771" s="0" t="n">
        <v>94.4389458255832</v>
      </c>
      <c r="H771" s="0" t="n">
        <v>107.127071823204</v>
      </c>
      <c r="I771" s="0" t="n">
        <v>12.6881259976213</v>
      </c>
    </row>
    <row r="772" customFormat="false" ht="13.8" hidden="false" customHeight="false" outlineLevel="0" collapsed="false">
      <c r="A772" s="2" t="n">
        <v>40534</v>
      </c>
      <c r="B772" s="0" t="n">
        <v>1258.84</v>
      </c>
      <c r="C772" s="0" t="n">
        <v>269.6</v>
      </c>
      <c r="D772" s="3" t="n">
        <f aca="false">B772*100/B$2</f>
        <v>86.9869261173609</v>
      </c>
      <c r="E772" s="3" t="n">
        <f aca="false">C772*100/C$2</f>
        <v>114.577135571611</v>
      </c>
      <c r="F772" s="0" t="n">
        <v>84.2139086210232</v>
      </c>
      <c r="G772" s="0" t="n">
        <v>94.5615137196013</v>
      </c>
      <c r="H772" s="0" t="n">
        <v>108.427539311517</v>
      </c>
      <c r="I772" s="0" t="n">
        <v>13.866025591916</v>
      </c>
    </row>
    <row r="773" customFormat="false" ht="13.8" hidden="false" customHeight="false" outlineLevel="0" collapsed="false">
      <c r="A773" s="2" t="n">
        <v>40535</v>
      </c>
      <c r="B773" s="0" t="n">
        <v>1256.77</v>
      </c>
      <c r="C773" s="0" t="n">
        <v>269.62</v>
      </c>
      <c r="D773" s="3" t="n">
        <f aca="false">B773*100/B$2</f>
        <v>86.8438873379585</v>
      </c>
      <c r="E773" s="3" t="n">
        <f aca="false">C773*100/C$2</f>
        <v>114.585635359116</v>
      </c>
      <c r="F773" s="0" t="n">
        <v>83.8566571768153</v>
      </c>
      <c r="G773" s="0" t="n">
        <v>94.4421773708115</v>
      </c>
      <c r="H773" s="0" t="n">
        <v>105.189120271993</v>
      </c>
      <c r="I773" s="0" t="n">
        <v>10.7469429011817</v>
      </c>
    </row>
    <row r="774" customFormat="false" ht="13.8" hidden="false" customHeight="false" outlineLevel="0" collapsed="false">
      <c r="A774" s="2" t="n">
        <v>40536</v>
      </c>
      <c r="B774" s="0" t="n">
        <v>1256.77</v>
      </c>
      <c r="C774" s="0" t="n">
        <v>268.5</v>
      </c>
      <c r="D774" s="3" t="n">
        <f aca="false">B774*100/B$2</f>
        <v>86.8438873379585</v>
      </c>
      <c r="E774" s="3" t="n">
        <f aca="false">C774*100/C$2</f>
        <v>114.109647258819</v>
      </c>
      <c r="F774" s="0" t="n">
        <v>82.8664418585367</v>
      </c>
      <c r="G774" s="0" t="n">
        <v>94.111405634224</v>
      </c>
      <c r="H774" s="0" t="n">
        <v>105.546111347216</v>
      </c>
      <c r="I774" s="0" t="n">
        <v>11.4347057129923</v>
      </c>
    </row>
    <row r="775" customFormat="false" ht="13.8" hidden="false" customHeight="false" outlineLevel="0" collapsed="false">
      <c r="A775" s="2" t="n">
        <v>40539</v>
      </c>
      <c r="B775" s="0" t="n">
        <v>1257.54</v>
      </c>
      <c r="C775" s="0" t="n">
        <v>267.35</v>
      </c>
      <c r="D775" s="3" t="n">
        <f aca="false">B775*100/B$2</f>
        <v>86.8970949998618</v>
      </c>
      <c r="E775" s="3" t="n">
        <f aca="false">C775*100/C$2</f>
        <v>113.620909477263</v>
      </c>
      <c r="F775" s="0" t="n">
        <v>82.7655546034993</v>
      </c>
      <c r="G775" s="0" t="n">
        <v>94.0777052339855</v>
      </c>
      <c r="H775" s="0" t="n">
        <v>105.915852103697</v>
      </c>
      <c r="I775" s="0" t="n">
        <v>11.8381468697119</v>
      </c>
    </row>
    <row r="776" customFormat="false" ht="13.8" hidden="false" customHeight="false" outlineLevel="0" collapsed="false">
      <c r="A776" s="2" t="n">
        <v>40540</v>
      </c>
      <c r="B776" s="0" t="n">
        <v>1258.51</v>
      </c>
      <c r="C776" s="0" t="n">
        <v>269.04</v>
      </c>
      <c r="D776" s="3" t="n">
        <f aca="false">B776*100/B$2</f>
        <v>86.964122833688</v>
      </c>
      <c r="E776" s="3" t="n">
        <f aca="false">C776*100/C$2</f>
        <v>114.339141521462</v>
      </c>
      <c r="F776" s="0" t="n">
        <v>81.4243069183781</v>
      </c>
      <c r="G776" s="0" t="n">
        <v>93.6296745705408</v>
      </c>
      <c r="H776" s="0" t="n">
        <v>105.329366765831</v>
      </c>
      <c r="I776" s="0" t="n">
        <v>11.6996921952901</v>
      </c>
    </row>
    <row r="777" customFormat="false" ht="13.8" hidden="false" customHeight="false" outlineLevel="0" collapsed="false">
      <c r="A777" s="2" t="n">
        <v>40541</v>
      </c>
      <c r="B777" s="0" t="n">
        <v>1259.78</v>
      </c>
      <c r="C777" s="0" t="n">
        <v>270.44</v>
      </c>
      <c r="D777" s="3" t="n">
        <f aca="false">B777*100/B$2</f>
        <v>87.0518809253987</v>
      </c>
      <c r="E777" s="3" t="n">
        <f aca="false">C777*100/C$2</f>
        <v>114.934126646834</v>
      </c>
      <c r="F777" s="0" t="n">
        <v>81.4415821332817</v>
      </c>
      <c r="G777" s="0" t="n">
        <v>93.63544518702</v>
      </c>
      <c r="H777" s="0" t="n">
        <v>105.099872503187</v>
      </c>
      <c r="I777" s="0" t="n">
        <v>11.4644273161674</v>
      </c>
    </row>
    <row r="778" customFormat="false" ht="13.8" hidden="false" customHeight="false" outlineLevel="0" collapsed="false">
      <c r="A778" s="2" t="n">
        <v>40542</v>
      </c>
      <c r="B778" s="0" t="n">
        <v>1257.88</v>
      </c>
      <c r="C778" s="0" t="n">
        <v>271.19</v>
      </c>
      <c r="D778" s="3" t="n">
        <f aca="false">B778*100/B$2</f>
        <v>86.9205892921308</v>
      </c>
      <c r="E778" s="3" t="n">
        <f aca="false">C778*100/C$2</f>
        <v>115.252868678283</v>
      </c>
      <c r="F778" s="0" t="n">
        <v>82.6923076923077</v>
      </c>
      <c r="G778" s="0" t="n">
        <v>94.0532378201137</v>
      </c>
      <c r="H778" s="0" t="n">
        <v>106.73608159796</v>
      </c>
      <c r="I778" s="0" t="n">
        <v>12.6828437778463</v>
      </c>
    </row>
    <row r="779" customFormat="false" ht="13.8" hidden="false" customHeight="false" outlineLevel="0" collapsed="false">
      <c r="A779" s="2" t="n">
        <v>40543</v>
      </c>
      <c r="B779" s="0" t="n">
        <v>1257.64</v>
      </c>
      <c r="C779" s="0" t="n">
        <v>271.19</v>
      </c>
      <c r="D779" s="3" t="n">
        <f aca="false">B779*100/B$2</f>
        <v>86.9040050858233</v>
      </c>
      <c r="E779" s="3" t="n">
        <f aca="false">C779*100/C$2</f>
        <v>115.252868678283</v>
      </c>
      <c r="F779" s="0" t="n">
        <v>82.9023743055364</v>
      </c>
      <c r="G779" s="0" t="n">
        <v>94.1234085165008</v>
      </c>
      <c r="H779" s="0" t="n">
        <v>107.539311517212</v>
      </c>
      <c r="I779" s="0" t="n">
        <v>13.4159030007113</v>
      </c>
    </row>
    <row r="780" customFormat="false" ht="13.8" hidden="false" customHeight="false" outlineLevel="0" collapsed="false">
      <c r="A780" s="2" t="n">
        <v>40546</v>
      </c>
      <c r="B780" s="0" t="n">
        <v>1271.89</v>
      </c>
      <c r="C780" s="0" t="n">
        <v>273.81</v>
      </c>
      <c r="D780" s="3" t="n">
        <f aca="false">B780*100/B$2</f>
        <v>87.8886923353327</v>
      </c>
      <c r="E780" s="3" t="n">
        <f aca="false">C780*100/C$2</f>
        <v>116.366340841479</v>
      </c>
      <c r="F780" s="0" t="n">
        <v>82.7717736808646</v>
      </c>
      <c r="G780" s="0" t="n">
        <v>94.079782655918</v>
      </c>
      <c r="H780" s="0" t="n">
        <v>107.947301317467</v>
      </c>
      <c r="I780" s="0" t="n">
        <v>13.867518661549</v>
      </c>
    </row>
    <row r="781" customFormat="false" ht="13.8" hidden="false" customHeight="false" outlineLevel="0" collapsed="false">
      <c r="A781" s="2" t="n">
        <v>40547</v>
      </c>
      <c r="B781" s="0" t="n">
        <v>1270.2</v>
      </c>
      <c r="C781" s="0" t="n">
        <v>275.78</v>
      </c>
      <c r="D781" s="3" t="n">
        <f aca="false">B781*100/B$2</f>
        <v>87.7719118825838</v>
      </c>
      <c r="E781" s="3" t="n">
        <f aca="false">C781*100/C$2</f>
        <v>117.203569910752</v>
      </c>
      <c r="F781" s="0" t="n">
        <v>81.5894579728572</v>
      </c>
      <c r="G781" s="0" t="n">
        <v>93.6848416640819</v>
      </c>
      <c r="H781" s="0" t="n">
        <v>107.148321291968</v>
      </c>
      <c r="I781" s="0" t="n">
        <v>13.4634796278858</v>
      </c>
    </row>
    <row r="782" customFormat="false" ht="13.8" hidden="false" customHeight="false" outlineLevel="0" collapsed="false">
      <c r="A782" s="2" t="n">
        <v>40548</v>
      </c>
      <c r="B782" s="0" t="n">
        <v>1276.56</v>
      </c>
      <c r="C782" s="0" t="n">
        <v>275.35</v>
      </c>
      <c r="D782" s="3" t="n">
        <f aca="false">B782*100/B$2</f>
        <v>88.2113933497333</v>
      </c>
      <c r="E782" s="3" t="n">
        <f aca="false">C782*100/C$2</f>
        <v>117.020824479388</v>
      </c>
      <c r="F782" s="0" t="n">
        <v>82.8070151192681</v>
      </c>
      <c r="G782" s="0" t="n">
        <v>94.0915547135356</v>
      </c>
      <c r="H782" s="0" t="n">
        <v>107.258818529537</v>
      </c>
      <c r="I782" s="0" t="n">
        <v>13.1672638160012</v>
      </c>
    </row>
    <row r="783" customFormat="false" ht="13.8" hidden="false" customHeight="false" outlineLevel="0" collapsed="false">
      <c r="A783" s="2" t="n">
        <v>40549</v>
      </c>
      <c r="B783" s="0" t="n">
        <v>1273.85</v>
      </c>
      <c r="C783" s="0" t="n">
        <v>274.72</v>
      </c>
      <c r="D783" s="3" t="n">
        <f aca="false">B783*100/B$2</f>
        <v>88.0241300201774</v>
      </c>
      <c r="E783" s="3" t="n">
        <f aca="false">C783*100/C$2</f>
        <v>116.753081172971</v>
      </c>
      <c r="F783" s="0" t="n">
        <v>82.8070151192681</v>
      </c>
      <c r="G783" s="0" t="n">
        <v>94.0915547135356</v>
      </c>
      <c r="H783" s="0" t="n">
        <v>107.288567785805</v>
      </c>
      <c r="I783" s="0" t="n">
        <v>13.1970130722698</v>
      </c>
    </row>
    <row r="784" customFormat="false" ht="13.8" hidden="false" customHeight="false" outlineLevel="0" collapsed="false">
      <c r="A784" s="2" t="n">
        <v>40550</v>
      </c>
      <c r="B784" s="0" t="n">
        <v>1271.5</v>
      </c>
      <c r="C784" s="0" t="n">
        <v>275.61</v>
      </c>
      <c r="D784" s="3" t="n">
        <f aca="false">B784*100/B$2</f>
        <v>87.8617430000829</v>
      </c>
      <c r="E784" s="3" t="n">
        <f aca="false">C784*100/C$2</f>
        <v>117.131321716957</v>
      </c>
      <c r="F784" s="0" t="n">
        <v>82.1885624257166</v>
      </c>
      <c r="G784" s="0" t="n">
        <v>93.8849666435804</v>
      </c>
      <c r="H784" s="0" t="n">
        <v>105.954101147471</v>
      </c>
      <c r="I784" s="0" t="n">
        <v>12.0691345038909</v>
      </c>
    </row>
    <row r="785" customFormat="false" ht="13.8" hidden="false" customHeight="false" outlineLevel="0" collapsed="false">
      <c r="A785" s="2" t="n">
        <v>40553</v>
      </c>
      <c r="B785" s="0" t="n">
        <v>1269.75</v>
      </c>
      <c r="C785" s="0" t="n">
        <v>273.99</v>
      </c>
      <c r="D785" s="3" t="n">
        <f aca="false">B785*100/B$2</f>
        <v>87.7408164957572</v>
      </c>
      <c r="E785" s="3" t="n">
        <f aca="false">C785*100/C$2</f>
        <v>116.442838929027</v>
      </c>
      <c r="F785" s="0" t="n">
        <v>82.0752370159485</v>
      </c>
      <c r="G785" s="0" t="n">
        <v>93.8471113994769</v>
      </c>
      <c r="H785" s="0" t="n">
        <v>105.788355291118</v>
      </c>
      <c r="I785" s="0" t="n">
        <v>11.9412438916408</v>
      </c>
    </row>
    <row r="786" customFormat="false" ht="13.8" hidden="false" customHeight="false" outlineLevel="0" collapsed="false">
      <c r="A786" s="2" t="n">
        <v>40554</v>
      </c>
      <c r="B786" s="0" t="n">
        <v>1274.48</v>
      </c>
      <c r="C786" s="0" t="n">
        <v>275.1</v>
      </c>
      <c r="D786" s="3" t="n">
        <f aca="false">B786*100/B$2</f>
        <v>88.0676635617347</v>
      </c>
      <c r="E786" s="3" t="n">
        <f aca="false">C786*100/C$2</f>
        <v>116.914577135572</v>
      </c>
      <c r="F786" s="0" t="n">
        <v>81.5770198181265</v>
      </c>
      <c r="G786" s="0" t="n">
        <v>93.6806868202169</v>
      </c>
      <c r="H786" s="0" t="n">
        <v>106.094347641309</v>
      </c>
      <c r="I786" s="0" t="n">
        <v>12.4136608210921</v>
      </c>
    </row>
    <row r="787" customFormat="false" ht="13.8" hidden="false" customHeight="false" outlineLevel="0" collapsed="false">
      <c r="A787" s="2" t="n">
        <v>40555</v>
      </c>
      <c r="B787" s="0" t="n">
        <v>1285.96</v>
      </c>
      <c r="C787" s="0" t="n">
        <v>276.17</v>
      </c>
      <c r="D787" s="3" t="n">
        <f aca="false">B787*100/B$2</f>
        <v>88.8609414301114</v>
      </c>
      <c r="E787" s="3" t="n">
        <f aca="false">C787*100/C$2</f>
        <v>117.369315767106</v>
      </c>
      <c r="F787" s="0" t="n">
        <v>83.3404737554935</v>
      </c>
      <c r="G787" s="0" t="n">
        <v>94.2697513504131</v>
      </c>
      <c r="H787" s="0" t="n">
        <v>107.437314067148</v>
      </c>
      <c r="I787" s="0" t="n">
        <v>13.1675627167352</v>
      </c>
    </row>
    <row r="788" customFormat="false" ht="13.8" hidden="false" customHeight="false" outlineLevel="0" collapsed="false">
      <c r="A788" s="2" t="n">
        <v>40556</v>
      </c>
      <c r="B788" s="0" t="n">
        <v>1283.76</v>
      </c>
      <c r="C788" s="0" t="n">
        <v>275.52</v>
      </c>
      <c r="D788" s="3" t="n">
        <f aca="false">B788*100/B$2</f>
        <v>88.7089195389591</v>
      </c>
      <c r="E788" s="3" t="n">
        <f aca="false">C788*100/C$2</f>
        <v>117.093072673183</v>
      </c>
      <c r="F788" s="0" t="n">
        <v>84.4087730451367</v>
      </c>
      <c r="G788" s="0" t="n">
        <v>94.6266062734866</v>
      </c>
      <c r="H788" s="0" t="n">
        <v>108.805779855504</v>
      </c>
      <c r="I788" s="0" t="n">
        <v>14.179173582017</v>
      </c>
    </row>
    <row r="789" customFormat="false" ht="13.8" hidden="false" customHeight="false" outlineLevel="0" collapsed="false">
      <c r="A789" s="2" t="n">
        <v>40557</v>
      </c>
      <c r="B789" s="0" t="n">
        <v>1293.24</v>
      </c>
      <c r="C789" s="0" t="n">
        <v>278.17</v>
      </c>
      <c r="D789" s="3" t="n">
        <f aca="false">B789*100/B$2</f>
        <v>89.3639956881064</v>
      </c>
      <c r="E789" s="3" t="n">
        <f aca="false">C789*100/C$2</f>
        <v>118.219294517637</v>
      </c>
      <c r="F789" s="0" t="n">
        <v>84.6285137787114</v>
      </c>
      <c r="G789" s="0" t="n">
        <v>94.7000085151019</v>
      </c>
      <c r="H789" s="0" t="n">
        <v>109.498512537187</v>
      </c>
      <c r="I789" s="0" t="n">
        <v>14.7985040220846</v>
      </c>
    </row>
    <row r="790" customFormat="false" ht="13.8" hidden="false" customHeight="false" outlineLevel="0" collapsed="false">
      <c r="A790" s="2" t="n">
        <v>40560</v>
      </c>
      <c r="B790" s="0" t="n">
        <v>1293.24</v>
      </c>
      <c r="C790" s="0" t="n">
        <v>277.05</v>
      </c>
      <c r="D790" s="3" t="n">
        <f aca="false">B790*100/B$2</f>
        <v>89.3639956881064</v>
      </c>
      <c r="E790" s="3" t="n">
        <f aca="false">C790*100/C$2</f>
        <v>117.74330641734</v>
      </c>
      <c r="F790" s="0" t="n">
        <v>84.518643411924</v>
      </c>
      <c r="G790" s="0" t="n">
        <v>94.6633073942943</v>
      </c>
      <c r="H790" s="0" t="n">
        <v>109.358266043349</v>
      </c>
      <c r="I790" s="0" t="n">
        <v>14.6949586490546</v>
      </c>
    </row>
    <row r="791" customFormat="false" ht="13.8" hidden="false" customHeight="false" outlineLevel="0" collapsed="false">
      <c r="A791" s="2" t="n">
        <v>40561</v>
      </c>
      <c r="B791" s="0" t="n">
        <v>1295.02</v>
      </c>
      <c r="C791" s="0" t="n">
        <v>276.6</v>
      </c>
      <c r="D791" s="3" t="n">
        <f aca="false">B791*100/B$2</f>
        <v>89.4869952182205</v>
      </c>
      <c r="E791" s="3" t="n">
        <f aca="false">C791*100/C$2</f>
        <v>117.55206119847</v>
      </c>
      <c r="F791" s="0" t="n">
        <v>84.5621769534813</v>
      </c>
      <c r="G791" s="0" t="n">
        <v>94.6778493478218</v>
      </c>
      <c r="H791" s="0" t="n">
        <v>109.915002124947</v>
      </c>
      <c r="I791" s="0" t="n">
        <v>15.237152777125</v>
      </c>
    </row>
    <row r="792" customFormat="false" ht="13.8" hidden="false" customHeight="false" outlineLevel="0" collapsed="false">
      <c r="A792" s="2" t="n">
        <v>40562</v>
      </c>
      <c r="B792" s="0" t="n">
        <v>1281.92</v>
      </c>
      <c r="C792" s="0" t="n">
        <v>279.25</v>
      </c>
      <c r="D792" s="3" t="n">
        <f aca="false">B792*100/B$2</f>
        <v>88.581773957268</v>
      </c>
      <c r="E792" s="3" t="n">
        <f aca="false">C792*100/C$2</f>
        <v>118.678283042924</v>
      </c>
      <c r="F792" s="0" t="n">
        <v>84.8752038475359</v>
      </c>
      <c r="G792" s="0" t="n">
        <v>94.7824129184249</v>
      </c>
      <c r="H792" s="0" t="n">
        <v>109.439014024649</v>
      </c>
      <c r="I792" s="0" t="n">
        <v>14.6566011062245</v>
      </c>
    </row>
    <row r="793" customFormat="false" ht="13.8" hidden="false" customHeight="false" outlineLevel="0" collapsed="false">
      <c r="A793" s="2" t="n">
        <v>40563</v>
      </c>
      <c r="B793" s="0" t="n">
        <v>1280.26</v>
      </c>
      <c r="C793" s="0" t="n">
        <v>277.75</v>
      </c>
      <c r="D793" s="3" t="n">
        <f aca="false">B793*100/B$2</f>
        <v>88.4670665303076</v>
      </c>
      <c r="E793" s="3" t="n">
        <f aca="false">C793*100/C$2</f>
        <v>118.040798980026</v>
      </c>
      <c r="F793" s="0" t="n">
        <v>85.2013599049172</v>
      </c>
      <c r="G793" s="0" t="n">
        <v>94.8913621575521</v>
      </c>
      <c r="H793" s="0" t="n">
        <v>111.483212919677</v>
      </c>
      <c r="I793" s="0" t="n">
        <v>16.5918507621249</v>
      </c>
    </row>
    <row r="794" customFormat="false" ht="13.8" hidden="false" customHeight="false" outlineLevel="0" collapsed="false">
      <c r="A794" s="2" t="n">
        <v>40564</v>
      </c>
      <c r="B794" s="0" t="n">
        <v>1283.35</v>
      </c>
      <c r="C794" s="0" t="n">
        <v>272.67</v>
      </c>
      <c r="D794" s="3" t="n">
        <f aca="false">B794*100/B$2</f>
        <v>88.680588186517</v>
      </c>
      <c r="E794" s="3" t="n">
        <f aca="false">C794*100/C$2</f>
        <v>115.881852953676</v>
      </c>
      <c r="F794" s="0" t="n">
        <v>85.7127062660659</v>
      </c>
      <c r="G794" s="0" t="n">
        <v>95.0621724053362</v>
      </c>
      <c r="H794" s="0" t="n">
        <v>111.236719082023</v>
      </c>
      <c r="I794" s="0" t="n">
        <v>16.1745466766867</v>
      </c>
    </row>
    <row r="795" customFormat="false" ht="13.8" hidden="false" customHeight="false" outlineLevel="0" collapsed="false">
      <c r="A795" s="2" t="n">
        <v>40567</v>
      </c>
      <c r="B795" s="0" t="n">
        <v>1290.84</v>
      </c>
      <c r="C795" s="0" t="n">
        <v>274.5</v>
      </c>
      <c r="D795" s="3" t="n">
        <f aca="false">B795*100/B$2</f>
        <v>89.1981536250311</v>
      </c>
      <c r="E795" s="3" t="n">
        <f aca="false">C795*100/C$2</f>
        <v>116.659583510412</v>
      </c>
      <c r="F795" s="0" t="n">
        <v>85.7168523176428</v>
      </c>
      <c r="G795" s="0" t="n">
        <v>95.0635573532913</v>
      </c>
      <c r="H795" s="0" t="n">
        <v>111.90395240119</v>
      </c>
      <c r="I795" s="0" t="n">
        <v>16.8403950478987</v>
      </c>
    </row>
    <row r="796" customFormat="false" ht="13.8" hidden="false" customHeight="false" outlineLevel="0" collapsed="false">
      <c r="A796" s="2" t="n">
        <v>40568</v>
      </c>
      <c r="B796" s="0" t="n">
        <v>1291.18</v>
      </c>
      <c r="C796" s="0" t="n">
        <v>275.18</v>
      </c>
      <c r="D796" s="3" t="n">
        <f aca="false">B796*100/B$2</f>
        <v>89.2216479173001</v>
      </c>
      <c r="E796" s="3" t="n">
        <f aca="false">C796*100/C$2</f>
        <v>116.948576285593</v>
      </c>
      <c r="F796" s="0" t="n">
        <v>85.7949362890074</v>
      </c>
      <c r="G796" s="0" t="n">
        <v>95.0896405397772</v>
      </c>
      <c r="H796" s="0" t="n">
        <v>112.677433064173</v>
      </c>
      <c r="I796" s="0" t="n">
        <v>17.5877925243962</v>
      </c>
    </row>
    <row r="797" customFormat="false" ht="13.8" hidden="false" customHeight="false" outlineLevel="0" collapsed="false">
      <c r="A797" s="2" t="n">
        <v>40569</v>
      </c>
      <c r="B797" s="0" t="n">
        <v>1296.63</v>
      </c>
      <c r="C797" s="0" t="n">
        <v>278.81</v>
      </c>
      <c r="D797" s="3" t="n">
        <f aca="false">B797*100/B$2</f>
        <v>89.5982476022002</v>
      </c>
      <c r="E797" s="3" t="n">
        <f aca="false">C797*100/C$2</f>
        <v>118.491287717807</v>
      </c>
      <c r="F797" s="0" t="n">
        <v>85.355454821858</v>
      </c>
      <c r="G797" s="0" t="n">
        <v>94.9428360565465</v>
      </c>
      <c r="H797" s="0" t="n">
        <v>113.025924351891</v>
      </c>
      <c r="I797" s="0" t="n">
        <v>18.0830882953447</v>
      </c>
    </row>
    <row r="798" customFormat="false" ht="13.8" hidden="false" customHeight="false" outlineLevel="0" collapsed="false">
      <c r="A798" s="2" t="n">
        <v>40570</v>
      </c>
      <c r="B798" s="0" t="n">
        <v>1299.54</v>
      </c>
      <c r="C798" s="0" t="n">
        <v>279.2</v>
      </c>
      <c r="D798" s="3" t="n">
        <f aca="false">B798*100/B$2</f>
        <v>89.7993311036789</v>
      </c>
      <c r="E798" s="3" t="n">
        <f aca="false">C798*100/C$2</f>
        <v>118.657033574161</v>
      </c>
      <c r="F798" s="0" t="n">
        <v>85.8833853893142</v>
      </c>
      <c r="G798" s="0" t="n">
        <v>95.1191860961507</v>
      </c>
      <c r="H798" s="0" t="n">
        <v>112.588185295368</v>
      </c>
      <c r="I798" s="0" t="n">
        <v>17.4689991992169</v>
      </c>
    </row>
    <row r="799" customFormat="false" ht="13.8" hidden="false" customHeight="false" outlineLevel="0" collapsed="false">
      <c r="A799" s="2" t="n">
        <v>40571</v>
      </c>
      <c r="B799" s="0" t="n">
        <v>1276.34</v>
      </c>
      <c r="C799" s="0" t="n">
        <v>278.45</v>
      </c>
      <c r="D799" s="3" t="n">
        <f aca="false">B799*100/B$2</f>
        <v>88.196191160618</v>
      </c>
      <c r="E799" s="3" t="n">
        <f aca="false">C799*100/C$2</f>
        <v>118.338291542711</v>
      </c>
      <c r="F799" s="0" t="n">
        <v>85.9552502833135</v>
      </c>
      <c r="G799" s="0" t="n">
        <v>95.1431918607041</v>
      </c>
      <c r="H799" s="0" t="n">
        <v>113.756906077348</v>
      </c>
      <c r="I799" s="0" t="n">
        <v>18.6137142166439</v>
      </c>
    </row>
    <row r="800" customFormat="false" ht="13.8" hidden="false" customHeight="false" outlineLevel="0" collapsed="false">
      <c r="A800" s="2" t="n">
        <v>40574</v>
      </c>
      <c r="B800" s="0" t="n">
        <v>1286.12</v>
      </c>
      <c r="C800" s="0" t="n">
        <v>273.12</v>
      </c>
      <c r="D800" s="3" t="n">
        <f aca="false">B800*100/B$2</f>
        <v>88.8719975676497</v>
      </c>
      <c r="E800" s="3" t="n">
        <f aca="false">C800*100/C$2</f>
        <v>116.073098172546</v>
      </c>
      <c r="F800" s="0" t="n">
        <v>86.1743000082921</v>
      </c>
      <c r="G800" s="0" t="n">
        <v>95.2163632776603</v>
      </c>
      <c r="H800" s="0" t="n">
        <v>113.650658733532</v>
      </c>
      <c r="I800" s="0" t="n">
        <v>18.4342954558713</v>
      </c>
    </row>
    <row r="801" customFormat="false" ht="13.8" hidden="false" customHeight="false" outlineLevel="0" collapsed="false">
      <c r="A801" s="2" t="n">
        <v>40575</v>
      </c>
      <c r="B801" s="0" t="n">
        <v>1307.59</v>
      </c>
      <c r="C801" s="0" t="n">
        <v>273.45</v>
      </c>
      <c r="D801" s="3" t="n">
        <f aca="false">B801*100/B$2</f>
        <v>90.3555930235772</v>
      </c>
      <c r="E801" s="3" t="n">
        <f aca="false">C801*100/C$2</f>
        <v>116.213344666383</v>
      </c>
      <c r="F801" s="0" t="n">
        <v>86.6939384725946</v>
      </c>
      <c r="G801" s="0" t="n">
        <v>95.3899434213545</v>
      </c>
      <c r="H801" s="0" t="n">
        <v>114.453888652784</v>
      </c>
      <c r="I801" s="0" t="n">
        <v>19.0639452314291</v>
      </c>
    </row>
    <row r="802" customFormat="false" ht="13.8" hidden="false" customHeight="false" outlineLevel="0" collapsed="false">
      <c r="A802" s="2" t="n">
        <v>40576</v>
      </c>
      <c r="B802" s="0" t="n">
        <v>1304.03</v>
      </c>
      <c r="C802" s="0" t="n">
        <v>273.45</v>
      </c>
      <c r="D802" s="3" t="n">
        <f aca="false">B802*100/B$2</f>
        <v>90.1095939633489</v>
      </c>
      <c r="E802" s="3" t="n">
        <f aca="false">C802*100/C$2</f>
        <v>116.213344666383</v>
      </c>
      <c r="F802" s="0" t="n">
        <v>86.9869261173609</v>
      </c>
      <c r="G802" s="0" t="n">
        <v>95.4878130768417</v>
      </c>
      <c r="H802" s="0" t="n">
        <v>114.577135571611</v>
      </c>
      <c r="I802" s="0" t="n">
        <v>19.0893224947691</v>
      </c>
    </row>
    <row r="803" customFormat="false" ht="13.8" hidden="false" customHeight="false" outlineLevel="0" collapsed="false">
      <c r="A803" s="2" t="n">
        <v>40577</v>
      </c>
      <c r="B803" s="0" t="n">
        <v>1307.1</v>
      </c>
      <c r="C803" s="0" t="n">
        <v>273.45</v>
      </c>
      <c r="D803" s="3" t="n">
        <f aca="false">B803*100/B$2</f>
        <v>90.321733602366</v>
      </c>
      <c r="E803" s="3" t="n">
        <f aca="false">C803*100/C$2</f>
        <v>116.213344666383</v>
      </c>
      <c r="F803" s="0" t="n">
        <v>86.8438873379585</v>
      </c>
      <c r="G803" s="0" t="n">
        <v>95.4400323723939</v>
      </c>
      <c r="H803" s="0" t="n">
        <v>114.585635359116</v>
      </c>
      <c r="I803" s="0" t="n">
        <v>19.1456029867221</v>
      </c>
    </row>
    <row r="804" customFormat="false" ht="13.8" hidden="false" customHeight="false" outlineLevel="0" collapsed="false">
      <c r="A804" s="2" t="n">
        <v>40578</v>
      </c>
      <c r="B804" s="0" t="n">
        <v>1310.87</v>
      </c>
      <c r="C804" s="0" t="n">
        <v>273.45</v>
      </c>
      <c r="D804" s="3" t="n">
        <f aca="false">B804*100/B$2</f>
        <v>90.5822438431134</v>
      </c>
      <c r="E804" s="3" t="n">
        <f aca="false">C804*100/C$2</f>
        <v>116.213344666383</v>
      </c>
      <c r="F804" s="0" t="n">
        <v>86.8438873379585</v>
      </c>
      <c r="G804" s="0" t="n">
        <v>95.4400323723939</v>
      </c>
      <c r="H804" s="0" t="n">
        <v>114.109647258819</v>
      </c>
      <c r="I804" s="0" t="n">
        <v>18.6696148864246</v>
      </c>
    </row>
    <row r="805" customFormat="false" ht="13.8" hidden="false" customHeight="false" outlineLevel="0" collapsed="false">
      <c r="A805" s="2" t="n">
        <v>40581</v>
      </c>
      <c r="B805" s="0" t="n">
        <v>1319.05</v>
      </c>
      <c r="C805" s="0" t="n">
        <v>274.9</v>
      </c>
      <c r="D805" s="3" t="n">
        <f aca="false">B805*100/B$2</f>
        <v>91.1474888747616</v>
      </c>
      <c r="E805" s="3" t="n">
        <f aca="false">C805*100/C$2</f>
        <v>116.829579260518</v>
      </c>
      <c r="F805" s="0" t="n">
        <v>86.8970949998618</v>
      </c>
      <c r="G805" s="0" t="n">
        <v>95.4578058711499</v>
      </c>
      <c r="H805" s="0" t="n">
        <v>113.620909477263</v>
      </c>
      <c r="I805" s="0" t="n">
        <v>18.1631036061132</v>
      </c>
    </row>
    <row r="806" customFormat="false" ht="13.8" hidden="false" customHeight="false" outlineLevel="0" collapsed="false">
      <c r="A806" s="2" t="n">
        <v>40582</v>
      </c>
      <c r="B806" s="0" t="n">
        <v>1324.57</v>
      </c>
      <c r="C806" s="0" t="n">
        <v>273.16</v>
      </c>
      <c r="D806" s="3" t="n">
        <f aca="false">B806*100/B$2</f>
        <v>91.5289256198347</v>
      </c>
      <c r="E806" s="3" t="n">
        <f aca="false">C806*100/C$2</f>
        <v>116.090097747556</v>
      </c>
      <c r="F806" s="0" t="n">
        <v>86.964122833688</v>
      </c>
      <c r="G806" s="0" t="n">
        <v>95.4801958630891</v>
      </c>
      <c r="H806" s="0" t="n">
        <v>114.339141521462</v>
      </c>
      <c r="I806" s="0" t="n">
        <v>18.8589456583728</v>
      </c>
    </row>
    <row r="807" customFormat="false" ht="13.8" hidden="false" customHeight="false" outlineLevel="0" collapsed="false">
      <c r="A807" s="2" t="n">
        <v>40583</v>
      </c>
      <c r="B807" s="0" t="n">
        <v>1320.88</v>
      </c>
      <c r="C807" s="0" t="n">
        <v>269.9</v>
      </c>
      <c r="D807" s="3" t="n">
        <f aca="false">B807*100/B$2</f>
        <v>91.2739434478565</v>
      </c>
      <c r="E807" s="3" t="n">
        <f aca="false">C807*100/C$2</f>
        <v>114.70463238419</v>
      </c>
      <c r="F807" s="0" t="n">
        <v>87.0518809253987</v>
      </c>
      <c r="G807" s="0" t="n">
        <v>95.5095105948035</v>
      </c>
      <c r="H807" s="0" t="n">
        <v>114.934126646834</v>
      </c>
      <c r="I807" s="0" t="n">
        <v>19.4246160520304</v>
      </c>
    </row>
    <row r="808" customFormat="false" ht="13.8" hidden="false" customHeight="false" outlineLevel="0" collapsed="false">
      <c r="A808" s="2" t="n">
        <v>40584</v>
      </c>
      <c r="B808" s="0" t="n">
        <v>1321.87</v>
      </c>
      <c r="C808" s="0" t="n">
        <v>264.57</v>
      </c>
      <c r="D808" s="3" t="n">
        <f aca="false">B808*100/B$2</f>
        <v>91.342353298875</v>
      </c>
      <c r="E808" s="3" t="n">
        <f aca="false">C808*100/C$2</f>
        <v>112.439439014025</v>
      </c>
      <c r="F808" s="0" t="n">
        <v>86.9205892921308</v>
      </c>
      <c r="G808" s="0" t="n">
        <v>95.4656539095616</v>
      </c>
      <c r="H808" s="0" t="n">
        <v>115.252868678283</v>
      </c>
      <c r="I808" s="0" t="n">
        <v>19.7872147687215</v>
      </c>
    </row>
    <row r="809" customFormat="false" ht="13.8" hidden="false" customHeight="false" outlineLevel="0" collapsed="false">
      <c r="A809" s="2" t="n">
        <v>40585</v>
      </c>
      <c r="B809" s="0" t="n">
        <v>1329.15</v>
      </c>
      <c r="C809" s="0" t="n">
        <v>260.4</v>
      </c>
      <c r="D809" s="3" t="n">
        <f aca="false">B809*100/B$2</f>
        <v>91.84540755687</v>
      </c>
      <c r="E809" s="3" t="n">
        <f aca="false">C809*100/C$2</f>
        <v>110.667233319167</v>
      </c>
      <c r="F809" s="0" t="n">
        <v>86.9040050858233</v>
      </c>
      <c r="G809" s="0" t="n">
        <v>95.4601141177416</v>
      </c>
      <c r="H809" s="0" t="n">
        <v>115.252868678283</v>
      </c>
      <c r="I809" s="0" t="n">
        <v>19.7927545605415</v>
      </c>
    </row>
    <row r="810" customFormat="false" ht="13.8" hidden="false" customHeight="false" outlineLevel="0" collapsed="false">
      <c r="A810" s="2" t="n">
        <v>40588</v>
      </c>
      <c r="B810" s="0" t="n">
        <v>1332.32</v>
      </c>
      <c r="C810" s="0" t="n">
        <v>266.02</v>
      </c>
      <c r="D810" s="3" t="n">
        <f aca="false">B810*100/B$2</f>
        <v>92.0644572818486</v>
      </c>
      <c r="E810" s="3" t="n">
        <f aca="false">C810*100/C$2</f>
        <v>113.05567360816</v>
      </c>
      <c r="F810" s="0" t="n">
        <v>87.8886923353327</v>
      </c>
      <c r="G810" s="0" t="n">
        <v>95.7890392570557</v>
      </c>
      <c r="H810" s="0" t="n">
        <v>116.366340841479</v>
      </c>
      <c r="I810" s="0" t="n">
        <v>20.5773015844233</v>
      </c>
    </row>
    <row r="811" customFormat="false" ht="13.8" hidden="false" customHeight="false" outlineLevel="0" collapsed="false">
      <c r="A811" s="2" t="n">
        <v>40589</v>
      </c>
      <c r="B811" s="0" t="n">
        <v>1328.01</v>
      </c>
      <c r="C811" s="0" t="n">
        <v>265.4</v>
      </c>
      <c r="D811" s="3" t="n">
        <f aca="false">B811*100/B$2</f>
        <v>91.7666325769092</v>
      </c>
      <c r="E811" s="3" t="n">
        <f aca="false">C811*100/C$2</f>
        <v>112.792180195495</v>
      </c>
      <c r="F811" s="0" t="n">
        <v>87.7719118825838</v>
      </c>
      <c r="G811" s="0" t="n">
        <v>95.7500298896563</v>
      </c>
      <c r="H811" s="0" t="n">
        <v>117.203569910752</v>
      </c>
      <c r="I811" s="0" t="n">
        <v>21.4535400210959</v>
      </c>
    </row>
    <row r="812" customFormat="false" ht="13.8" hidden="false" customHeight="false" outlineLevel="0" collapsed="false">
      <c r="A812" s="2" t="n">
        <v>40590</v>
      </c>
      <c r="B812" s="0" t="n">
        <v>1336.32</v>
      </c>
      <c r="C812" s="0" t="n">
        <v>262.56</v>
      </c>
      <c r="D812" s="3" t="n">
        <f aca="false">B812*100/B$2</f>
        <v>92.3408607203074</v>
      </c>
      <c r="E812" s="3" t="n">
        <f aca="false">C812*100/C$2</f>
        <v>111.585210369741</v>
      </c>
      <c r="F812" s="0" t="n">
        <v>88.2113933497333</v>
      </c>
      <c r="G812" s="0" t="n">
        <v>95.896834372887</v>
      </c>
      <c r="H812" s="0" t="n">
        <v>117.020824479388</v>
      </c>
      <c r="I812" s="0" t="n">
        <v>21.123990106501</v>
      </c>
    </row>
    <row r="813" customFormat="false" ht="13.8" hidden="false" customHeight="false" outlineLevel="0" collapsed="false">
      <c r="A813" s="2" t="n">
        <v>40591</v>
      </c>
      <c r="B813" s="0" t="n">
        <v>1340.43</v>
      </c>
      <c r="C813" s="0" t="n">
        <v>261.23</v>
      </c>
      <c r="D813" s="3" t="n">
        <f aca="false">B813*100/B$2</f>
        <v>92.6248652533237</v>
      </c>
      <c r="E813" s="3" t="n">
        <f aca="false">C813*100/C$2</f>
        <v>111.019974500637</v>
      </c>
      <c r="F813" s="0" t="n">
        <v>88.0241300201774</v>
      </c>
      <c r="G813" s="0" t="n">
        <v>95.8342808902526</v>
      </c>
      <c r="H813" s="0" t="n">
        <v>116.753081172971</v>
      </c>
      <c r="I813" s="0" t="n">
        <v>20.9188002827181</v>
      </c>
    </row>
    <row r="814" customFormat="false" ht="13.8" hidden="false" customHeight="false" outlineLevel="0" collapsed="false">
      <c r="A814" s="2" t="n">
        <v>40592</v>
      </c>
      <c r="B814" s="0" t="n">
        <v>1343.01</v>
      </c>
      <c r="C814" s="0" t="n">
        <v>265.8</v>
      </c>
      <c r="D814" s="3" t="n">
        <f aca="false">B814*100/B$2</f>
        <v>92.8031454711297</v>
      </c>
      <c r="E814" s="3" t="n">
        <f aca="false">C814*100/C$2</f>
        <v>112.962175945601</v>
      </c>
      <c r="F814" s="0" t="n">
        <v>87.8617430000829</v>
      </c>
      <c r="G814" s="0" t="n">
        <v>95.7800370953481</v>
      </c>
      <c r="H814" s="0" t="n">
        <v>117.131321716957</v>
      </c>
      <c r="I814" s="0" t="n">
        <v>21.3512846216089</v>
      </c>
    </row>
    <row r="815" customFormat="false" ht="13.8" hidden="false" customHeight="false" outlineLevel="0" collapsed="false">
      <c r="A815" s="2" t="n">
        <v>40595</v>
      </c>
      <c r="B815" s="0" t="n">
        <v>1343.01</v>
      </c>
      <c r="C815" s="0" t="n">
        <v>264.55</v>
      </c>
      <c r="D815" s="3" t="n">
        <f aca="false">B815*100/B$2</f>
        <v>92.8031454711297</v>
      </c>
      <c r="E815" s="3" t="n">
        <f aca="false">C815*100/C$2</f>
        <v>112.430939226519</v>
      </c>
      <c r="F815" s="0" t="n">
        <v>87.7408164957572</v>
      </c>
      <c r="G815" s="0" t="n">
        <v>95.7396427799938</v>
      </c>
      <c r="H815" s="0" t="n">
        <v>116.442838929027</v>
      </c>
      <c r="I815" s="0" t="n">
        <v>20.703196149033</v>
      </c>
    </row>
    <row r="816" customFormat="false" ht="13.8" hidden="false" customHeight="false" outlineLevel="0" collapsed="false">
      <c r="A816" s="2" t="n">
        <v>40596</v>
      </c>
      <c r="B816" s="0" t="n">
        <v>1315.44</v>
      </c>
      <c r="C816" s="0" t="n">
        <v>260.13</v>
      </c>
      <c r="D816" s="3" t="n">
        <f aca="false">B816*100/B$2</f>
        <v>90.8980347715526</v>
      </c>
      <c r="E816" s="3" t="n">
        <f aca="false">C816*100/C$2</f>
        <v>110.552486187845</v>
      </c>
      <c r="F816" s="0" t="n">
        <v>88.0676635617347</v>
      </c>
      <c r="G816" s="0" t="n">
        <v>95.8488228437802</v>
      </c>
      <c r="H816" s="0" t="n">
        <v>116.914577135572</v>
      </c>
      <c r="I816" s="0" t="n">
        <v>21.0657542917915</v>
      </c>
    </row>
    <row r="817" customFormat="false" ht="13.8" hidden="false" customHeight="false" outlineLevel="0" collapsed="false">
      <c r="A817" s="2" t="n">
        <v>40597</v>
      </c>
      <c r="B817" s="0" t="n">
        <v>1307.4</v>
      </c>
      <c r="C817" s="0" t="n">
        <v>259.21</v>
      </c>
      <c r="D817" s="3" t="n">
        <f aca="false">B817*100/B$2</f>
        <v>90.3424638602504</v>
      </c>
      <c r="E817" s="3" t="n">
        <f aca="false">C817*100/C$2</f>
        <v>110.161495962601</v>
      </c>
      <c r="F817" s="0" t="n">
        <v>88.8609414301114</v>
      </c>
      <c r="G817" s="0" t="n">
        <v>96.1138095525048</v>
      </c>
      <c r="H817" s="0" t="n">
        <v>117.369315767106</v>
      </c>
      <c r="I817" s="0" t="n">
        <v>21.255506214601</v>
      </c>
    </row>
    <row r="818" customFormat="false" ht="13.8" hidden="false" customHeight="false" outlineLevel="0" collapsed="false">
      <c r="A818" s="2" t="n">
        <v>40598</v>
      </c>
      <c r="B818" s="0" t="n">
        <v>1306.1</v>
      </c>
      <c r="C818" s="0" t="n">
        <v>257.69</v>
      </c>
      <c r="D818" s="3" t="n">
        <f aca="false">B818*100/B$2</f>
        <v>90.2526327427513</v>
      </c>
      <c r="E818" s="3" t="n">
        <f aca="false">C818*100/C$2</f>
        <v>109.515512112197</v>
      </c>
      <c r="F818" s="0" t="n">
        <v>88.7089195389591</v>
      </c>
      <c r="G818" s="0" t="n">
        <v>96.0630281274879</v>
      </c>
      <c r="H818" s="0" t="n">
        <v>117.093072673183</v>
      </c>
      <c r="I818" s="0" t="n">
        <v>21.0300445456953</v>
      </c>
    </row>
    <row r="819" customFormat="false" ht="13.8" hidden="false" customHeight="false" outlineLevel="0" collapsed="false">
      <c r="A819" s="2" t="n">
        <v>40599</v>
      </c>
      <c r="B819" s="0" t="n">
        <v>1319.88</v>
      </c>
      <c r="C819" s="0" t="n">
        <v>259.28</v>
      </c>
      <c r="D819" s="3" t="n">
        <f aca="false">B819*100/B$2</f>
        <v>91.2048425882418</v>
      </c>
      <c r="E819" s="3" t="n">
        <f aca="false">C819*100/C$2</f>
        <v>110.19124521887</v>
      </c>
      <c r="F819" s="0" t="n">
        <v>89.3639956881064</v>
      </c>
      <c r="G819" s="0" t="n">
        <v>96.281849904379</v>
      </c>
      <c r="H819" s="0" t="n">
        <v>118.219294517637</v>
      </c>
      <c r="I819" s="0" t="n">
        <v>21.9374446132581</v>
      </c>
    </row>
    <row r="820" customFormat="false" ht="13.8" hidden="false" customHeight="false" outlineLevel="0" collapsed="false">
      <c r="A820" s="2" t="n">
        <v>40602</v>
      </c>
      <c r="B820" s="0" t="n">
        <v>1327.22</v>
      </c>
      <c r="C820" s="0" t="n">
        <v>256.36</v>
      </c>
      <c r="D820" s="3" t="n">
        <f aca="false">B820*100/B$2</f>
        <v>91.7120428978136</v>
      </c>
      <c r="E820" s="3" t="n">
        <f aca="false">C820*100/C$2</f>
        <v>108.950276243094</v>
      </c>
      <c r="F820" s="0" t="n">
        <v>89.3639956881064</v>
      </c>
      <c r="G820" s="0" t="n">
        <v>96.281849904379</v>
      </c>
      <c r="H820" s="0" t="n">
        <v>117.74330641734</v>
      </c>
      <c r="I820" s="0" t="n">
        <v>21.4614565129606</v>
      </c>
    </row>
    <row r="821" customFormat="false" ht="13.8" hidden="false" customHeight="false" outlineLevel="0" collapsed="false">
      <c r="A821" s="2" t="n">
        <v>40603</v>
      </c>
      <c r="B821" s="0" t="n">
        <v>1306.33</v>
      </c>
      <c r="C821" s="0" t="n">
        <v>256.36</v>
      </c>
      <c r="D821" s="3" t="n">
        <f aca="false">B821*100/B$2</f>
        <v>90.2685259404627</v>
      </c>
      <c r="E821" s="3" t="n">
        <f aca="false">C821*100/C$2</f>
        <v>108.950276243094</v>
      </c>
      <c r="F821" s="0" t="n">
        <v>89.4869952182205</v>
      </c>
      <c r="G821" s="0" t="n">
        <v>96.3229366937108</v>
      </c>
      <c r="H821" s="0" t="n">
        <v>117.55206119847</v>
      </c>
      <c r="I821" s="0" t="n">
        <v>21.2291245047592</v>
      </c>
    </row>
    <row r="822" customFormat="false" ht="13.8" hidden="false" customHeight="false" outlineLevel="0" collapsed="false">
      <c r="A822" s="2" t="n">
        <v>40604</v>
      </c>
      <c r="B822" s="0" t="n">
        <v>1308.44</v>
      </c>
      <c r="C822" s="0" t="n">
        <v>254.96</v>
      </c>
      <c r="D822" s="3" t="n">
        <f aca="false">B822*100/B$2</f>
        <v>90.4143287542497</v>
      </c>
      <c r="E822" s="3" t="n">
        <f aca="false">C822*100/C$2</f>
        <v>108.355291117722</v>
      </c>
      <c r="F822" s="0" t="n">
        <v>88.581773957268</v>
      </c>
      <c r="G822" s="0" t="n">
        <v>96.020556390201</v>
      </c>
      <c r="H822" s="0" t="n">
        <v>118.678283042924</v>
      </c>
      <c r="I822" s="0" t="n">
        <v>22.6577266527229</v>
      </c>
    </row>
    <row r="823" customFormat="false" ht="13.8" hidden="false" customHeight="false" outlineLevel="0" collapsed="false">
      <c r="A823" s="2" t="n">
        <v>40605</v>
      </c>
      <c r="B823" s="0" t="n">
        <v>1330.97</v>
      </c>
      <c r="C823" s="0" t="n">
        <v>260.48</v>
      </c>
      <c r="D823" s="3" t="n">
        <f aca="false">B823*100/B$2</f>
        <v>91.9711711213687</v>
      </c>
      <c r="E823" s="3" t="n">
        <f aca="false">C823*100/C$2</f>
        <v>110.701232469188</v>
      </c>
      <c r="F823" s="0" t="n">
        <v>88.4670665303076</v>
      </c>
      <c r="G823" s="0" t="n">
        <v>95.9822394967791</v>
      </c>
      <c r="H823" s="0" t="n">
        <v>118.040798980026</v>
      </c>
      <c r="I823" s="0" t="n">
        <v>22.0585594832464</v>
      </c>
    </row>
    <row r="824" customFormat="false" ht="13.8" hidden="false" customHeight="false" outlineLevel="0" collapsed="false">
      <c r="A824" s="2" t="n">
        <v>40606</v>
      </c>
      <c r="B824" s="0" t="n">
        <v>1321.15</v>
      </c>
      <c r="C824" s="0" t="n">
        <v>265.42</v>
      </c>
      <c r="D824" s="3" t="n">
        <f aca="false">B824*100/B$2</f>
        <v>91.2926006799525</v>
      </c>
      <c r="E824" s="3" t="n">
        <f aca="false">C824*100/C$2</f>
        <v>112.800679983</v>
      </c>
      <c r="F824" s="0" t="n">
        <v>88.680588186517</v>
      </c>
      <c r="G824" s="0" t="n">
        <v>96.053564316462</v>
      </c>
      <c r="H824" s="0" t="n">
        <v>115.881852953676</v>
      </c>
      <c r="I824" s="0" t="n">
        <v>19.8282886372142</v>
      </c>
    </row>
    <row r="825" customFormat="false" ht="13.8" hidden="false" customHeight="false" outlineLevel="0" collapsed="false">
      <c r="A825" s="2" t="n">
        <v>40609</v>
      </c>
      <c r="B825" s="0" t="n">
        <v>1310.13</v>
      </c>
      <c r="C825" s="0" t="n">
        <v>261.44</v>
      </c>
      <c r="D825" s="3" t="n">
        <f aca="false">B825*100/B$2</f>
        <v>90.5311092069985</v>
      </c>
      <c r="E825" s="3" t="n">
        <f aca="false">C825*100/C$2</f>
        <v>111.109222269443</v>
      </c>
      <c r="F825" s="0" t="n">
        <v>89.1981536250311</v>
      </c>
      <c r="G825" s="0" t="n">
        <v>96.2264519861787</v>
      </c>
      <c r="H825" s="0" t="n">
        <v>116.659583510412</v>
      </c>
      <c r="I825" s="0" t="n">
        <v>20.4331315242335</v>
      </c>
    </row>
    <row r="826" customFormat="false" ht="13.8" hidden="false" customHeight="false" outlineLevel="0" collapsed="false">
      <c r="A826" s="2" t="n">
        <v>40610</v>
      </c>
      <c r="B826" s="0" t="n">
        <v>1321.82</v>
      </c>
      <c r="C826" s="0" t="n">
        <v>263.33</v>
      </c>
      <c r="D826" s="3" t="n">
        <f aca="false">B826*100/B$2</f>
        <v>91.3388982558943</v>
      </c>
      <c r="E826" s="3" t="n">
        <f aca="false">C826*100/C$2</f>
        <v>111.912452188695</v>
      </c>
      <c r="F826" s="0" t="n">
        <v>89.2216479173001</v>
      </c>
      <c r="G826" s="0" t="n">
        <v>96.2343000245904</v>
      </c>
      <c r="H826" s="0" t="n">
        <v>116.948576285593</v>
      </c>
      <c r="I826" s="0" t="n">
        <v>20.7142762610025</v>
      </c>
    </row>
    <row r="827" customFormat="false" ht="13.8" hidden="false" customHeight="false" outlineLevel="0" collapsed="false">
      <c r="A827" s="2" t="n">
        <v>40611</v>
      </c>
      <c r="B827" s="0" t="n">
        <v>1320.02</v>
      </c>
      <c r="C827" s="0" t="n">
        <v>263.8</v>
      </c>
      <c r="D827" s="3" t="n">
        <f aca="false">B827*100/B$2</f>
        <v>91.2145167085879</v>
      </c>
      <c r="E827" s="3" t="n">
        <f aca="false">C827*100/C$2</f>
        <v>112.11219719507</v>
      </c>
      <c r="F827" s="0" t="n">
        <v>89.5982476022002</v>
      </c>
      <c r="G827" s="0" t="n">
        <v>96.3600994638368</v>
      </c>
      <c r="H827" s="0" t="n">
        <v>118.491287717807</v>
      </c>
      <c r="I827" s="0" t="n">
        <v>22.1311882539702</v>
      </c>
    </row>
    <row r="828" customFormat="false" ht="13.8" hidden="false" customHeight="false" outlineLevel="0" collapsed="false">
      <c r="A828" s="2" t="n">
        <v>40612</v>
      </c>
      <c r="B828" s="0" t="n">
        <v>1295.11</v>
      </c>
      <c r="C828" s="0" t="n">
        <v>260.59</v>
      </c>
      <c r="D828" s="3" t="n">
        <f aca="false">B828*100/B$2</f>
        <v>89.4932142955858</v>
      </c>
      <c r="E828" s="3" t="n">
        <f aca="false">C828*100/C$2</f>
        <v>110.747981300467</v>
      </c>
      <c r="F828" s="0" t="n">
        <v>89.7993311036789</v>
      </c>
      <c r="G828" s="0" t="n">
        <v>96.4272694396547</v>
      </c>
      <c r="H828" s="0" t="n">
        <v>118.657033574161</v>
      </c>
      <c r="I828" s="0" t="n">
        <v>22.229764134506</v>
      </c>
    </row>
    <row r="829" customFormat="false" ht="13.8" hidden="false" customHeight="false" outlineLevel="0" collapsed="false">
      <c r="A829" s="2" t="n">
        <v>40613</v>
      </c>
      <c r="B829" s="0" t="n">
        <v>1304.28</v>
      </c>
      <c r="C829" s="0" t="n">
        <v>256.83</v>
      </c>
      <c r="D829" s="3" t="n">
        <f aca="false">B829*100/B$2</f>
        <v>90.1268691782526</v>
      </c>
      <c r="E829" s="3" t="n">
        <f aca="false">C829*100/C$2</f>
        <v>109.150021249469</v>
      </c>
      <c r="F829" s="0" t="n">
        <v>88.196191160618</v>
      </c>
      <c r="G829" s="0" t="n">
        <v>95.8917562303854</v>
      </c>
      <c r="H829" s="0" t="n">
        <v>118.338291542711</v>
      </c>
      <c r="I829" s="0" t="n">
        <v>22.4465353123261</v>
      </c>
    </row>
    <row r="830" customFormat="false" ht="13.8" hidden="false" customHeight="false" outlineLevel="0" collapsed="false">
      <c r="A830" s="2" t="n">
        <v>40616</v>
      </c>
      <c r="B830" s="0" t="n">
        <v>1296.39</v>
      </c>
      <c r="C830" s="0" t="n">
        <v>260.69</v>
      </c>
      <c r="D830" s="3" t="n">
        <f aca="false">B830*100/B$2</f>
        <v>89.5816633958927</v>
      </c>
      <c r="E830" s="3" t="n">
        <f aca="false">C830*100/C$2</f>
        <v>110.790480237994</v>
      </c>
      <c r="F830" s="0" t="n">
        <v>88.8719975676497</v>
      </c>
      <c r="G830" s="0" t="n">
        <v>96.1175027470515</v>
      </c>
      <c r="H830" s="0" t="n">
        <v>116.073098172546</v>
      </c>
      <c r="I830" s="0" t="n">
        <v>19.9555954254942</v>
      </c>
    </row>
    <row r="831" customFormat="false" ht="13.8" hidden="false" customHeight="false" outlineLevel="0" collapsed="false">
      <c r="A831" s="2" t="n">
        <v>40617</v>
      </c>
      <c r="B831" s="0" t="n">
        <v>1281.87</v>
      </c>
      <c r="C831" s="0" t="n">
        <v>254.29</v>
      </c>
      <c r="D831" s="3" t="n">
        <f aca="false">B831*100/B$2</f>
        <v>88.5783189142873</v>
      </c>
      <c r="E831" s="3" t="n">
        <f aca="false">C831*100/C$2</f>
        <v>108.070548236294</v>
      </c>
      <c r="F831" s="0" t="n">
        <v>90.3555930235772</v>
      </c>
      <c r="G831" s="0" t="n">
        <v>96.6130832902848</v>
      </c>
      <c r="H831" s="0" t="n">
        <v>116.213344666383</v>
      </c>
      <c r="I831" s="0" t="n">
        <v>19.6002613760986</v>
      </c>
    </row>
    <row r="832" customFormat="false" ht="13.8" hidden="false" customHeight="false" outlineLevel="0" collapsed="false">
      <c r="A832" s="2" t="n">
        <v>40618</v>
      </c>
      <c r="B832" s="0" t="n">
        <v>1256.88</v>
      </c>
      <c r="C832" s="0" t="n">
        <v>259.44</v>
      </c>
      <c r="D832" s="3" t="n">
        <f aca="false">B832*100/B$2</f>
        <v>86.8514884325161</v>
      </c>
      <c r="E832" s="3" t="n">
        <f aca="false">C832*100/C$2</f>
        <v>110.259243518912</v>
      </c>
      <c r="F832" s="0" t="n">
        <v>90.1095939633489</v>
      </c>
      <c r="G832" s="0" t="n">
        <v>96.530909711621</v>
      </c>
      <c r="H832" s="0" t="n">
        <v>116.213344666383</v>
      </c>
      <c r="I832" s="0" t="n">
        <v>19.6824349547623</v>
      </c>
    </row>
    <row r="833" customFormat="false" ht="13.8" hidden="false" customHeight="false" outlineLevel="0" collapsed="false">
      <c r="A833" s="2" t="n">
        <v>40619</v>
      </c>
      <c r="B833" s="0" t="n">
        <v>1273.72</v>
      </c>
      <c r="C833" s="0" t="n">
        <v>259.8</v>
      </c>
      <c r="D833" s="3" t="n">
        <f aca="false">B833*100/B$2</f>
        <v>88.0151469084275</v>
      </c>
      <c r="E833" s="3" t="n">
        <f aca="false">C833*100/C$2</f>
        <v>110.412239694008</v>
      </c>
      <c r="F833" s="0" t="n">
        <v>90.321733602366</v>
      </c>
      <c r="G833" s="0" t="n">
        <v>96.6017728819855</v>
      </c>
      <c r="H833" s="0" t="n">
        <v>116.213344666383</v>
      </c>
      <c r="I833" s="0" t="n">
        <v>19.6115717843978</v>
      </c>
    </row>
    <row r="834" customFormat="false" ht="13.8" hidden="false" customHeight="false" outlineLevel="0" collapsed="false">
      <c r="A834" s="2" t="n">
        <v>40620</v>
      </c>
      <c r="B834" s="0" t="n">
        <v>1279.2</v>
      </c>
      <c r="C834" s="0" t="n">
        <v>262.39</v>
      </c>
      <c r="D834" s="3" t="n">
        <f aca="false">B834*100/B$2</f>
        <v>88.3938196191161</v>
      </c>
      <c r="E834" s="3" t="n">
        <f aca="false">C834*100/C$2</f>
        <v>111.512962175946</v>
      </c>
      <c r="F834" s="0" t="n">
        <v>90.5822438431134</v>
      </c>
      <c r="G834" s="0" t="n">
        <v>96.6887937784918</v>
      </c>
      <c r="H834" s="0" t="n">
        <v>116.213344666383</v>
      </c>
      <c r="I834" s="0" t="n">
        <v>19.5245508878915</v>
      </c>
    </row>
    <row r="835" customFormat="false" ht="13.8" hidden="false" customHeight="false" outlineLevel="0" collapsed="false">
      <c r="A835" s="2" t="n">
        <v>40623</v>
      </c>
      <c r="B835" s="0" t="n">
        <v>1298.38</v>
      </c>
      <c r="C835" s="0" t="n">
        <v>264.89</v>
      </c>
      <c r="D835" s="3" t="n">
        <f aca="false">B835*100/B$2</f>
        <v>89.7191741065259</v>
      </c>
      <c r="E835" s="3" t="n">
        <f aca="false">C835*100/C$2</f>
        <v>112.57543561411</v>
      </c>
      <c r="F835" s="0" t="n">
        <v>91.1474888747616</v>
      </c>
      <c r="G835" s="0" t="n">
        <v>96.8776083496911</v>
      </c>
      <c r="H835" s="0" t="n">
        <v>116.829579260518</v>
      </c>
      <c r="I835" s="0" t="n">
        <v>19.9519709108274</v>
      </c>
    </row>
    <row r="836" customFormat="false" ht="13.8" hidden="false" customHeight="false" outlineLevel="0" collapsed="false">
      <c r="A836" s="2" t="n">
        <v>40624</v>
      </c>
      <c r="B836" s="0" t="n">
        <v>1293.77</v>
      </c>
      <c r="C836" s="0" t="n">
        <v>266.05</v>
      </c>
      <c r="D836" s="3" t="n">
        <f aca="false">B836*100/B$2</f>
        <v>89.4006191437022</v>
      </c>
      <c r="E836" s="3" t="n">
        <f aca="false">C836*100/C$2</f>
        <v>113.068423289418</v>
      </c>
      <c r="F836" s="0" t="n">
        <v>91.5289256198347</v>
      </c>
      <c r="G836" s="0" t="n">
        <v>97.0050235615517</v>
      </c>
      <c r="H836" s="0" t="n">
        <v>116.090097747556</v>
      </c>
      <c r="I836" s="0" t="n">
        <v>19.0850741860046</v>
      </c>
    </row>
    <row r="837" customFormat="false" ht="13.8" hidden="false" customHeight="false" outlineLevel="0" collapsed="false">
      <c r="A837" s="2" t="n">
        <v>40625</v>
      </c>
      <c r="B837" s="0" t="n">
        <v>1297.54</v>
      </c>
      <c r="C837" s="0" t="n">
        <v>265.67</v>
      </c>
      <c r="D837" s="3" t="n">
        <f aca="false">B837*100/B$2</f>
        <v>89.6611293844495</v>
      </c>
      <c r="E837" s="3" t="n">
        <f aca="false">C837*100/C$2</f>
        <v>112.906927326817</v>
      </c>
      <c r="F837" s="0" t="n">
        <v>91.2739434478565</v>
      </c>
      <c r="G837" s="0" t="n">
        <v>96.9198492623188</v>
      </c>
      <c r="H837" s="0" t="n">
        <v>114.70463238419</v>
      </c>
      <c r="I837" s="0" t="n">
        <v>17.7847831218716</v>
      </c>
    </row>
    <row r="838" customFormat="false" ht="13.8" hidden="false" customHeight="false" outlineLevel="0" collapsed="false">
      <c r="A838" s="2" t="n">
        <v>40626</v>
      </c>
      <c r="B838" s="0" t="n">
        <v>1309.66</v>
      </c>
      <c r="C838" s="0" t="n">
        <v>268.93</v>
      </c>
      <c r="D838" s="3" t="n">
        <f aca="false">B838*100/B$2</f>
        <v>90.4986318029796</v>
      </c>
      <c r="E838" s="3" t="n">
        <f aca="false">C838*100/C$2</f>
        <v>114.292392690183</v>
      </c>
      <c r="F838" s="0" t="n">
        <v>91.342353298875</v>
      </c>
      <c r="G838" s="0" t="n">
        <v>96.9427009035764</v>
      </c>
      <c r="H838" s="0" t="n">
        <v>112.439439014025</v>
      </c>
      <c r="I838" s="0" t="n">
        <v>15.4967381104482</v>
      </c>
    </row>
    <row r="839" customFormat="false" ht="13.8" hidden="false" customHeight="false" outlineLevel="0" collapsed="false">
      <c r="A839" s="2" t="n">
        <v>40627</v>
      </c>
      <c r="B839" s="0" t="n">
        <v>1313.8</v>
      </c>
      <c r="C839" s="0" t="n">
        <v>271.66</v>
      </c>
      <c r="D839" s="3" t="n">
        <f aca="false">B839*100/B$2</f>
        <v>90.7847093617844</v>
      </c>
      <c r="E839" s="3" t="n">
        <f aca="false">C839*100/C$2</f>
        <v>115.452613684658</v>
      </c>
      <c r="F839" s="0" t="n">
        <v>91.84540755687</v>
      </c>
      <c r="G839" s="0" t="n">
        <v>97.1107412554506</v>
      </c>
      <c r="H839" s="0" t="n">
        <v>110.667233319167</v>
      </c>
      <c r="I839" s="0" t="n">
        <v>13.5564920637164</v>
      </c>
    </row>
    <row r="840" customFormat="false" ht="13.8" hidden="false" customHeight="false" outlineLevel="0" collapsed="false">
      <c r="A840" s="2" t="n">
        <v>40630</v>
      </c>
      <c r="B840" s="0" t="n">
        <v>1310.19</v>
      </c>
      <c r="C840" s="0" t="n">
        <v>272.13</v>
      </c>
      <c r="D840" s="3" t="n">
        <f aca="false">B840*100/B$2</f>
        <v>90.5352552585754</v>
      </c>
      <c r="E840" s="3" t="n">
        <f aca="false">C840*100/C$2</f>
        <v>115.652358691033</v>
      </c>
      <c r="F840" s="0" t="n">
        <v>92.0644572818486</v>
      </c>
      <c r="G840" s="0" t="n">
        <v>97.1839126724068</v>
      </c>
      <c r="H840" s="0" t="n">
        <v>113.05567360816</v>
      </c>
      <c r="I840" s="0" t="n">
        <v>15.871760935753</v>
      </c>
    </row>
    <row r="841" customFormat="false" ht="13.8" hidden="false" customHeight="false" outlineLevel="0" collapsed="false">
      <c r="A841" s="2" t="n">
        <v>40631</v>
      </c>
      <c r="B841" s="0" t="n">
        <v>1319.44</v>
      </c>
      <c r="C841" s="0" t="n">
        <v>274.22</v>
      </c>
      <c r="D841" s="3" t="n">
        <f aca="false">B841*100/B$2</f>
        <v>91.1744382100113</v>
      </c>
      <c r="E841" s="3" t="n">
        <f aca="false">C841*100/C$2</f>
        <v>116.540586485338</v>
      </c>
      <c r="F841" s="0" t="n">
        <v>91.7666325769092</v>
      </c>
      <c r="G841" s="0" t="n">
        <v>97.0844272443054</v>
      </c>
      <c r="H841" s="0" t="n">
        <v>112.792180195495</v>
      </c>
      <c r="I841" s="0" t="n">
        <v>15.7077529511897</v>
      </c>
    </row>
    <row r="842" customFormat="false" ht="13.8" hidden="false" customHeight="false" outlineLevel="0" collapsed="false">
      <c r="A842" s="2" t="n">
        <v>40632</v>
      </c>
      <c r="B842" s="0" t="n">
        <v>1328.26</v>
      </c>
      <c r="C842" s="0" t="n">
        <v>277.04</v>
      </c>
      <c r="D842" s="3" t="n">
        <f aca="false">B842*100/B$2</f>
        <v>91.7839077918129</v>
      </c>
      <c r="E842" s="3" t="n">
        <f aca="false">C842*100/C$2</f>
        <v>117.739056523587</v>
      </c>
      <c r="F842" s="0" t="n">
        <v>92.3408607203074</v>
      </c>
      <c r="G842" s="0" t="n">
        <v>97.2762425360739</v>
      </c>
      <c r="H842" s="0" t="n">
        <v>111.585210369741</v>
      </c>
      <c r="I842" s="0" t="n">
        <v>14.3089678336669</v>
      </c>
    </row>
    <row r="843" customFormat="false" ht="13.8" hidden="false" customHeight="false" outlineLevel="0" collapsed="false">
      <c r="A843" s="2" t="n">
        <v>40633</v>
      </c>
      <c r="B843" s="0" t="n">
        <v>1325.83</v>
      </c>
      <c r="C843" s="0" t="n">
        <v>278.87</v>
      </c>
      <c r="D843" s="3" t="n">
        <f aca="false">B843*100/B$2</f>
        <v>91.6159927029492</v>
      </c>
      <c r="E843" s="3" t="n">
        <f aca="false">C843*100/C$2</f>
        <v>118.516787080323</v>
      </c>
      <c r="F843" s="0" t="n">
        <v>92.6248652533237</v>
      </c>
      <c r="G843" s="0" t="n">
        <v>97.3711114709919</v>
      </c>
      <c r="H843" s="0" t="n">
        <v>111.019974500637</v>
      </c>
      <c r="I843" s="0" t="n">
        <v>13.6488630296456</v>
      </c>
    </row>
    <row r="844" customFormat="false" ht="13.8" hidden="false" customHeight="false" outlineLevel="0" collapsed="false">
      <c r="A844" s="2" t="n">
        <v>40634</v>
      </c>
      <c r="B844" s="0" t="n">
        <v>1332.41</v>
      </c>
      <c r="C844" s="0" t="n">
        <v>280.73</v>
      </c>
      <c r="D844" s="3" t="n">
        <f aca="false">B844*100/B$2</f>
        <v>92.0706763592139</v>
      </c>
      <c r="E844" s="3" t="n">
        <f aca="false">C844*100/C$2</f>
        <v>119.307267318317</v>
      </c>
      <c r="F844" s="0" t="n">
        <v>92.8031454711297</v>
      </c>
      <c r="G844" s="0" t="n">
        <v>97.4306642330572</v>
      </c>
      <c r="H844" s="0" t="n">
        <v>112.962175945601</v>
      </c>
      <c r="I844" s="0" t="n">
        <v>15.5315117125442</v>
      </c>
    </row>
    <row r="845" customFormat="false" ht="13.8" hidden="false" customHeight="false" outlineLevel="0" collapsed="false">
      <c r="A845" s="2" t="n">
        <v>40637</v>
      </c>
      <c r="B845" s="0" t="n">
        <v>1332.87</v>
      </c>
      <c r="C845" s="0" t="n">
        <v>280.01</v>
      </c>
      <c r="D845" s="3" t="n">
        <f aca="false">B845*100/B$2</f>
        <v>92.1024627546367</v>
      </c>
      <c r="E845" s="3" t="n">
        <f aca="false">C845*100/C$2</f>
        <v>119.001274968126</v>
      </c>
      <c r="F845" s="0" t="n">
        <v>92.8031454711297</v>
      </c>
      <c r="G845" s="0" t="n">
        <v>97.4306642330572</v>
      </c>
      <c r="H845" s="0" t="n">
        <v>112.430939226519</v>
      </c>
      <c r="I845" s="0" t="n">
        <v>15.0002749934622</v>
      </c>
    </row>
    <row r="846" customFormat="false" ht="13.8" hidden="false" customHeight="false" outlineLevel="0" collapsed="false">
      <c r="A846" s="2" t="n">
        <v>40638</v>
      </c>
      <c r="B846" s="0" t="n">
        <v>1332.63</v>
      </c>
      <c r="C846" s="0" t="n">
        <v>282.03</v>
      </c>
      <c r="D846" s="3" t="n">
        <f aca="false">B846*100/B$2</f>
        <v>92.0858785483291</v>
      </c>
      <c r="E846" s="3" t="n">
        <f aca="false">C846*100/C$2</f>
        <v>119.859753506162</v>
      </c>
      <c r="F846" s="0" t="n">
        <v>90.8980347715526</v>
      </c>
      <c r="G846" s="0" t="n">
        <v>96.7942806477315</v>
      </c>
      <c r="H846" s="0" t="n">
        <v>110.552486187845</v>
      </c>
      <c r="I846" s="0" t="n">
        <v>13.7582055401138</v>
      </c>
    </row>
    <row r="847" customFormat="false" ht="13.8" hidden="false" customHeight="false" outlineLevel="0" collapsed="false">
      <c r="A847" s="2" t="n">
        <v>40639</v>
      </c>
      <c r="B847" s="0" t="n">
        <v>1335.54</v>
      </c>
      <c r="C847" s="0" t="n">
        <v>281.35</v>
      </c>
      <c r="D847" s="3" t="n">
        <f aca="false">B847*100/B$2</f>
        <v>92.2869620498079</v>
      </c>
      <c r="E847" s="3" t="n">
        <f aca="false">C847*100/C$2</f>
        <v>119.570760730982</v>
      </c>
      <c r="F847" s="0" t="n">
        <v>90.3424638602504</v>
      </c>
      <c r="G847" s="0" t="n">
        <v>96.6086976217606</v>
      </c>
      <c r="H847" s="0" t="n">
        <v>110.161495962601</v>
      </c>
      <c r="I847" s="0" t="n">
        <v>13.5527983408403</v>
      </c>
    </row>
    <row r="848" customFormat="false" ht="13.8" hidden="false" customHeight="false" outlineLevel="0" collapsed="false">
      <c r="A848" s="2" t="n">
        <v>40640</v>
      </c>
      <c r="B848" s="0" t="n">
        <v>1333.51</v>
      </c>
      <c r="C848" s="0" t="n">
        <v>280.45</v>
      </c>
      <c r="D848" s="3" t="n">
        <f aca="false">B848*100/B$2</f>
        <v>92.1466873047901</v>
      </c>
      <c r="E848" s="3" t="n">
        <f aca="false">C848*100/C$2</f>
        <v>119.188270293243</v>
      </c>
      <c r="F848" s="0" t="n">
        <v>90.2526327427513</v>
      </c>
      <c r="G848" s="0" t="n">
        <v>96.5786904160688</v>
      </c>
      <c r="H848" s="0" t="n">
        <v>109.515512112197</v>
      </c>
      <c r="I848" s="0" t="n">
        <v>12.9368216961284</v>
      </c>
    </row>
    <row r="849" customFormat="false" ht="13.8" hidden="false" customHeight="false" outlineLevel="0" collapsed="false">
      <c r="A849" s="2" t="n">
        <v>40641</v>
      </c>
      <c r="B849" s="0" t="n">
        <v>1328.17</v>
      </c>
      <c r="C849" s="0" t="n">
        <v>281.05</v>
      </c>
      <c r="D849" s="3" t="n">
        <f aca="false">B849*100/B$2</f>
        <v>91.7776887144476</v>
      </c>
      <c r="E849" s="3" t="n">
        <f aca="false">C849*100/C$2</f>
        <v>119.443263918402</v>
      </c>
      <c r="F849" s="0" t="n">
        <v>91.2048425882418</v>
      </c>
      <c r="G849" s="0" t="n">
        <v>96.896766796402</v>
      </c>
      <c r="H849" s="0" t="n">
        <v>110.19124521887</v>
      </c>
      <c r="I849" s="0" t="n">
        <v>13.2944784224675</v>
      </c>
    </row>
    <row r="850" customFormat="false" ht="13.8" hidden="false" customHeight="false" outlineLevel="0" collapsed="false">
      <c r="A850" s="2" t="n">
        <v>40644</v>
      </c>
      <c r="B850" s="0" t="n">
        <v>1324.46</v>
      </c>
      <c r="C850" s="0" t="n">
        <v>280.49</v>
      </c>
      <c r="D850" s="3" t="n">
        <f aca="false">B850*100/B$2</f>
        <v>91.5213245252771</v>
      </c>
      <c r="E850" s="3" t="n">
        <f aca="false">C850*100/C$2</f>
        <v>119.205269868253</v>
      </c>
      <c r="F850" s="0" t="n">
        <v>91.7120428978136</v>
      </c>
      <c r="G850" s="0" t="n">
        <v>97.0661920962312</v>
      </c>
      <c r="H850" s="0" t="n">
        <v>108.950276243094</v>
      </c>
      <c r="I850" s="0" t="n">
        <v>11.8840841468627</v>
      </c>
    </row>
    <row r="851" customFormat="false" ht="13.8" hidden="false" customHeight="false" outlineLevel="0" collapsed="false">
      <c r="A851" s="2" t="n">
        <v>40645</v>
      </c>
      <c r="B851" s="0" t="n">
        <v>1314.16</v>
      </c>
      <c r="C851" s="0" t="n">
        <v>276.13</v>
      </c>
      <c r="D851" s="3" t="n">
        <f aca="false">B851*100/B$2</f>
        <v>90.8095856712457</v>
      </c>
      <c r="E851" s="3" t="n">
        <f aca="false">C851*100/C$2</f>
        <v>117.352316192095</v>
      </c>
      <c r="F851" s="0" t="n">
        <v>90.2685259404627</v>
      </c>
      <c r="G851" s="0" t="n">
        <v>96.5839993832296</v>
      </c>
      <c r="H851" s="0" t="n">
        <v>108.950276243094</v>
      </c>
      <c r="I851" s="0" t="n">
        <v>12.3662768598643</v>
      </c>
    </row>
    <row r="852" customFormat="false" ht="13.8" hidden="false" customHeight="false" outlineLevel="0" collapsed="false">
      <c r="A852" s="2" t="n">
        <v>40646</v>
      </c>
      <c r="B852" s="0" t="n">
        <v>1314.41</v>
      </c>
      <c r="C852" s="0" t="n">
        <v>280.68</v>
      </c>
      <c r="D852" s="3" t="n">
        <f aca="false">B852*100/B$2</f>
        <v>90.8268608861494</v>
      </c>
      <c r="E852" s="3" t="n">
        <f aca="false">C852*100/C$2</f>
        <v>119.286017849554</v>
      </c>
      <c r="F852" s="0" t="n">
        <v>90.4143287542497</v>
      </c>
      <c r="G852" s="0" t="n">
        <v>96.632703386314</v>
      </c>
      <c r="H852" s="0" t="n">
        <v>108.355291117722</v>
      </c>
      <c r="I852" s="0" t="n">
        <v>11.722587731408</v>
      </c>
    </row>
    <row r="853" customFormat="false" ht="13.8" hidden="false" customHeight="false" outlineLevel="0" collapsed="false">
      <c r="A853" s="2" t="n">
        <v>40647</v>
      </c>
      <c r="B853" s="0" t="n">
        <v>1314.52</v>
      </c>
      <c r="C853" s="0" t="n">
        <v>283.15</v>
      </c>
      <c r="D853" s="3" t="n">
        <f aca="false">B853*100/B$2</f>
        <v>90.834461980707</v>
      </c>
      <c r="E853" s="3" t="n">
        <f aca="false">C853*100/C$2</f>
        <v>120.33574160646</v>
      </c>
      <c r="F853" s="0" t="n">
        <v>91.9711711213687</v>
      </c>
      <c r="G853" s="0" t="n">
        <v>97.1527513434191</v>
      </c>
      <c r="H853" s="0" t="n">
        <v>110.701232469188</v>
      </c>
      <c r="I853" s="0" t="n">
        <v>13.5484811257692</v>
      </c>
    </row>
    <row r="854" customFormat="false" ht="13.8" hidden="false" customHeight="false" outlineLevel="0" collapsed="false">
      <c r="A854" s="2" t="n">
        <v>40648</v>
      </c>
      <c r="B854" s="0" t="n">
        <v>1319.68</v>
      </c>
      <c r="C854" s="0" t="n">
        <v>282.8</v>
      </c>
      <c r="D854" s="3" t="n">
        <f aca="false">B854*100/B$2</f>
        <v>91.1910224163189</v>
      </c>
      <c r="E854" s="3" t="n">
        <f aca="false">C854*100/C$2</f>
        <v>120.186995325117</v>
      </c>
      <c r="F854" s="0" t="n">
        <v>91.2926006799525</v>
      </c>
      <c r="G854" s="0" t="n">
        <v>96.9260815281163</v>
      </c>
      <c r="H854" s="0" t="n">
        <v>112.800679983</v>
      </c>
      <c r="I854" s="0" t="n">
        <v>15.8745984548841</v>
      </c>
    </row>
    <row r="855" customFormat="false" ht="13.8" hidden="false" customHeight="false" outlineLevel="0" collapsed="false">
      <c r="A855" s="2" t="n">
        <v>40651</v>
      </c>
      <c r="B855" s="0" t="n">
        <v>1305.14</v>
      </c>
      <c r="C855" s="0" t="n">
        <v>282.14</v>
      </c>
      <c r="D855" s="3" t="n">
        <f aca="false">B855*100/B$2</f>
        <v>90.1862959175212</v>
      </c>
      <c r="E855" s="3" t="n">
        <f aca="false">C855*100/C$2</f>
        <v>119.906502337442</v>
      </c>
      <c r="F855" s="0" t="n">
        <v>90.5311092069985</v>
      </c>
      <c r="G855" s="0" t="n">
        <v>96.6717127537134</v>
      </c>
      <c r="H855" s="0" t="n">
        <v>111.109222269443</v>
      </c>
      <c r="I855" s="0" t="n">
        <v>14.4375095157299</v>
      </c>
    </row>
    <row r="856" customFormat="false" ht="13.8" hidden="false" customHeight="false" outlineLevel="0" collapsed="false">
      <c r="A856" s="2" t="n">
        <v>40652</v>
      </c>
      <c r="B856" s="0" t="n">
        <v>1312.62</v>
      </c>
      <c r="C856" s="0" t="n">
        <v>280.43</v>
      </c>
      <c r="D856" s="3" t="n">
        <f aca="false">B856*100/B$2</f>
        <v>90.7031703474391</v>
      </c>
      <c r="E856" s="3" t="n">
        <f aca="false">C856*100/C$2</f>
        <v>119.179770505737</v>
      </c>
      <c r="F856" s="0" t="n">
        <v>91.3388982558943</v>
      </c>
      <c r="G856" s="0" t="n">
        <v>96.9415467802806</v>
      </c>
      <c r="H856" s="0" t="n">
        <v>111.912452188695</v>
      </c>
      <c r="I856" s="0" t="n">
        <v>14.9709054084147</v>
      </c>
    </row>
    <row r="857" customFormat="false" ht="13.8" hidden="false" customHeight="false" outlineLevel="0" collapsed="false">
      <c r="A857" s="2" t="n">
        <v>40653</v>
      </c>
      <c r="B857" s="0" t="n">
        <v>1330.36</v>
      </c>
      <c r="C857" s="0" t="n">
        <v>287.19</v>
      </c>
      <c r="D857" s="3" t="n">
        <f aca="false">B857*100/B$2</f>
        <v>91.9290195970038</v>
      </c>
      <c r="E857" s="3" t="n">
        <f aca="false">C857*100/C$2</f>
        <v>122.052698682533</v>
      </c>
      <c r="F857" s="0" t="n">
        <v>91.2145167085879</v>
      </c>
      <c r="G857" s="0" t="n">
        <v>96.8999983416304</v>
      </c>
      <c r="H857" s="0" t="n">
        <v>112.11219719507</v>
      </c>
      <c r="I857" s="0" t="n">
        <v>15.2121988534398</v>
      </c>
    </row>
    <row r="858" customFormat="false" ht="13.8" hidden="false" customHeight="false" outlineLevel="0" collapsed="false">
      <c r="A858" s="2" t="n">
        <v>40654</v>
      </c>
      <c r="B858" s="0" t="n">
        <v>1337.38</v>
      </c>
      <c r="C858" s="0" t="n">
        <v>291.16</v>
      </c>
      <c r="D858" s="3" t="n">
        <f aca="false">B858*100/B$2</f>
        <v>92.4141076314989</v>
      </c>
      <c r="E858" s="3" t="n">
        <f aca="false">C858*100/C$2</f>
        <v>123.739906502337</v>
      </c>
      <c r="F858" s="0" t="n">
        <v>89.4932142955858</v>
      </c>
      <c r="G858" s="0" t="n">
        <v>96.3250141156433</v>
      </c>
      <c r="H858" s="0" t="n">
        <v>110.747981300467</v>
      </c>
      <c r="I858" s="0" t="n">
        <v>14.4229671848241</v>
      </c>
    </row>
    <row r="859" customFormat="false" ht="13.8" hidden="false" customHeight="false" outlineLevel="0" collapsed="false">
      <c r="A859" s="2" t="n">
        <v>40655</v>
      </c>
      <c r="B859" s="0" t="n">
        <v>1337.38</v>
      </c>
      <c r="C859" s="0" t="n">
        <v>290.84</v>
      </c>
      <c r="D859" s="3" t="n">
        <f aca="false">B859*100/B$2</f>
        <v>92.4141076314989</v>
      </c>
      <c r="E859" s="3" t="n">
        <f aca="false">C859*100/C$2</f>
        <v>123.603909902252</v>
      </c>
      <c r="F859" s="0" t="n">
        <v>90.1268691782526</v>
      </c>
      <c r="G859" s="0" t="n">
        <v>96.5366803281002</v>
      </c>
      <c r="H859" s="0" t="n">
        <v>109.150021249469</v>
      </c>
      <c r="I859" s="0" t="n">
        <v>12.6133409213685</v>
      </c>
    </row>
    <row r="860" customFormat="false" ht="13.8" hidden="false" customHeight="false" outlineLevel="0" collapsed="false">
      <c r="A860" s="2" t="n">
        <v>40658</v>
      </c>
      <c r="B860" s="0" t="n">
        <v>1335.25</v>
      </c>
      <c r="C860" s="0" t="n">
        <v>292.69</v>
      </c>
      <c r="D860" s="3" t="n">
        <f aca="false">B860*100/B$2</f>
        <v>92.2669228005196</v>
      </c>
      <c r="E860" s="3" t="n">
        <f aca="false">C860*100/C$2</f>
        <v>124.390140246494</v>
      </c>
      <c r="F860" s="0" t="n">
        <v>89.5816633958927</v>
      </c>
      <c r="G860" s="0" t="n">
        <v>96.3545596720168</v>
      </c>
      <c r="H860" s="0" t="n">
        <v>110.790480237994</v>
      </c>
      <c r="I860" s="0" t="n">
        <v>14.4359205659772</v>
      </c>
    </row>
    <row r="861" customFormat="false" ht="13.8" hidden="false" customHeight="false" outlineLevel="0" collapsed="false">
      <c r="A861" s="2" t="n">
        <v>40659</v>
      </c>
      <c r="B861" s="0" t="n">
        <v>1347.24</v>
      </c>
      <c r="C861" s="0" t="n">
        <v>291.38</v>
      </c>
      <c r="D861" s="3" t="n">
        <f aca="false">B861*100/B$2</f>
        <v>93.0954421072998</v>
      </c>
      <c r="E861" s="3" t="n">
        <f aca="false">C861*100/C$2</f>
        <v>123.833404164896</v>
      </c>
      <c r="F861" s="0" t="n">
        <v>88.5783189142873</v>
      </c>
      <c r="G861" s="0" t="n">
        <v>96.0194022669052</v>
      </c>
      <c r="H861" s="0" t="n">
        <v>108.070548236294</v>
      </c>
      <c r="I861" s="0" t="n">
        <v>12.0511459693889</v>
      </c>
    </row>
    <row r="862" customFormat="false" ht="13.8" hidden="false" customHeight="false" outlineLevel="0" collapsed="false">
      <c r="A862" s="2" t="n">
        <v>40660</v>
      </c>
      <c r="B862" s="0" t="n">
        <v>1355.66</v>
      </c>
      <c r="C862" s="0" t="n">
        <v>292.08</v>
      </c>
      <c r="D862" s="3" t="n">
        <f aca="false">B862*100/B$2</f>
        <v>93.6772713452555</v>
      </c>
      <c r="E862" s="3" t="n">
        <f aca="false">C862*100/C$2</f>
        <v>124.130896727582</v>
      </c>
      <c r="F862" s="0" t="n">
        <v>86.8514884325161</v>
      </c>
      <c r="G862" s="0" t="n">
        <v>95.4425714436448</v>
      </c>
      <c r="H862" s="0" t="n">
        <v>110.259243518912</v>
      </c>
      <c r="I862" s="0" t="n">
        <v>14.8166720752672</v>
      </c>
    </row>
    <row r="863" customFormat="false" ht="13.8" hidden="false" customHeight="false" outlineLevel="0" collapsed="false">
      <c r="A863" s="2" t="n">
        <v>40661</v>
      </c>
      <c r="B863" s="0" t="n">
        <v>1360.48</v>
      </c>
      <c r="C863" s="0" t="n">
        <v>292.15</v>
      </c>
      <c r="D863" s="3" t="n">
        <f aca="false">B863*100/B$2</f>
        <v>94.0103374885983</v>
      </c>
      <c r="E863" s="3" t="n">
        <f aca="false">C863*100/C$2</f>
        <v>124.16064598385</v>
      </c>
      <c r="F863" s="0" t="n">
        <v>88.0151469084275</v>
      </c>
      <c r="G863" s="0" t="n">
        <v>95.8312801696834</v>
      </c>
      <c r="H863" s="0" t="n">
        <v>110.412239694008</v>
      </c>
      <c r="I863" s="0" t="n">
        <v>14.5809595243242</v>
      </c>
    </row>
    <row r="864" customFormat="false" ht="13.8" hidden="false" customHeight="false" outlineLevel="0" collapsed="false">
      <c r="A864" s="2" t="n">
        <v>40662</v>
      </c>
      <c r="B864" s="0" t="n">
        <v>1363.61</v>
      </c>
      <c r="C864" s="0" t="n">
        <v>290.39</v>
      </c>
      <c r="D864" s="3" t="n">
        <f aca="false">B864*100/B$2</f>
        <v>94.2266231791924</v>
      </c>
      <c r="E864" s="3" t="n">
        <f aca="false">C864*100/C$2</f>
        <v>123.412664683383</v>
      </c>
      <c r="F864" s="0" t="n">
        <v>88.3938196191161</v>
      </c>
      <c r="G864" s="0" t="n">
        <v>95.9577720829074</v>
      </c>
      <c r="H864" s="0" t="n">
        <v>111.512962175946</v>
      </c>
      <c r="I864" s="0" t="n">
        <v>15.5551900930383</v>
      </c>
    </row>
    <row r="865" customFormat="false" ht="13.8" hidden="false" customHeight="false" outlineLevel="0" collapsed="false">
      <c r="A865" s="2" t="n">
        <v>40665</v>
      </c>
      <c r="B865" s="0" t="n">
        <v>1361.22</v>
      </c>
      <c r="C865" s="0" t="n">
        <v>295.35</v>
      </c>
      <c r="D865" s="3" t="n">
        <f aca="false">B865*100/B$2</f>
        <v>94.0614721247132</v>
      </c>
      <c r="E865" s="3" t="n">
        <f aca="false">C865*100/C$2</f>
        <v>125.5206119847</v>
      </c>
      <c r="F865" s="0" t="n">
        <v>89.7191741065259</v>
      </c>
      <c r="G865" s="0" t="n">
        <v>96.4004937791912</v>
      </c>
      <c r="H865" s="0" t="n">
        <v>112.57543561411</v>
      </c>
      <c r="I865" s="0" t="n">
        <v>16.1749418349184</v>
      </c>
    </row>
    <row r="866" customFormat="false" ht="13.8" hidden="false" customHeight="false" outlineLevel="0" collapsed="false">
      <c r="A866" s="2" t="n">
        <v>40666</v>
      </c>
      <c r="B866" s="0" t="n">
        <v>1356.62</v>
      </c>
      <c r="C866" s="0" t="n">
        <v>291.65</v>
      </c>
      <c r="D866" s="3" t="n">
        <f aca="false">B866*100/B$2</f>
        <v>93.7436081704856</v>
      </c>
      <c r="E866" s="3" t="n">
        <f aca="false">C866*100/C$2</f>
        <v>123.948151296218</v>
      </c>
      <c r="F866" s="0" t="n">
        <v>89.4006191437022</v>
      </c>
      <c r="G866" s="0" t="n">
        <v>96.2940836113149</v>
      </c>
      <c r="H866" s="0" t="n">
        <v>113.068423289418</v>
      </c>
      <c r="I866" s="0" t="n">
        <v>16.7743396781029</v>
      </c>
    </row>
    <row r="867" customFormat="false" ht="13.8" hidden="false" customHeight="false" outlineLevel="0" collapsed="false">
      <c r="A867" s="2" t="n">
        <v>40667</v>
      </c>
      <c r="B867" s="0" t="n">
        <v>1347.32</v>
      </c>
      <c r="C867" s="0" t="n">
        <v>288.46</v>
      </c>
      <c r="D867" s="3" t="n">
        <f aca="false">B867*100/B$2</f>
        <v>93.100970176069</v>
      </c>
      <c r="E867" s="3" t="n">
        <f aca="false">C867*100/C$2</f>
        <v>122.59243518912</v>
      </c>
      <c r="F867" s="0" t="n">
        <v>89.6611293844495</v>
      </c>
      <c r="G867" s="0" t="n">
        <v>96.3811045078211</v>
      </c>
      <c r="H867" s="0" t="n">
        <v>112.906927326817</v>
      </c>
      <c r="I867" s="0" t="n">
        <v>16.5258228189957</v>
      </c>
    </row>
    <row r="868" customFormat="false" ht="13.8" hidden="false" customHeight="false" outlineLevel="0" collapsed="false">
      <c r="A868" s="2" t="n">
        <v>40668</v>
      </c>
      <c r="B868" s="0" t="n">
        <v>1335.1</v>
      </c>
      <c r="C868" s="0" t="n">
        <v>288.46</v>
      </c>
      <c r="D868" s="3" t="n">
        <f aca="false">B868*100/B$2</f>
        <v>92.2565576715774</v>
      </c>
      <c r="E868" s="3" t="n">
        <f aca="false">C868*100/C$2</f>
        <v>122.59243518912</v>
      </c>
      <c r="F868" s="0" t="n">
        <v>90.4986318029796</v>
      </c>
      <c r="G868" s="0" t="n">
        <v>96.6608639947325</v>
      </c>
      <c r="H868" s="0" t="n">
        <v>114.292392690183</v>
      </c>
      <c r="I868" s="0" t="n">
        <v>17.6315286954502</v>
      </c>
    </row>
    <row r="869" customFormat="false" ht="13.8" hidden="false" customHeight="false" outlineLevel="0" collapsed="false">
      <c r="A869" s="2" t="n">
        <v>40669</v>
      </c>
      <c r="B869" s="0" t="n">
        <v>1340.2</v>
      </c>
      <c r="C869" s="0" t="n">
        <v>283.68</v>
      </c>
      <c r="D869" s="3" t="n">
        <f aca="false">B869*100/B$2</f>
        <v>92.6089720556124</v>
      </c>
      <c r="E869" s="3" t="n">
        <f aca="false">C869*100/C$2</f>
        <v>120.560985975351</v>
      </c>
      <c r="F869" s="0" t="n">
        <v>90.7847093617844</v>
      </c>
      <c r="G869" s="0" t="n">
        <v>96.756425403628</v>
      </c>
      <c r="H869" s="0" t="n">
        <v>115.452613684658</v>
      </c>
      <c r="I869" s="0" t="n">
        <v>18.6961882810299</v>
      </c>
    </row>
    <row r="870" customFormat="false" ht="13.8" hidden="false" customHeight="false" outlineLevel="0" collapsed="false">
      <c r="A870" s="2" t="n">
        <v>40672</v>
      </c>
      <c r="B870" s="0" t="n">
        <v>1346.29</v>
      </c>
      <c r="C870" s="0" t="n">
        <v>282.59</v>
      </c>
      <c r="D870" s="3" t="n">
        <f aca="false">B870*100/B$2</f>
        <v>93.0297962906659</v>
      </c>
      <c r="E870" s="3" t="n">
        <f aca="false">C870*100/C$2</f>
        <v>120.097747556311</v>
      </c>
      <c r="F870" s="0" t="n">
        <v>90.5352552585754</v>
      </c>
      <c r="G870" s="0" t="n">
        <v>96.6730977016684</v>
      </c>
      <c r="H870" s="0" t="n">
        <v>115.652358691033</v>
      </c>
      <c r="I870" s="0" t="n">
        <v>18.9792609893643</v>
      </c>
    </row>
    <row r="871" customFormat="false" ht="13.8" hidden="false" customHeight="false" outlineLevel="0" collapsed="false">
      <c r="A871" s="2" t="n">
        <v>40673</v>
      </c>
      <c r="B871" s="0" t="n">
        <v>1357.16</v>
      </c>
      <c r="C871" s="0" t="n">
        <v>282.59</v>
      </c>
      <c r="D871" s="3" t="n">
        <f aca="false">B871*100/B$2</f>
        <v>93.7809226346776</v>
      </c>
      <c r="E871" s="3" t="n">
        <f aca="false">C871*100/C$2</f>
        <v>120.097747556311</v>
      </c>
      <c r="F871" s="0" t="n">
        <v>91.1744382100113</v>
      </c>
      <c r="G871" s="0" t="n">
        <v>96.8866105113986</v>
      </c>
      <c r="H871" s="0" t="n">
        <v>116.540586485338</v>
      </c>
      <c r="I871" s="0" t="n">
        <v>19.6539759739393</v>
      </c>
    </row>
    <row r="872" customFormat="false" ht="13.8" hidden="false" customHeight="false" outlineLevel="0" collapsed="false">
      <c r="A872" s="2" t="n">
        <v>40674</v>
      </c>
      <c r="B872" s="0" t="n">
        <v>1342.08</v>
      </c>
      <c r="C872" s="0" t="n">
        <v>286.3</v>
      </c>
      <c r="D872" s="3" t="n">
        <f aca="false">B872*100/B$2</f>
        <v>92.738881671688</v>
      </c>
      <c r="E872" s="3" t="n">
        <f aca="false">C872*100/C$2</f>
        <v>121.674458138547</v>
      </c>
      <c r="F872" s="0" t="n">
        <v>91.7839077918129</v>
      </c>
      <c r="G872" s="0" t="n">
        <v>97.0901978607846</v>
      </c>
      <c r="H872" s="0" t="n">
        <v>117.739056523587</v>
      </c>
      <c r="I872" s="0" t="n">
        <v>20.6488586628023</v>
      </c>
    </row>
    <row r="873" customFormat="false" ht="13.8" hidden="false" customHeight="false" outlineLevel="0" collapsed="false">
      <c r="A873" s="2" t="n">
        <v>40675</v>
      </c>
      <c r="B873" s="0" t="n">
        <v>1348.65</v>
      </c>
      <c r="C873" s="0" t="n">
        <v>280.02</v>
      </c>
      <c r="D873" s="3" t="n">
        <f aca="false">B873*100/B$2</f>
        <v>93.1928743193565</v>
      </c>
      <c r="E873" s="3" t="n">
        <f aca="false">C873*100/C$2</f>
        <v>119.005524861878</v>
      </c>
      <c r="F873" s="0" t="n">
        <v>91.6159927029492</v>
      </c>
      <c r="G873" s="0" t="n">
        <v>97.0341074686069</v>
      </c>
      <c r="H873" s="0" t="n">
        <v>118.516787080323</v>
      </c>
      <c r="I873" s="0" t="n">
        <v>21.4826796117161</v>
      </c>
    </row>
    <row r="874" customFormat="false" ht="13.8" hidden="false" customHeight="false" outlineLevel="0" collapsed="false">
      <c r="A874" s="2" t="n">
        <v>40676</v>
      </c>
      <c r="B874" s="0" t="n">
        <v>1337.77</v>
      </c>
      <c r="C874" s="0" t="n">
        <v>279.59</v>
      </c>
      <c r="D874" s="3" t="n">
        <f aca="false">B874*100/B$2</f>
        <v>92.4410569667487</v>
      </c>
      <c r="E874" s="3" t="n">
        <f aca="false">C874*100/C$2</f>
        <v>118.822779430514</v>
      </c>
      <c r="F874" s="0" t="n">
        <v>92.0706763592139</v>
      </c>
      <c r="G874" s="0" t="n">
        <v>97.1859900943393</v>
      </c>
      <c r="H874" s="0" t="n">
        <v>119.307267318317</v>
      </c>
      <c r="I874" s="0" t="n">
        <v>22.1212772239778</v>
      </c>
    </row>
    <row r="875" customFormat="false" ht="13.8" hidden="false" customHeight="false" outlineLevel="0" collapsed="false">
      <c r="A875" s="2" t="n">
        <v>40679</v>
      </c>
      <c r="B875" s="0" t="n">
        <v>1329.47</v>
      </c>
      <c r="C875" s="0" t="n">
        <v>277.22</v>
      </c>
      <c r="D875" s="3" t="n">
        <f aca="false">B875*100/B$2</f>
        <v>91.8675198319467</v>
      </c>
      <c r="E875" s="3" t="n">
        <f aca="false">C875*100/C$2</f>
        <v>117.815554611135</v>
      </c>
      <c r="F875" s="0" t="n">
        <v>92.1024627546367</v>
      </c>
      <c r="G875" s="0" t="n">
        <v>97.196608028661</v>
      </c>
      <c r="H875" s="0" t="n">
        <v>119.001274968126</v>
      </c>
      <c r="I875" s="0" t="n">
        <v>21.8046669394648</v>
      </c>
    </row>
    <row r="876" customFormat="false" ht="13.8" hidden="false" customHeight="false" outlineLevel="0" collapsed="false">
      <c r="A876" s="2" t="n">
        <v>40680</v>
      </c>
      <c r="B876" s="0" t="n">
        <v>1328.98</v>
      </c>
      <c r="C876" s="0" t="n">
        <v>277.15</v>
      </c>
      <c r="D876" s="3" t="n">
        <f aca="false">B876*100/B$2</f>
        <v>91.8336604107355</v>
      </c>
      <c r="E876" s="3" t="n">
        <f aca="false">C876*100/C$2</f>
        <v>117.785805354866</v>
      </c>
      <c r="F876" s="0" t="n">
        <v>92.0858785483291</v>
      </c>
      <c r="G876" s="0" t="n">
        <v>97.191068236841</v>
      </c>
      <c r="H876" s="0" t="n">
        <v>119.859753506162</v>
      </c>
      <c r="I876" s="0" t="n">
        <v>22.6686852693213</v>
      </c>
    </row>
    <row r="877" customFormat="false" ht="13.8" hidden="false" customHeight="false" outlineLevel="0" collapsed="false">
      <c r="A877" s="2" t="n">
        <v>40681</v>
      </c>
      <c r="B877" s="0" t="n">
        <v>1340.68</v>
      </c>
      <c r="C877" s="0" t="n">
        <v>281.76</v>
      </c>
      <c r="D877" s="3" t="n">
        <f aca="false">B877*100/B$2</f>
        <v>92.6421404682274</v>
      </c>
      <c r="E877" s="3" t="n">
        <f aca="false">C877*100/C$2</f>
        <v>119.745006374841</v>
      </c>
      <c r="F877" s="0" t="n">
        <v>92.2869620498079</v>
      </c>
      <c r="G877" s="0" t="n">
        <v>97.2582382126588</v>
      </c>
      <c r="H877" s="0" t="n">
        <v>119.570760730982</v>
      </c>
      <c r="I877" s="0" t="n">
        <v>22.3125225183229</v>
      </c>
    </row>
    <row r="878" customFormat="false" ht="13.8" hidden="false" customHeight="false" outlineLevel="0" collapsed="false">
      <c r="A878" s="2" t="n">
        <v>40682</v>
      </c>
      <c r="B878" s="0" t="n">
        <v>1343.6</v>
      </c>
      <c r="C878" s="0" t="n">
        <v>276.47</v>
      </c>
      <c r="D878" s="3" t="n">
        <f aca="false">B878*100/B$2</f>
        <v>92.8439149783023</v>
      </c>
      <c r="E878" s="3" t="n">
        <f aca="false">C878*100/C$2</f>
        <v>117.496812579686</v>
      </c>
      <c r="F878" s="0" t="n">
        <v>92.1466873047901</v>
      </c>
      <c r="G878" s="0" t="n">
        <v>97.2113808068477</v>
      </c>
      <c r="H878" s="0" t="n">
        <v>119.188270293243</v>
      </c>
      <c r="I878" s="0" t="n">
        <v>21.9768894863949</v>
      </c>
    </row>
    <row r="879" customFormat="false" ht="13.8" hidden="false" customHeight="false" outlineLevel="0" collapsed="false">
      <c r="A879" s="2" t="n">
        <v>40683</v>
      </c>
      <c r="B879" s="0" t="n">
        <v>1333.27</v>
      </c>
      <c r="C879" s="0" t="n">
        <v>278.59</v>
      </c>
      <c r="D879" s="3" t="n">
        <f aca="false">B879*100/B$2</f>
        <v>92.1301030984825</v>
      </c>
      <c r="E879" s="3" t="n">
        <f aca="false">C879*100/C$2</f>
        <v>118.397790055249</v>
      </c>
      <c r="F879" s="0" t="n">
        <v>91.7776887144476</v>
      </c>
      <c r="G879" s="0" t="n">
        <v>97.0881204388521</v>
      </c>
      <c r="H879" s="0" t="n">
        <v>119.443263918402</v>
      </c>
      <c r="I879" s="0" t="n">
        <v>22.3551434795499</v>
      </c>
    </row>
    <row r="880" customFormat="false" ht="13.8" hidden="false" customHeight="false" outlineLevel="0" collapsed="false">
      <c r="A880" s="2" t="n">
        <v>40686</v>
      </c>
      <c r="B880" s="0" t="n">
        <v>1317.37</v>
      </c>
      <c r="C880" s="0" t="n">
        <v>271.19</v>
      </c>
      <c r="D880" s="3" t="n">
        <f aca="false">B880*100/B$2</f>
        <v>91.0313994306089</v>
      </c>
      <c r="E880" s="3" t="n">
        <f aca="false">C880*100/C$2</f>
        <v>115.252868678283</v>
      </c>
      <c r="F880" s="0" t="n">
        <v>91.5213245252771</v>
      </c>
      <c r="G880" s="0" t="n">
        <v>97.0024844903009</v>
      </c>
      <c r="H880" s="0" t="n">
        <v>119.205269868253</v>
      </c>
      <c r="I880" s="0" t="n">
        <v>22.2027853779524</v>
      </c>
    </row>
    <row r="881" customFormat="false" ht="13.8" hidden="false" customHeight="false" outlineLevel="0" collapsed="false">
      <c r="A881" s="2" t="n">
        <v>40687</v>
      </c>
      <c r="B881" s="0" t="n">
        <v>1316.28</v>
      </c>
      <c r="C881" s="0" t="n">
        <v>271.78</v>
      </c>
      <c r="D881" s="3" t="n">
        <f aca="false">B881*100/B$2</f>
        <v>90.9560794936289</v>
      </c>
      <c r="E881" s="3" t="n">
        <f aca="false">C881*100/C$2</f>
        <v>115.50361240969</v>
      </c>
      <c r="F881" s="0" t="n">
        <v>90.8095856712457</v>
      </c>
      <c r="G881" s="0" t="n">
        <v>96.764735091358</v>
      </c>
      <c r="H881" s="0" t="n">
        <v>117.352316192095</v>
      </c>
      <c r="I881" s="0" t="n">
        <v>20.5875811007372</v>
      </c>
    </row>
    <row r="882" customFormat="false" ht="13.8" hidden="false" customHeight="false" outlineLevel="0" collapsed="false">
      <c r="A882" s="2" t="n">
        <v>40688</v>
      </c>
      <c r="B882" s="0" t="n">
        <v>1320.47</v>
      </c>
      <c r="C882" s="0" t="n">
        <v>268.62</v>
      </c>
      <c r="D882" s="3" t="n">
        <f aca="false">B882*100/B$2</f>
        <v>91.2456120954145</v>
      </c>
      <c r="E882" s="3" t="n">
        <f aca="false">C882*100/C$2</f>
        <v>114.16064598385</v>
      </c>
      <c r="F882" s="0" t="n">
        <v>90.8268608861494</v>
      </c>
      <c r="G882" s="0" t="n">
        <v>96.7705057078372</v>
      </c>
      <c r="H882" s="0" t="n">
        <v>119.286017849554</v>
      </c>
      <c r="I882" s="0" t="n">
        <v>22.5155121417165</v>
      </c>
    </row>
    <row r="883" customFormat="false" ht="13.8" hidden="false" customHeight="false" outlineLevel="0" collapsed="false">
      <c r="A883" s="2" t="n">
        <v>40689</v>
      </c>
      <c r="B883" s="0" t="n">
        <v>1325.69</v>
      </c>
      <c r="C883" s="0" t="n">
        <v>276.33</v>
      </c>
      <c r="D883" s="3" t="n">
        <f aca="false">B883*100/B$2</f>
        <v>91.6063185826032</v>
      </c>
      <c r="E883" s="3" t="n">
        <f aca="false">C883*100/C$2</f>
        <v>117.437314067148</v>
      </c>
      <c r="F883" s="0" t="n">
        <v>90.834461980707</v>
      </c>
      <c r="G883" s="0" t="n">
        <v>96.7730447790881</v>
      </c>
      <c r="H883" s="0" t="n">
        <v>120.33574160646</v>
      </c>
      <c r="I883" s="0" t="n">
        <v>23.5626968273718</v>
      </c>
    </row>
    <row r="884" customFormat="false" ht="13.8" hidden="false" customHeight="false" outlineLevel="0" collapsed="false">
      <c r="A884" s="2" t="n">
        <v>40690</v>
      </c>
      <c r="B884" s="0" t="n">
        <v>1331.1</v>
      </c>
      <c r="C884" s="0" t="n">
        <v>277.35</v>
      </c>
      <c r="D884" s="3" t="n">
        <f aca="false">B884*100/B$2</f>
        <v>91.9801542331187</v>
      </c>
      <c r="E884" s="3" t="n">
        <f aca="false">C884*100/C$2</f>
        <v>117.870803229919</v>
      </c>
      <c r="F884" s="0" t="n">
        <v>91.1910224163189</v>
      </c>
      <c r="G884" s="0" t="n">
        <v>96.8921503032187</v>
      </c>
      <c r="H884" s="0" t="n">
        <v>120.186995325117</v>
      </c>
      <c r="I884" s="0" t="n">
        <v>23.2948450218982</v>
      </c>
    </row>
    <row r="885" customFormat="false" ht="13.8" hidden="false" customHeight="false" outlineLevel="0" collapsed="false">
      <c r="A885" s="2" t="n">
        <v>40693</v>
      </c>
      <c r="B885" s="0" t="n">
        <v>1331.1</v>
      </c>
      <c r="C885" s="0" t="n">
        <v>276.32</v>
      </c>
      <c r="D885" s="3" t="n">
        <f aca="false">B885*100/B$2</f>
        <v>91.9801542331187</v>
      </c>
      <c r="E885" s="3" t="n">
        <f aca="false">C885*100/C$2</f>
        <v>117.433064173396</v>
      </c>
      <c r="F885" s="0" t="n">
        <v>90.1862959175212</v>
      </c>
      <c r="G885" s="0" t="n">
        <v>96.5565312487887</v>
      </c>
      <c r="H885" s="0" t="n">
        <v>119.906502337442</v>
      </c>
      <c r="I885" s="0" t="n">
        <v>23.3499710886529</v>
      </c>
    </row>
    <row r="886" customFormat="false" ht="13.8" hidden="false" customHeight="false" outlineLevel="0" collapsed="false">
      <c r="A886" s="2" t="n">
        <v>40694</v>
      </c>
      <c r="B886" s="0" t="n">
        <v>1345.2</v>
      </c>
      <c r="C886" s="0" t="n">
        <v>282.76</v>
      </c>
      <c r="D886" s="3" t="n">
        <f aca="false">B886*100/B$2</f>
        <v>92.9544763536858</v>
      </c>
      <c r="E886" s="3" t="n">
        <f aca="false">C886*100/C$2</f>
        <v>120.169995750106</v>
      </c>
      <c r="F886" s="0" t="n">
        <v>90.7031703474391</v>
      </c>
      <c r="G886" s="0" t="n">
        <v>96.7291880938462</v>
      </c>
      <c r="H886" s="0" t="n">
        <v>119.179770505737</v>
      </c>
      <c r="I886" s="0" t="n">
        <v>22.4505824118912</v>
      </c>
    </row>
    <row r="887" customFormat="false" ht="13.8" hidden="false" customHeight="false" outlineLevel="0" collapsed="false">
      <c r="A887" s="2" t="n">
        <v>40695</v>
      </c>
      <c r="B887" s="0" t="n">
        <v>1314.55</v>
      </c>
      <c r="C887" s="0" t="n">
        <v>282.75</v>
      </c>
      <c r="D887" s="3" t="n">
        <f aca="false">B887*100/B$2</f>
        <v>90.8365350064955</v>
      </c>
      <c r="E887" s="3" t="n">
        <f aca="false">C887*100/C$2</f>
        <v>120.165745856354</v>
      </c>
      <c r="F887" s="0" t="n">
        <v>91.9290195970038</v>
      </c>
      <c r="G887" s="0" t="n">
        <v>97.1386710392099</v>
      </c>
      <c r="H887" s="0" t="n">
        <v>122.052698682533</v>
      </c>
      <c r="I887" s="0" t="n">
        <v>24.9140276433231</v>
      </c>
    </row>
    <row r="888" customFormat="false" ht="13.8" hidden="false" customHeight="false" outlineLevel="0" collapsed="false">
      <c r="A888" s="2" t="n">
        <v>40696</v>
      </c>
      <c r="B888" s="0" t="n">
        <v>1312.94</v>
      </c>
      <c r="C888" s="0" t="n">
        <v>278.76</v>
      </c>
      <c r="D888" s="3" t="n">
        <f aca="false">B888*100/B$2</f>
        <v>90.7252826225158</v>
      </c>
      <c r="E888" s="3" t="n">
        <f aca="false">C888*100/C$2</f>
        <v>118.470038249044</v>
      </c>
      <c r="F888" s="0" t="n">
        <v>92.4141076314989</v>
      </c>
      <c r="G888" s="0" t="n">
        <v>97.3007099499457</v>
      </c>
      <c r="H888" s="0" t="n">
        <v>123.739906502337</v>
      </c>
      <c r="I888" s="0" t="n">
        <v>26.4391965523918</v>
      </c>
    </row>
    <row r="889" customFormat="false" ht="13.8" hidden="false" customHeight="false" outlineLevel="0" collapsed="false">
      <c r="A889" s="2" t="n">
        <v>40697</v>
      </c>
      <c r="B889" s="0" t="n">
        <v>1300.16</v>
      </c>
      <c r="C889" s="0" t="n">
        <v>278.84</v>
      </c>
      <c r="D889" s="3" t="n">
        <f aca="false">B889*100/B$2</f>
        <v>89.8421736366401</v>
      </c>
      <c r="E889" s="3" t="n">
        <f aca="false">C889*100/C$2</f>
        <v>118.504037399065</v>
      </c>
      <c r="F889" s="0" t="n">
        <v>92.4141076314989</v>
      </c>
      <c r="G889" s="0" t="n">
        <v>97.3007099499457</v>
      </c>
      <c r="H889" s="0" t="n">
        <v>123.603909902252</v>
      </c>
      <c r="I889" s="0" t="n">
        <v>26.3031999523067</v>
      </c>
    </row>
    <row r="890" customFormat="false" ht="13.8" hidden="false" customHeight="false" outlineLevel="0" collapsed="false">
      <c r="A890" s="2" t="n">
        <v>40700</v>
      </c>
      <c r="B890" s="0" t="n">
        <v>1286.17</v>
      </c>
      <c r="C890" s="0" t="n">
        <v>278.84</v>
      </c>
      <c r="D890" s="3" t="n">
        <f aca="false">B890*100/B$2</f>
        <v>88.8754526106305</v>
      </c>
      <c r="E890" s="3" t="n">
        <f aca="false">C890*100/C$2</f>
        <v>118.504037399065</v>
      </c>
      <c r="F890" s="0" t="n">
        <v>92.2669228005196</v>
      </c>
      <c r="G890" s="0" t="n">
        <v>97.2515442975429</v>
      </c>
      <c r="H890" s="0" t="n">
        <v>124.390140246494</v>
      </c>
      <c r="I890" s="0" t="n">
        <v>27.1385959489509</v>
      </c>
    </row>
    <row r="891" customFormat="false" ht="13.8" hidden="false" customHeight="false" outlineLevel="0" collapsed="false">
      <c r="A891" s="2" t="n">
        <v>40701</v>
      </c>
      <c r="B891" s="0" t="n">
        <v>1284.94</v>
      </c>
      <c r="C891" s="0" t="n">
        <v>276.97</v>
      </c>
      <c r="D891" s="3" t="n">
        <f aca="false">B891*100/B$2</f>
        <v>88.7904585533044</v>
      </c>
      <c r="E891" s="3" t="n">
        <f aca="false">C891*100/C$2</f>
        <v>117.709307267318</v>
      </c>
      <c r="F891" s="0" t="n">
        <v>93.0954421072998</v>
      </c>
      <c r="G891" s="0" t="n">
        <v>97.5283030638851</v>
      </c>
      <c r="H891" s="0" t="n">
        <v>123.833404164896</v>
      </c>
      <c r="I891" s="0" t="n">
        <v>26.3051011010107</v>
      </c>
    </row>
    <row r="892" customFormat="false" ht="13.8" hidden="false" customHeight="false" outlineLevel="0" collapsed="false">
      <c r="A892" s="2" t="n">
        <v>40702</v>
      </c>
      <c r="B892" s="0" t="n">
        <v>1279.56</v>
      </c>
      <c r="C892" s="0" t="n">
        <v>274.46</v>
      </c>
      <c r="D892" s="3" t="n">
        <f aca="false">B892*100/B$2</f>
        <v>88.4186959285774</v>
      </c>
      <c r="E892" s="3" t="n">
        <f aca="false">C892*100/C$2</f>
        <v>116.642583935402</v>
      </c>
      <c r="F892" s="0" t="n">
        <v>93.6772713452555</v>
      </c>
      <c r="G892" s="0" t="n">
        <v>97.7226574269045</v>
      </c>
      <c r="H892" s="0" t="n">
        <v>124.130896727582</v>
      </c>
      <c r="I892" s="0" t="n">
        <v>26.4082393006773</v>
      </c>
    </row>
    <row r="893" customFormat="false" ht="13.8" hidden="false" customHeight="false" outlineLevel="0" collapsed="false">
      <c r="A893" s="2" t="n">
        <v>40703</v>
      </c>
      <c r="B893" s="0" t="n">
        <v>1289</v>
      </c>
      <c r="C893" s="0" t="n">
        <v>272.44</v>
      </c>
      <c r="D893" s="3" t="n">
        <f aca="false">B893*100/B$2</f>
        <v>89.0710080433401</v>
      </c>
      <c r="E893" s="3" t="n">
        <f aca="false">C893*100/C$2</f>
        <v>115.784105397365</v>
      </c>
      <c r="F893" s="0" t="n">
        <v>94.0103374885983</v>
      </c>
      <c r="G893" s="0" t="n">
        <v>97.8339149126233</v>
      </c>
      <c r="H893" s="0" t="n">
        <v>124.16064598385</v>
      </c>
      <c r="I893" s="0" t="n">
        <v>26.3267310712271</v>
      </c>
    </row>
    <row r="894" customFormat="false" ht="13.8" hidden="false" customHeight="false" outlineLevel="0" collapsed="false">
      <c r="A894" s="2" t="n">
        <v>40704</v>
      </c>
      <c r="B894" s="0" t="n">
        <v>1270.98</v>
      </c>
      <c r="C894" s="0" t="n">
        <v>269.04</v>
      </c>
      <c r="D894" s="3" t="n">
        <f aca="false">B894*100/B$2</f>
        <v>87.8258105530833</v>
      </c>
      <c r="E894" s="3" t="n">
        <f aca="false">C894*100/C$2</f>
        <v>114.339141521462</v>
      </c>
      <c r="F894" s="0" t="n">
        <v>94.2266231791924</v>
      </c>
      <c r="G894" s="0" t="n">
        <v>97.9061630309429</v>
      </c>
      <c r="H894" s="0" t="n">
        <v>123.412664683383</v>
      </c>
      <c r="I894" s="0" t="n">
        <v>25.5065016524401</v>
      </c>
    </row>
    <row r="895" customFormat="false" ht="13.8" hidden="false" customHeight="false" outlineLevel="0" collapsed="false">
      <c r="A895" s="2" t="n">
        <v>40707</v>
      </c>
      <c r="B895" s="0" t="n">
        <v>1271.83</v>
      </c>
      <c r="C895" s="0" t="n">
        <v>269.79</v>
      </c>
      <c r="D895" s="3" t="n">
        <f aca="false">B895*100/B$2</f>
        <v>87.8845462837558</v>
      </c>
      <c r="E895" s="3" t="n">
        <f aca="false">C895*100/C$2</f>
        <v>114.657883552911</v>
      </c>
      <c r="F895" s="0" t="n">
        <v>94.0614721247132</v>
      </c>
      <c r="G895" s="0" t="n">
        <v>97.8509959374017</v>
      </c>
      <c r="H895" s="0" t="n">
        <v>125.5206119847</v>
      </c>
      <c r="I895" s="0" t="n">
        <v>27.6696160472987</v>
      </c>
    </row>
    <row r="896" customFormat="false" ht="13.8" hidden="false" customHeight="false" outlineLevel="0" collapsed="false">
      <c r="A896" s="2" t="n">
        <v>40708</v>
      </c>
      <c r="B896" s="0" t="n">
        <v>1287.87</v>
      </c>
      <c r="C896" s="0" t="n">
        <v>273.67</v>
      </c>
      <c r="D896" s="3" t="n">
        <f aca="false">B896*100/B$2</f>
        <v>88.9929240719754</v>
      </c>
      <c r="E896" s="3" t="n">
        <f aca="false">C896*100/C$2</f>
        <v>116.306842328942</v>
      </c>
      <c r="F896" s="0" t="n">
        <v>93.7436081704856</v>
      </c>
      <c r="G896" s="0" t="n">
        <v>97.7448165941846</v>
      </c>
      <c r="H896" s="0" t="n">
        <v>123.948151296218</v>
      </c>
      <c r="I896" s="0" t="n">
        <v>26.203334702033</v>
      </c>
    </row>
    <row r="897" customFormat="false" ht="13.8" hidden="false" customHeight="false" outlineLevel="0" collapsed="false">
      <c r="A897" s="2" t="n">
        <v>40709</v>
      </c>
      <c r="B897" s="0" t="n">
        <v>1265.42</v>
      </c>
      <c r="C897" s="0" t="n">
        <v>274.53</v>
      </c>
      <c r="D897" s="3" t="n">
        <f aca="false">B897*100/B$2</f>
        <v>87.4416097736256</v>
      </c>
      <c r="E897" s="3" t="n">
        <f aca="false">C897*100/C$2</f>
        <v>116.67233319167</v>
      </c>
      <c r="F897" s="0" t="n">
        <v>93.100970176069</v>
      </c>
      <c r="G897" s="0" t="n">
        <v>97.5301496611585</v>
      </c>
      <c r="H897" s="0" t="n">
        <v>122.59243518912</v>
      </c>
      <c r="I897" s="0" t="n">
        <v>25.0622855279618</v>
      </c>
    </row>
    <row r="898" customFormat="false" ht="13.8" hidden="false" customHeight="false" outlineLevel="0" collapsed="false">
      <c r="A898" s="2" t="n">
        <v>40710</v>
      </c>
      <c r="B898" s="0" t="n">
        <v>1267.64</v>
      </c>
      <c r="C898" s="0" t="n">
        <v>268.88</v>
      </c>
      <c r="D898" s="3" t="n">
        <f aca="false">B898*100/B$2</f>
        <v>87.5950136819702</v>
      </c>
      <c r="E898" s="3" t="n">
        <f aca="false">C898*100/C$2</f>
        <v>114.271143221419</v>
      </c>
      <c r="F898" s="0" t="n">
        <v>92.2565576715774</v>
      </c>
      <c r="G898" s="0" t="n">
        <v>97.2480819276554</v>
      </c>
      <c r="H898" s="0" t="n">
        <v>122.59243518912</v>
      </c>
      <c r="I898" s="0" t="n">
        <v>25.3443532614648</v>
      </c>
    </row>
    <row r="899" customFormat="false" ht="13.8" hidden="false" customHeight="false" outlineLevel="0" collapsed="false">
      <c r="A899" s="2" t="n">
        <v>40711</v>
      </c>
      <c r="B899" s="0" t="n">
        <v>1271.5</v>
      </c>
      <c r="C899" s="0" t="n">
        <v>266.22</v>
      </c>
      <c r="D899" s="3" t="n">
        <f aca="false">B899*100/B$2</f>
        <v>87.8617430000829</v>
      </c>
      <c r="E899" s="3" t="n">
        <f aca="false">C899*100/C$2</f>
        <v>113.140671483213</v>
      </c>
      <c r="F899" s="0" t="n">
        <v>92.6089720556124</v>
      </c>
      <c r="G899" s="0" t="n">
        <v>97.365802503831</v>
      </c>
      <c r="H899" s="0" t="n">
        <v>120.560985975351</v>
      </c>
      <c r="I899" s="0" t="n">
        <v>23.1951834715196</v>
      </c>
    </row>
    <row r="900" customFormat="false" ht="13.8" hidden="false" customHeight="false" outlineLevel="0" collapsed="false">
      <c r="A900" s="2" t="n">
        <v>40714</v>
      </c>
      <c r="B900" s="0" t="n">
        <v>1278.36</v>
      </c>
      <c r="C900" s="0" t="n">
        <v>264.39</v>
      </c>
      <c r="D900" s="3" t="n">
        <f aca="false">B900*100/B$2</f>
        <v>88.3357748970397</v>
      </c>
      <c r="E900" s="3" t="n">
        <f aca="false">C900*100/C$2</f>
        <v>112.362940926477</v>
      </c>
      <c r="F900" s="0" t="n">
        <v>93.0297962906659</v>
      </c>
      <c r="G900" s="0" t="n">
        <v>97.5063747212642</v>
      </c>
      <c r="H900" s="0" t="n">
        <v>120.097747556311</v>
      </c>
      <c r="I900" s="0" t="n">
        <v>22.5913728350469</v>
      </c>
    </row>
    <row r="901" customFormat="false" ht="13.8" hidden="false" customHeight="false" outlineLevel="0" collapsed="false">
      <c r="A901" s="2" t="n">
        <v>40715</v>
      </c>
      <c r="B901" s="0" t="n">
        <v>1295.52</v>
      </c>
      <c r="C901" s="0" t="n">
        <v>268.65</v>
      </c>
      <c r="D901" s="3" t="n">
        <f aca="false">B901*100/B$2</f>
        <v>89.5215456480279</v>
      </c>
      <c r="E901" s="3" t="n">
        <f aca="false">C901*100/C$2</f>
        <v>114.173395665108</v>
      </c>
      <c r="F901" s="0" t="n">
        <v>93.7809226346776</v>
      </c>
      <c r="G901" s="0" t="n">
        <v>97.7572811257796</v>
      </c>
      <c r="H901" s="0" t="n">
        <v>120.097747556311</v>
      </c>
      <c r="I901" s="0" t="n">
        <v>22.3404664305315</v>
      </c>
    </row>
    <row r="902" customFormat="false" ht="13.8" hidden="false" customHeight="false" outlineLevel="0" collapsed="false">
      <c r="A902" s="2" t="n">
        <v>40716</v>
      </c>
      <c r="B902" s="0" t="n">
        <v>1287.14</v>
      </c>
      <c r="C902" s="0" t="n">
        <v>270.71</v>
      </c>
      <c r="D902" s="3" t="n">
        <f aca="false">B902*100/B$2</f>
        <v>88.9424804444567</v>
      </c>
      <c r="E902" s="3" t="n">
        <f aca="false">C902*100/C$2</f>
        <v>115.048873778156</v>
      </c>
      <c r="F902" s="0" t="n">
        <v>92.738881671688</v>
      </c>
      <c r="G902" s="0" t="n">
        <v>97.4091975397546</v>
      </c>
      <c r="H902" s="0" t="n">
        <v>121.674458138547</v>
      </c>
      <c r="I902" s="0" t="n">
        <v>24.265260598792</v>
      </c>
    </row>
    <row r="903" customFormat="false" ht="13.8" hidden="false" customHeight="false" outlineLevel="0" collapsed="false">
      <c r="A903" s="2" t="n">
        <v>40717</v>
      </c>
      <c r="B903" s="0" t="n">
        <v>1283.5</v>
      </c>
      <c r="C903" s="0" t="n">
        <v>269.34</v>
      </c>
      <c r="D903" s="3" t="n">
        <f aca="false">B903*100/B$2</f>
        <v>88.6909533154592</v>
      </c>
      <c r="E903" s="3" t="n">
        <f aca="false">C903*100/C$2</f>
        <v>114.466638334042</v>
      </c>
      <c r="F903" s="0" t="n">
        <v>93.1928743193565</v>
      </c>
      <c r="G903" s="0" t="n">
        <v>97.5608493408278</v>
      </c>
      <c r="H903" s="0" t="n">
        <v>119.005524861878</v>
      </c>
      <c r="I903" s="0" t="n">
        <v>21.4446755210506</v>
      </c>
    </row>
    <row r="904" customFormat="false" ht="13.8" hidden="false" customHeight="false" outlineLevel="0" collapsed="false">
      <c r="A904" s="2" t="n">
        <v>40718</v>
      </c>
      <c r="B904" s="0" t="n">
        <v>1268.45</v>
      </c>
      <c r="C904" s="0" t="n">
        <v>274.31</v>
      </c>
      <c r="D904" s="3" t="n">
        <f aca="false">B904*100/B$2</f>
        <v>87.6509853782581</v>
      </c>
      <c r="E904" s="3" t="n">
        <f aca="false">C904*100/C$2</f>
        <v>116.578835529112</v>
      </c>
      <c r="F904" s="0" t="n">
        <v>92.4410569667487</v>
      </c>
      <c r="G904" s="0" t="n">
        <v>97.3097121116532</v>
      </c>
      <c r="H904" s="0" t="n">
        <v>118.822779430514</v>
      </c>
      <c r="I904" s="0" t="n">
        <v>21.513067318861</v>
      </c>
    </row>
    <row r="905" customFormat="false" ht="13.8" hidden="false" customHeight="false" outlineLevel="0" collapsed="false">
      <c r="A905" s="2" t="n">
        <v>40721</v>
      </c>
      <c r="B905" s="0" t="n">
        <v>1280.1</v>
      </c>
      <c r="C905" s="0" t="n">
        <v>271.44</v>
      </c>
      <c r="D905" s="3" t="n">
        <f aca="false">B905*100/B$2</f>
        <v>88.4560103927693</v>
      </c>
      <c r="E905" s="3" t="n">
        <f aca="false">C905*100/C$2</f>
        <v>115.359116022099</v>
      </c>
      <c r="F905" s="0" t="n">
        <v>91.8675198319467</v>
      </c>
      <c r="G905" s="0" t="n">
        <v>97.118127644544</v>
      </c>
      <c r="H905" s="0" t="n">
        <v>117.815554611135</v>
      </c>
      <c r="I905" s="0" t="n">
        <v>20.6974269665908</v>
      </c>
    </row>
    <row r="906" customFormat="false" ht="13.8" hidden="false" customHeight="false" outlineLevel="0" collapsed="false">
      <c r="A906" s="2" t="n">
        <v>40722</v>
      </c>
      <c r="B906" s="0" t="n">
        <v>1296.67</v>
      </c>
      <c r="C906" s="0" t="n">
        <v>270.41</v>
      </c>
      <c r="D906" s="3" t="n">
        <f aca="false">B906*100/B$2</f>
        <v>89.6010116365848</v>
      </c>
      <c r="E906" s="3" t="n">
        <f aca="false">C906*100/C$2</f>
        <v>114.921376965576</v>
      </c>
      <c r="F906" s="0" t="n">
        <v>91.8336604107355</v>
      </c>
      <c r="G906" s="0" t="n">
        <v>97.1068172362447</v>
      </c>
      <c r="H906" s="0" t="n">
        <v>117.785805354866</v>
      </c>
      <c r="I906" s="0" t="n">
        <v>20.6789881186214</v>
      </c>
    </row>
    <row r="907" customFormat="false" ht="13.8" hidden="false" customHeight="false" outlineLevel="0" collapsed="false">
      <c r="A907" s="2" t="n">
        <v>40723</v>
      </c>
      <c r="B907" s="0" t="n">
        <v>1307.41</v>
      </c>
      <c r="C907" s="0" t="n">
        <v>274.61</v>
      </c>
      <c r="D907" s="3" t="n">
        <f aca="false">B907*100/B$2</f>
        <v>90.3431548688466</v>
      </c>
      <c r="E907" s="3" t="n">
        <f aca="false">C907*100/C$2</f>
        <v>116.706332341691</v>
      </c>
      <c r="F907" s="0" t="n">
        <v>92.6421404682274</v>
      </c>
      <c r="G907" s="0" t="n">
        <v>97.3768820874711</v>
      </c>
      <c r="H907" s="0" t="n">
        <v>119.745006374841</v>
      </c>
      <c r="I907" s="0" t="n">
        <v>22.3681242873696</v>
      </c>
    </row>
    <row r="908" customFormat="false" ht="13.8" hidden="false" customHeight="false" outlineLevel="0" collapsed="false">
      <c r="A908" s="2" t="n">
        <v>40724</v>
      </c>
      <c r="B908" s="0" t="n">
        <v>1320.64</v>
      </c>
      <c r="C908" s="0" t="n">
        <v>275.17</v>
      </c>
      <c r="D908" s="3" t="n">
        <f aca="false">B908*100/B$2</f>
        <v>91.257359241549</v>
      </c>
      <c r="E908" s="3" t="n">
        <f aca="false">C908*100/C$2</f>
        <v>116.94432639184</v>
      </c>
      <c r="F908" s="0" t="n">
        <v>92.8439149783023</v>
      </c>
      <c r="G908" s="0" t="n">
        <v>97.4442828879481</v>
      </c>
      <c r="H908" s="0" t="n">
        <v>117.496812579686</v>
      </c>
      <c r="I908" s="0" t="n">
        <v>20.0525296917375</v>
      </c>
    </row>
    <row r="909" customFormat="false" ht="13.8" hidden="false" customHeight="false" outlineLevel="0" collapsed="false">
      <c r="A909" s="2" t="n">
        <v>40725</v>
      </c>
      <c r="B909" s="0" t="n">
        <v>1339.67</v>
      </c>
      <c r="C909" s="0" t="n">
        <v>278.77</v>
      </c>
      <c r="D909" s="3" t="n">
        <f aca="false">B909*100/B$2</f>
        <v>92.5723486000166</v>
      </c>
      <c r="E909" s="3" t="n">
        <f aca="false">C909*100/C$2</f>
        <v>118.474288142796</v>
      </c>
      <c r="F909" s="0" t="n">
        <v>92.1301030984825</v>
      </c>
      <c r="G909" s="0" t="n">
        <v>97.2058410150277</v>
      </c>
      <c r="H909" s="0" t="n">
        <v>118.397790055249</v>
      </c>
      <c r="I909" s="0" t="n">
        <v>21.1919490402209</v>
      </c>
    </row>
    <row r="910" customFormat="false" ht="13.8" hidden="false" customHeight="false" outlineLevel="0" collapsed="false">
      <c r="A910" s="2" t="n">
        <v>40728</v>
      </c>
      <c r="B910" s="0" t="n">
        <v>1339.67</v>
      </c>
      <c r="C910" s="0" t="n">
        <v>281.67</v>
      </c>
      <c r="D910" s="3" t="n">
        <f aca="false">B910*100/B$2</f>
        <v>92.5723486000166</v>
      </c>
      <c r="E910" s="3" t="n">
        <f aca="false">C910*100/C$2</f>
        <v>119.706757331067</v>
      </c>
      <c r="F910" s="0" t="n">
        <v>91.0313994306089</v>
      </c>
      <c r="G910" s="0" t="n">
        <v>96.8388298069509</v>
      </c>
      <c r="H910" s="0" t="n">
        <v>115.252868678283</v>
      </c>
      <c r="I910" s="0" t="n">
        <v>18.4140388713322</v>
      </c>
    </row>
    <row r="911" customFormat="false" ht="13.8" hidden="false" customHeight="false" outlineLevel="0" collapsed="false">
      <c r="A911" s="2" t="n">
        <v>40729</v>
      </c>
      <c r="B911" s="0" t="n">
        <v>1337.88</v>
      </c>
      <c r="C911" s="0" t="n">
        <v>283.88</v>
      </c>
      <c r="D911" s="3" t="n">
        <f aca="false">B911*100/B$2</f>
        <v>92.4486580613063</v>
      </c>
      <c r="E911" s="3" t="n">
        <f aca="false">C911*100/C$2</f>
        <v>120.645983850404</v>
      </c>
      <c r="F911" s="0" t="n">
        <v>90.9560794936289</v>
      </c>
      <c r="G911" s="0" t="n">
        <v>96.8136699191016</v>
      </c>
      <c r="H911" s="0" t="n">
        <v>115.50361240969</v>
      </c>
      <c r="I911" s="0" t="n">
        <v>18.6899424905881</v>
      </c>
    </row>
    <row r="912" customFormat="false" ht="13.8" hidden="false" customHeight="false" outlineLevel="0" collapsed="false">
      <c r="A912" s="2" t="n">
        <v>40730</v>
      </c>
      <c r="B912" s="0" t="n">
        <v>1339.22</v>
      </c>
      <c r="C912" s="0" t="n">
        <v>285.12</v>
      </c>
      <c r="D912" s="3" t="n">
        <f aca="false">B912*100/B$2</f>
        <v>92.54125321319</v>
      </c>
      <c r="E912" s="3" t="n">
        <f aca="false">C912*100/C$2</f>
        <v>121.172970675733</v>
      </c>
      <c r="F912" s="0" t="n">
        <v>91.2456120954145</v>
      </c>
      <c r="G912" s="0" t="n">
        <v>96.9103854512929</v>
      </c>
      <c r="H912" s="0" t="n">
        <v>114.16064598385</v>
      </c>
      <c r="I912" s="0" t="n">
        <v>17.2502605325575</v>
      </c>
    </row>
    <row r="913" customFormat="false" ht="13.8" hidden="false" customHeight="false" outlineLevel="0" collapsed="false">
      <c r="A913" s="2" t="n">
        <v>40731</v>
      </c>
      <c r="B913" s="0" t="n">
        <v>1353.22</v>
      </c>
      <c r="C913" s="0" t="n">
        <v>286.07</v>
      </c>
      <c r="D913" s="3" t="n">
        <f aca="false">B913*100/B$2</f>
        <v>93.5086652477957</v>
      </c>
      <c r="E913" s="3" t="n">
        <f aca="false">C913*100/C$2</f>
        <v>121.576710582235</v>
      </c>
      <c r="F913" s="0" t="n">
        <v>91.6063185826032</v>
      </c>
      <c r="G913" s="0" t="n">
        <v>97.0308759233785</v>
      </c>
      <c r="H913" s="0" t="n">
        <v>117.437314067148</v>
      </c>
      <c r="I913" s="0" t="n">
        <v>20.4064381437698</v>
      </c>
    </row>
    <row r="914" customFormat="false" ht="13.8" hidden="false" customHeight="false" outlineLevel="0" collapsed="false">
      <c r="A914" s="2" t="n">
        <v>40732</v>
      </c>
      <c r="B914" s="0" t="n">
        <v>1343.8</v>
      </c>
      <c r="C914" s="0" t="n">
        <v>286.05</v>
      </c>
      <c r="D914" s="3" t="n">
        <f aca="false">B914*100/B$2</f>
        <v>92.8577351502253</v>
      </c>
      <c r="E914" s="3" t="n">
        <f aca="false">C914*100/C$2</f>
        <v>121.56821079473</v>
      </c>
      <c r="F914" s="0" t="n">
        <v>91.9801542331187</v>
      </c>
      <c r="G914" s="0" t="n">
        <v>97.1557520639883</v>
      </c>
      <c r="H914" s="0" t="n">
        <v>117.870803229919</v>
      </c>
      <c r="I914" s="0" t="n">
        <v>20.715051165931</v>
      </c>
    </row>
    <row r="915" customFormat="false" ht="13.8" hidden="false" customHeight="false" outlineLevel="0" collapsed="false">
      <c r="A915" s="2" t="n">
        <v>40735</v>
      </c>
      <c r="B915" s="0" t="n">
        <v>1319.49</v>
      </c>
      <c r="C915" s="0" t="n">
        <v>282.46</v>
      </c>
      <c r="D915" s="3" t="n">
        <f aca="false">B915*100/B$2</f>
        <v>91.1778932529921</v>
      </c>
      <c r="E915" s="3" t="n">
        <f aca="false">C915*100/C$2</f>
        <v>120.042498937527</v>
      </c>
      <c r="F915" s="0" t="n">
        <v>91.9801542331187</v>
      </c>
      <c r="G915" s="0" t="n">
        <v>97.1557520639883</v>
      </c>
      <c r="H915" s="0" t="n">
        <v>117.433064173396</v>
      </c>
      <c r="I915" s="0" t="n">
        <v>20.2773121094074</v>
      </c>
    </row>
    <row r="916" customFormat="false" ht="13.8" hidden="false" customHeight="false" outlineLevel="0" collapsed="false">
      <c r="A916" s="2" t="n">
        <v>40736</v>
      </c>
      <c r="B916" s="0" t="n">
        <v>1313.64</v>
      </c>
      <c r="C916" s="0" t="n">
        <v>275.9</v>
      </c>
      <c r="D916" s="3" t="n">
        <f aca="false">B916*100/B$2</f>
        <v>90.7736532242461</v>
      </c>
      <c r="E916" s="3" t="n">
        <f aca="false">C916*100/C$2</f>
        <v>117.254568635784</v>
      </c>
      <c r="F916" s="0" t="n">
        <v>92.9544763536858</v>
      </c>
      <c r="G916" s="0" t="n">
        <v>97.4812148334149</v>
      </c>
      <c r="H916" s="0" t="n">
        <v>120.169995750106</v>
      </c>
      <c r="I916" s="0" t="n">
        <v>22.6887809166913</v>
      </c>
    </row>
    <row r="917" customFormat="false" ht="13.8" hidden="false" customHeight="false" outlineLevel="0" collapsed="false">
      <c r="A917" s="2" t="n">
        <v>40737</v>
      </c>
      <c r="B917" s="0" t="n">
        <v>1317.72</v>
      </c>
      <c r="C917" s="0" t="n">
        <v>278.32</v>
      </c>
      <c r="D917" s="3" t="n">
        <f aca="false">B917*100/B$2</f>
        <v>91.0555847314741</v>
      </c>
      <c r="E917" s="3" t="n">
        <f aca="false">C917*100/C$2</f>
        <v>118.283042923927</v>
      </c>
      <c r="F917" s="0" t="n">
        <v>90.8365350064955</v>
      </c>
      <c r="G917" s="0" t="n">
        <v>96.7737372530656</v>
      </c>
      <c r="H917" s="0" t="n">
        <v>120.165745856354</v>
      </c>
      <c r="I917" s="0" t="n">
        <v>23.392008603288</v>
      </c>
    </row>
    <row r="918" customFormat="false" ht="13.8" hidden="false" customHeight="false" outlineLevel="0" collapsed="false">
      <c r="A918" s="2" t="n">
        <v>40738</v>
      </c>
      <c r="B918" s="0" t="n">
        <v>1308.87</v>
      </c>
      <c r="C918" s="0" t="n">
        <v>278.03</v>
      </c>
      <c r="D918" s="3" t="n">
        <f aca="false">B918*100/B$2</f>
        <v>90.444042123884</v>
      </c>
      <c r="E918" s="3" t="n">
        <f aca="false">C918*100/C$2</f>
        <v>118.1597960051</v>
      </c>
      <c r="F918" s="0" t="n">
        <v>90.7252826225158</v>
      </c>
      <c r="G918" s="0" t="n">
        <v>96.7365744829396</v>
      </c>
      <c r="H918" s="0" t="n">
        <v>118.470038249044</v>
      </c>
      <c r="I918" s="0" t="n">
        <v>21.7334637661042</v>
      </c>
    </row>
    <row r="919" customFormat="false" ht="13.8" hidden="false" customHeight="false" outlineLevel="0" collapsed="false">
      <c r="A919" s="2" t="n">
        <v>40739</v>
      </c>
      <c r="B919" s="0" t="n">
        <v>1316.14</v>
      </c>
      <c r="C919" s="0" t="n">
        <v>279.59</v>
      </c>
      <c r="D919" s="3" t="n">
        <f aca="false">B919*100/B$2</f>
        <v>90.9464053732829</v>
      </c>
      <c r="E919" s="3" t="n">
        <f aca="false">C919*100/C$2</f>
        <v>118.822779430514</v>
      </c>
      <c r="F919" s="0" t="n">
        <v>89.8421736366401</v>
      </c>
      <c r="G919" s="0" t="n">
        <v>96.4415805685231</v>
      </c>
      <c r="H919" s="0" t="n">
        <v>118.504037399065</v>
      </c>
      <c r="I919" s="0" t="n">
        <v>22.0624568305419</v>
      </c>
    </row>
    <row r="920" customFormat="false" ht="13.8" hidden="false" customHeight="false" outlineLevel="0" collapsed="false">
      <c r="A920" s="2" t="n">
        <v>40742</v>
      </c>
      <c r="B920" s="0" t="n">
        <v>1305.44</v>
      </c>
      <c r="C920" s="0" t="n">
        <v>276.71</v>
      </c>
      <c r="D920" s="3" t="n">
        <f aca="false">B920*100/B$2</f>
        <v>90.2070261754056</v>
      </c>
      <c r="E920" s="3" t="n">
        <f aca="false">C920*100/C$2</f>
        <v>117.598810029749</v>
      </c>
      <c r="F920" s="0" t="n">
        <v>88.8754526106305</v>
      </c>
      <c r="G920" s="0" t="n">
        <v>96.1186568703473</v>
      </c>
      <c r="H920" s="0" t="n">
        <v>118.504037399065</v>
      </c>
      <c r="I920" s="0" t="n">
        <v>22.3853805287177</v>
      </c>
    </row>
    <row r="921" customFormat="false" ht="13.8" hidden="false" customHeight="false" outlineLevel="0" collapsed="false">
      <c r="A921" s="2" t="n">
        <v>40743</v>
      </c>
      <c r="B921" s="0" t="n">
        <v>1326.73</v>
      </c>
      <c r="C921" s="0" t="n">
        <v>276.58</v>
      </c>
      <c r="D921" s="3" t="n">
        <f aca="false">B921*100/B$2</f>
        <v>91.6781834766024</v>
      </c>
      <c r="E921" s="3" t="n">
        <f aca="false">C921*100/C$2</f>
        <v>117.543561410965</v>
      </c>
      <c r="F921" s="0" t="n">
        <v>88.7904585533044</v>
      </c>
      <c r="G921" s="0" t="n">
        <v>96.0902654372697</v>
      </c>
      <c r="H921" s="0" t="n">
        <v>117.709307267318</v>
      </c>
      <c r="I921" s="0" t="n">
        <v>21.6190418300486</v>
      </c>
    </row>
    <row r="922" customFormat="false" ht="13.8" hidden="false" customHeight="false" outlineLevel="0" collapsed="false">
      <c r="A922" s="2" t="n">
        <v>40744</v>
      </c>
      <c r="B922" s="0" t="n">
        <v>1325.84</v>
      </c>
      <c r="C922" s="0" t="n">
        <v>280.41</v>
      </c>
      <c r="D922" s="3" t="n">
        <f aca="false">B922*100/B$2</f>
        <v>91.6166837115454</v>
      </c>
      <c r="E922" s="3" t="n">
        <f aca="false">C922*100/C$2</f>
        <v>119.171270718232</v>
      </c>
      <c r="F922" s="0" t="n">
        <v>88.4186959285774</v>
      </c>
      <c r="G922" s="0" t="n">
        <v>95.9660817706374</v>
      </c>
      <c r="H922" s="0" t="n">
        <v>116.642583935402</v>
      </c>
      <c r="I922" s="0" t="n">
        <v>20.6765021647642</v>
      </c>
    </row>
    <row r="923" customFormat="false" ht="13.8" hidden="false" customHeight="false" outlineLevel="0" collapsed="false">
      <c r="A923" s="2" t="n">
        <v>40745</v>
      </c>
      <c r="B923" s="0" t="n">
        <v>1343.8</v>
      </c>
      <c r="C923" s="0" t="n">
        <v>279.2</v>
      </c>
      <c r="D923" s="3" t="n">
        <f aca="false">B923*100/B$2</f>
        <v>92.8577351502253</v>
      </c>
      <c r="E923" s="3" t="n">
        <f aca="false">C923*100/C$2</f>
        <v>118.657033574161</v>
      </c>
      <c r="F923" s="0" t="n">
        <v>89.0710080433401</v>
      </c>
      <c r="G923" s="0" t="n">
        <v>96.1839802488918</v>
      </c>
      <c r="H923" s="0" t="n">
        <v>115.784105397365</v>
      </c>
      <c r="I923" s="0" t="n">
        <v>19.6001251484733</v>
      </c>
    </row>
    <row r="924" customFormat="false" ht="13.8" hidden="false" customHeight="false" outlineLevel="0" collapsed="false">
      <c r="A924" s="2" t="n">
        <v>40746</v>
      </c>
      <c r="B924" s="0" t="n">
        <v>1345.02</v>
      </c>
      <c r="C924" s="0" t="n">
        <v>282.59</v>
      </c>
      <c r="D924" s="3" t="n">
        <f aca="false">B924*100/B$2</f>
        <v>92.9420381989552</v>
      </c>
      <c r="E924" s="3" t="n">
        <f aca="false">C924*100/C$2</f>
        <v>120.097747556311</v>
      </c>
      <c r="F924" s="0" t="n">
        <v>87.8258105530833</v>
      </c>
      <c r="G924" s="0" t="n">
        <v>95.7680342130714</v>
      </c>
      <c r="H924" s="0" t="n">
        <v>114.339141521462</v>
      </c>
      <c r="I924" s="0" t="n">
        <v>18.5711073083906</v>
      </c>
    </row>
    <row r="925" customFormat="false" ht="13.8" hidden="false" customHeight="false" outlineLevel="0" collapsed="false">
      <c r="A925" s="2" t="n">
        <v>40749</v>
      </c>
      <c r="B925" s="0" t="n">
        <v>1337.43</v>
      </c>
      <c r="C925" s="0" t="n">
        <v>279.66</v>
      </c>
      <c r="D925" s="3" t="n">
        <f aca="false">B925*100/B$2</f>
        <v>92.4175626744797</v>
      </c>
      <c r="E925" s="3" t="n">
        <f aca="false">C925*100/C$2</f>
        <v>118.852528686783</v>
      </c>
      <c r="F925" s="0" t="n">
        <v>87.8845462837558</v>
      </c>
      <c r="G925" s="0" t="n">
        <v>95.7876543091007</v>
      </c>
      <c r="H925" s="0" t="n">
        <v>114.657883552911</v>
      </c>
      <c r="I925" s="0" t="n">
        <v>18.8702292438105</v>
      </c>
    </row>
    <row r="926" customFormat="false" ht="13.8" hidden="false" customHeight="false" outlineLevel="0" collapsed="false">
      <c r="A926" s="2" t="n">
        <v>40750</v>
      </c>
      <c r="B926" s="0" t="n">
        <v>1331.94</v>
      </c>
      <c r="C926" s="0" t="n">
        <v>282.04</v>
      </c>
      <c r="D926" s="3" t="n">
        <f aca="false">B926*100/B$2</f>
        <v>92.038198955195</v>
      </c>
      <c r="E926" s="3" t="n">
        <f aca="false">C926*100/C$2</f>
        <v>119.864003399915</v>
      </c>
      <c r="F926" s="0" t="n">
        <v>88.9929240719754</v>
      </c>
      <c r="G926" s="0" t="n">
        <v>96.1578970624058</v>
      </c>
      <c r="H926" s="0" t="n">
        <v>116.306842328942</v>
      </c>
      <c r="I926" s="0" t="n">
        <v>20.1489452665359</v>
      </c>
    </row>
    <row r="927" customFormat="false" ht="13.8" hidden="false" customHeight="false" outlineLevel="0" collapsed="false">
      <c r="A927" s="2" t="n">
        <v>40751</v>
      </c>
      <c r="B927" s="0" t="n">
        <v>1304.89</v>
      </c>
      <c r="C927" s="0" t="n">
        <v>282.7</v>
      </c>
      <c r="D927" s="3" t="n">
        <f aca="false">B927*100/B$2</f>
        <v>90.1690207026175</v>
      </c>
      <c r="E927" s="3" t="n">
        <f aca="false">C927*100/C$2</f>
        <v>120.14449638759</v>
      </c>
      <c r="F927" s="0" t="n">
        <v>87.4416097736256</v>
      </c>
      <c r="G927" s="0" t="n">
        <v>95.6396957025741</v>
      </c>
      <c r="H927" s="0" t="n">
        <v>116.67233319167</v>
      </c>
      <c r="I927" s="0" t="n">
        <v>21.0326374890961</v>
      </c>
    </row>
    <row r="928" customFormat="false" ht="13.8" hidden="false" customHeight="false" outlineLevel="0" collapsed="false">
      <c r="A928" s="2" t="n">
        <v>40752</v>
      </c>
      <c r="B928" s="0" t="n">
        <v>1300.67</v>
      </c>
      <c r="C928" s="0" t="n">
        <v>280.04</v>
      </c>
      <c r="D928" s="3" t="n">
        <f aca="false">B928*100/B$2</f>
        <v>89.8774150750435</v>
      </c>
      <c r="E928" s="3" t="n">
        <f aca="false">C928*100/C$2</f>
        <v>119.014024649384</v>
      </c>
      <c r="F928" s="0" t="n">
        <v>87.5950136819702</v>
      </c>
      <c r="G928" s="0" t="n">
        <v>95.6909387769094</v>
      </c>
      <c r="H928" s="0" t="n">
        <v>114.271143221419</v>
      </c>
      <c r="I928" s="0" t="n">
        <v>18.5802044445101</v>
      </c>
    </row>
    <row r="929" customFormat="false" ht="13.8" hidden="false" customHeight="false" outlineLevel="0" collapsed="false">
      <c r="A929" s="2" t="n">
        <v>40753</v>
      </c>
      <c r="B929" s="0" t="n">
        <v>1292.28</v>
      </c>
      <c r="C929" s="0" t="n">
        <v>277.11</v>
      </c>
      <c r="D929" s="3" t="n">
        <f aca="false">B929*100/B$2</f>
        <v>89.2976588628762</v>
      </c>
      <c r="E929" s="3" t="n">
        <f aca="false">C929*100/C$2</f>
        <v>117.768805779856</v>
      </c>
      <c r="F929" s="0" t="n">
        <v>87.8617430000829</v>
      </c>
      <c r="G929" s="0" t="n">
        <v>95.7800370953481</v>
      </c>
      <c r="H929" s="0" t="n">
        <v>113.140671483213</v>
      </c>
      <c r="I929" s="0" t="n">
        <v>17.3606343878648</v>
      </c>
    </row>
    <row r="930" customFormat="false" ht="13.8" hidden="false" customHeight="false" outlineLevel="0" collapsed="false">
      <c r="A930" s="2" t="n">
        <v>40756</v>
      </c>
      <c r="B930" s="0" t="n">
        <v>1286.94</v>
      </c>
      <c r="C930" s="0" t="n">
        <v>282.36</v>
      </c>
      <c r="D930" s="3" t="n">
        <f aca="false">B930*100/B$2</f>
        <v>88.9286602725338</v>
      </c>
      <c r="E930" s="3" t="n">
        <f aca="false">C930*100/C$2</f>
        <v>120</v>
      </c>
      <c r="F930" s="0" t="n">
        <v>88.3357748970397</v>
      </c>
      <c r="G930" s="0" t="n">
        <v>95.9383828115373</v>
      </c>
      <c r="H930" s="0" t="n">
        <v>112.362940926477</v>
      </c>
      <c r="I930" s="0" t="n">
        <v>16.4245581149396</v>
      </c>
    </row>
    <row r="931" customFormat="false" ht="13.8" hidden="false" customHeight="false" outlineLevel="0" collapsed="false">
      <c r="A931" s="2" t="n">
        <v>40757</v>
      </c>
      <c r="B931" s="0" t="n">
        <v>1254.05</v>
      </c>
      <c r="C931" s="0" t="n">
        <v>275.4</v>
      </c>
      <c r="D931" s="3" t="n">
        <f aca="false">B931*100/B$2</f>
        <v>86.6559329998065</v>
      </c>
      <c r="E931" s="3" t="n">
        <f aca="false">C931*100/C$2</f>
        <v>117.042073948151</v>
      </c>
      <c r="F931" s="0" t="n">
        <v>89.5215456480279</v>
      </c>
      <c r="G931" s="0" t="n">
        <v>96.3344779266692</v>
      </c>
      <c r="H931" s="0" t="n">
        <v>114.173395665108</v>
      </c>
      <c r="I931" s="0" t="n">
        <v>17.8389177384391</v>
      </c>
    </row>
    <row r="932" customFormat="false" ht="13.8" hidden="false" customHeight="false" outlineLevel="0" collapsed="false">
      <c r="A932" s="2" t="n">
        <v>40758</v>
      </c>
      <c r="B932" s="0" t="n">
        <v>1260.34</v>
      </c>
      <c r="C932" s="0" t="n">
        <v>267.8</v>
      </c>
      <c r="D932" s="3" t="n">
        <f aca="false">B932*100/B$2</f>
        <v>87.0905774067829</v>
      </c>
      <c r="E932" s="3" t="n">
        <f aca="false">C932*100/C$2</f>
        <v>113.812154696133</v>
      </c>
      <c r="F932" s="0" t="n">
        <v>88.9424804444567</v>
      </c>
      <c r="G932" s="0" t="n">
        <v>96.1410468622866</v>
      </c>
      <c r="H932" s="0" t="n">
        <v>115.048873778156</v>
      </c>
      <c r="I932" s="0" t="n">
        <v>18.9078269158689</v>
      </c>
    </row>
    <row r="933" customFormat="false" ht="13.8" hidden="false" customHeight="false" outlineLevel="0" collapsed="false">
      <c r="A933" s="2" t="n">
        <v>40759</v>
      </c>
      <c r="B933" s="0" t="n">
        <v>1200.07</v>
      </c>
      <c r="C933" s="0" t="n">
        <v>261.54</v>
      </c>
      <c r="D933" s="3" t="n">
        <f aca="false">B933*100/B$2</f>
        <v>82.9258685978054</v>
      </c>
      <c r="E933" s="3" t="n">
        <f aca="false">C933*100/C$2</f>
        <v>111.15172120697</v>
      </c>
      <c r="F933" s="0" t="n">
        <v>88.6909533154592</v>
      </c>
      <c r="G933" s="0" t="n">
        <v>96.0570266863495</v>
      </c>
      <c r="H933" s="0" t="n">
        <v>114.466638334042</v>
      </c>
      <c r="I933" s="0" t="n">
        <v>18.4096116476921</v>
      </c>
    </row>
    <row r="934" customFormat="false" ht="13.8" hidden="false" customHeight="false" outlineLevel="0" collapsed="false">
      <c r="A934" s="2" t="n">
        <v>40760</v>
      </c>
      <c r="B934" s="0" t="n">
        <v>1199.38</v>
      </c>
      <c r="C934" s="0" t="n">
        <v>251.9</v>
      </c>
      <c r="D934" s="3" t="n">
        <f aca="false">B934*100/B$2</f>
        <v>82.8781890046712</v>
      </c>
      <c r="E934" s="3" t="n">
        <f aca="false">C934*100/C$2</f>
        <v>107.054823629409</v>
      </c>
      <c r="F934" s="0" t="n">
        <v>87.6509853782581</v>
      </c>
      <c r="G934" s="0" t="n">
        <v>95.709635574302</v>
      </c>
      <c r="H934" s="0" t="n">
        <v>116.578835529112</v>
      </c>
      <c r="I934" s="0" t="n">
        <v>20.8691999548098</v>
      </c>
    </row>
    <row r="935" customFormat="false" ht="13.8" hidden="false" customHeight="false" outlineLevel="0" collapsed="false">
      <c r="A935" s="2" t="n">
        <v>40763</v>
      </c>
      <c r="B935" s="0" t="n">
        <v>1119.46</v>
      </c>
      <c r="C935" s="0" t="n">
        <v>242.45</v>
      </c>
      <c r="D935" s="3" t="n">
        <f aca="false">B935*100/B$2</f>
        <v>77.3556483042649</v>
      </c>
      <c r="E935" s="3" t="n">
        <f aca="false">C935*100/C$2</f>
        <v>103.038674033149</v>
      </c>
      <c r="F935" s="0" t="n">
        <v>88.4560103927693</v>
      </c>
      <c r="G935" s="0" t="n">
        <v>95.9785463022324</v>
      </c>
      <c r="H935" s="0" t="n">
        <v>115.359116022099</v>
      </c>
      <c r="I935" s="0" t="n">
        <v>19.380569719867</v>
      </c>
    </row>
    <row r="936" customFormat="false" ht="13.8" hidden="false" customHeight="false" outlineLevel="0" collapsed="false">
      <c r="A936" s="2" t="n">
        <v>40764</v>
      </c>
      <c r="B936" s="0" t="n">
        <v>1172.53</v>
      </c>
      <c r="C936" s="0" t="n">
        <v>233.52</v>
      </c>
      <c r="D936" s="3" t="n">
        <f aca="false">B936*100/B$2</f>
        <v>81.0228309240167</v>
      </c>
      <c r="E936" s="3" t="n">
        <f aca="false">C936*100/C$2</f>
        <v>99.2435189120272</v>
      </c>
      <c r="F936" s="0" t="n">
        <v>89.6010116365848</v>
      </c>
      <c r="G936" s="0" t="n">
        <v>96.3610227624735</v>
      </c>
      <c r="H936" s="0" t="n">
        <v>114.921376965576</v>
      </c>
      <c r="I936" s="0" t="n">
        <v>18.5603542031024</v>
      </c>
    </row>
    <row r="937" customFormat="false" ht="13.8" hidden="false" customHeight="false" outlineLevel="0" collapsed="false">
      <c r="A937" s="2" t="n">
        <v>40765</v>
      </c>
      <c r="B937" s="0" t="n">
        <v>1120.76</v>
      </c>
      <c r="C937" s="0" t="n">
        <v>233.23</v>
      </c>
      <c r="D937" s="3" t="n">
        <f aca="false">B937*100/B$2</f>
        <v>77.445479421764</v>
      </c>
      <c r="E937" s="3" t="n">
        <f aca="false">C937*100/C$2</f>
        <v>99.1202719932002</v>
      </c>
      <c r="F937" s="0" t="n">
        <v>90.3431548688466</v>
      </c>
      <c r="G937" s="0" t="n">
        <v>96.6089284464197</v>
      </c>
      <c r="H937" s="0" t="n">
        <v>116.706332341691</v>
      </c>
      <c r="I937" s="0" t="n">
        <v>20.0974038952717</v>
      </c>
    </row>
    <row r="938" customFormat="false" ht="13.8" hidden="false" customHeight="false" outlineLevel="0" collapsed="false">
      <c r="A938" s="2" t="n">
        <v>40766</v>
      </c>
      <c r="B938" s="0" t="n">
        <v>1172.64</v>
      </c>
      <c r="C938" s="0" t="n">
        <v>234.14</v>
      </c>
      <c r="D938" s="3" t="n">
        <f aca="false">B938*100/B$2</f>
        <v>81.0304320185743</v>
      </c>
      <c r="E938" s="3" t="n">
        <f aca="false">C938*100/C$2</f>
        <v>99.5070123246919</v>
      </c>
      <c r="F938" s="0" t="n">
        <v>91.257359241549</v>
      </c>
      <c r="G938" s="0" t="n">
        <v>96.9143094704988</v>
      </c>
      <c r="H938" s="0" t="n">
        <v>116.94432639184</v>
      </c>
      <c r="I938" s="0" t="n">
        <v>20.0300169213414</v>
      </c>
    </row>
    <row r="939" customFormat="false" ht="13.8" hidden="false" customHeight="false" outlineLevel="0" collapsed="false">
      <c r="A939" s="2" t="n">
        <v>40767</v>
      </c>
      <c r="B939" s="0" t="n">
        <v>1178.81</v>
      </c>
      <c r="C939" s="0" t="n">
        <v>230.38</v>
      </c>
      <c r="D939" s="3" t="n">
        <f aca="false">B939*100/B$2</f>
        <v>81.456784322397</v>
      </c>
      <c r="E939" s="3" t="n">
        <f aca="false">C939*100/C$2</f>
        <v>97.9090522736932</v>
      </c>
      <c r="F939" s="0" t="n">
        <v>92.5723486000166</v>
      </c>
      <c r="G939" s="0" t="n">
        <v>97.3535687968951</v>
      </c>
      <c r="H939" s="0" t="n">
        <v>118.474288142796</v>
      </c>
      <c r="I939" s="0" t="n">
        <v>21.1207193459013</v>
      </c>
    </row>
    <row r="940" customFormat="false" ht="13.8" hidden="false" customHeight="false" outlineLevel="0" collapsed="false">
      <c r="A940" s="2" t="n">
        <v>40770</v>
      </c>
      <c r="B940" s="0" t="n">
        <v>1204.49</v>
      </c>
      <c r="C940" s="0" t="n">
        <v>230.38</v>
      </c>
      <c r="D940" s="3" t="n">
        <f aca="false">B940*100/B$2</f>
        <v>83.2312943973023</v>
      </c>
      <c r="E940" s="3" t="n">
        <f aca="false">C940*100/C$2</f>
        <v>97.9090522736932</v>
      </c>
      <c r="F940" s="0" t="n">
        <v>92.5723486000166</v>
      </c>
      <c r="G940" s="0" t="n">
        <v>97.3535687968951</v>
      </c>
      <c r="H940" s="0" t="n">
        <v>119.706757331067</v>
      </c>
      <c r="I940" s="0" t="n">
        <v>22.3531885341716</v>
      </c>
    </row>
    <row r="941" customFormat="false" ht="13.8" hidden="false" customHeight="false" outlineLevel="0" collapsed="false">
      <c r="A941" s="2" t="n">
        <v>40771</v>
      </c>
      <c r="B941" s="0" t="n">
        <v>1192.76</v>
      </c>
      <c r="C941" s="0" t="n">
        <v>242.23</v>
      </c>
      <c r="D941" s="3" t="n">
        <f aca="false">B941*100/B$2</f>
        <v>82.4207413140219</v>
      </c>
      <c r="E941" s="3" t="n">
        <f aca="false">C941*100/C$2</f>
        <v>102.945176370591</v>
      </c>
      <c r="F941" s="0" t="n">
        <v>92.4486580613063</v>
      </c>
      <c r="G941" s="0" t="n">
        <v>97.3122511829041</v>
      </c>
      <c r="H941" s="0" t="n">
        <v>120.645983850404</v>
      </c>
      <c r="I941" s="0" t="n">
        <v>23.3337326674997</v>
      </c>
    </row>
    <row r="942" customFormat="false" ht="13.8" hidden="false" customHeight="false" outlineLevel="0" collapsed="false">
      <c r="A942" s="2" t="n">
        <v>40772</v>
      </c>
      <c r="B942" s="0" t="n">
        <v>1193.88</v>
      </c>
      <c r="C942" s="0" t="n">
        <v>243.43</v>
      </c>
      <c r="D942" s="3" t="n">
        <f aca="false">B942*100/B$2</f>
        <v>82.4981342767904</v>
      </c>
      <c r="E942" s="3" t="n">
        <f aca="false">C942*100/C$2</f>
        <v>103.455163620909</v>
      </c>
      <c r="F942" s="0" t="n">
        <v>92.54125321319</v>
      </c>
      <c r="G942" s="0" t="n">
        <v>97.3431816872326</v>
      </c>
      <c r="H942" s="0" t="n">
        <v>121.172970675733</v>
      </c>
      <c r="I942" s="0" t="n">
        <v>23.8297889885005</v>
      </c>
    </row>
    <row r="943" customFormat="false" ht="13.8" hidden="false" customHeight="false" outlineLevel="0" collapsed="false">
      <c r="A943" s="2" t="n">
        <v>40773</v>
      </c>
      <c r="B943" s="0" t="n">
        <v>1140.65</v>
      </c>
      <c r="C943" s="0" t="n">
        <v>238.31</v>
      </c>
      <c r="D943" s="3" t="n">
        <f aca="false">B943*100/B$2</f>
        <v>78.8198955195003</v>
      </c>
      <c r="E943" s="3" t="n">
        <f aca="false">C943*100/C$2</f>
        <v>101.27921801955</v>
      </c>
      <c r="F943" s="0" t="n">
        <v>93.5086652477957</v>
      </c>
      <c r="G943" s="0" t="n">
        <v>97.6663362100675</v>
      </c>
      <c r="H943" s="0" t="n">
        <v>121.576710582235</v>
      </c>
      <c r="I943" s="0" t="n">
        <v>23.9103743721679</v>
      </c>
    </row>
    <row r="944" customFormat="false" ht="13.8" hidden="false" customHeight="false" outlineLevel="0" collapsed="false">
      <c r="A944" s="2" t="n">
        <v>40774</v>
      </c>
      <c r="B944" s="0" t="n">
        <v>1123.53</v>
      </c>
      <c r="C944" s="0" t="n">
        <v>222.98</v>
      </c>
      <c r="D944" s="3" t="n">
        <f aca="false">B944*100/B$2</f>
        <v>77.6368888028967</v>
      </c>
      <c r="E944" s="3" t="n">
        <f aca="false">C944*100/C$2</f>
        <v>94.7641308967276</v>
      </c>
      <c r="F944" s="0" t="n">
        <v>92.8577351502253</v>
      </c>
      <c r="G944" s="0" t="n">
        <v>97.4488993811314</v>
      </c>
      <c r="H944" s="0" t="n">
        <v>121.56821079473</v>
      </c>
      <c r="I944" s="0" t="n">
        <v>24.1193114135987</v>
      </c>
    </row>
    <row r="945" customFormat="false" ht="13.8" hidden="false" customHeight="false" outlineLevel="0" collapsed="false">
      <c r="A945" s="2" t="n">
        <v>40777</v>
      </c>
      <c r="B945" s="0" t="n">
        <v>1123.82</v>
      </c>
      <c r="C945" s="0" t="n">
        <v>219.15</v>
      </c>
      <c r="D945" s="3" t="n">
        <f aca="false">B945*100/B$2</f>
        <v>77.656928052185</v>
      </c>
      <c r="E945" s="3" t="n">
        <f aca="false">C945*100/C$2</f>
        <v>93.1364215894603</v>
      </c>
      <c r="F945" s="0" t="n">
        <v>91.1778932529921</v>
      </c>
      <c r="G945" s="0" t="n">
        <v>96.8877646346945</v>
      </c>
      <c r="H945" s="0" t="n">
        <v>120.042498937527</v>
      </c>
      <c r="I945" s="0" t="n">
        <v>23.1547343028321</v>
      </c>
    </row>
    <row r="946" customFormat="false" ht="13.8" hidden="false" customHeight="false" outlineLevel="0" collapsed="false">
      <c r="A946" s="2" t="n">
        <v>40778</v>
      </c>
      <c r="B946" s="0" t="n">
        <v>1162.35</v>
      </c>
      <c r="C946" s="0" t="n">
        <v>228.12</v>
      </c>
      <c r="D946" s="3" t="n">
        <f aca="false">B946*100/B$2</f>
        <v>80.3193841731391</v>
      </c>
      <c r="E946" s="3" t="n">
        <f aca="false">C946*100/C$2</f>
        <v>96.9485762855929</v>
      </c>
      <c r="F946" s="0" t="n">
        <v>90.7736532242461</v>
      </c>
      <c r="G946" s="0" t="n">
        <v>96.7527322090813</v>
      </c>
      <c r="H946" s="0" t="n">
        <v>117.254568635784</v>
      </c>
      <c r="I946" s="0" t="n">
        <v>20.5018364267028</v>
      </c>
    </row>
    <row r="947" customFormat="false" ht="13.8" hidden="false" customHeight="false" outlineLevel="0" collapsed="false">
      <c r="A947" s="2" t="n">
        <v>40779</v>
      </c>
      <c r="B947" s="0" t="n">
        <v>1177.6</v>
      </c>
      <c r="C947" s="0" t="n">
        <v>225.14</v>
      </c>
      <c r="D947" s="3" t="n">
        <f aca="false">B947*100/B$2</f>
        <v>81.3731722822632</v>
      </c>
      <c r="E947" s="3" t="n">
        <f aca="false">C947*100/C$2</f>
        <v>95.6821079473013</v>
      </c>
      <c r="F947" s="0" t="n">
        <v>91.0555847314741</v>
      </c>
      <c r="G947" s="0" t="n">
        <v>96.8469086700218</v>
      </c>
      <c r="H947" s="0" t="n">
        <v>118.283042923927</v>
      </c>
      <c r="I947" s="0" t="n">
        <v>21.4361342539051</v>
      </c>
    </row>
    <row r="948" customFormat="false" ht="13.8" hidden="false" customHeight="false" outlineLevel="0" collapsed="false">
      <c r="A948" s="2" t="n">
        <v>40780</v>
      </c>
      <c r="B948" s="0" t="n">
        <v>1159.27</v>
      </c>
      <c r="C948" s="0" t="n">
        <v>227.02</v>
      </c>
      <c r="D948" s="3" t="n">
        <f aca="false">B948*100/B$2</f>
        <v>80.1065535255259</v>
      </c>
      <c r="E948" s="3" t="n">
        <f aca="false">C948*100/C$2</f>
        <v>96.4810879728007</v>
      </c>
      <c r="F948" s="0" t="n">
        <v>90.444042123884</v>
      </c>
      <c r="G948" s="0" t="n">
        <v>96.6426288466582</v>
      </c>
      <c r="H948" s="0" t="n">
        <v>118.1597960051</v>
      </c>
      <c r="I948" s="0" t="n">
        <v>21.5171671584416</v>
      </c>
    </row>
    <row r="949" customFormat="false" ht="13.8" hidden="false" customHeight="false" outlineLevel="0" collapsed="false">
      <c r="A949" s="2" t="n">
        <v>40781</v>
      </c>
      <c r="B949" s="0" t="n">
        <v>1176.8</v>
      </c>
      <c r="C949" s="0" t="n">
        <v>229</v>
      </c>
      <c r="D949" s="3" t="n">
        <f aca="false">B949*100/B$2</f>
        <v>81.3178915945714</v>
      </c>
      <c r="E949" s="3" t="n">
        <f aca="false">C949*100/C$2</f>
        <v>97.3225669358266</v>
      </c>
      <c r="F949" s="0" t="n">
        <v>90.9464053732829</v>
      </c>
      <c r="G949" s="0" t="n">
        <v>96.8104383738732</v>
      </c>
      <c r="H949" s="0" t="n">
        <v>118.822779430514</v>
      </c>
      <c r="I949" s="0" t="n">
        <v>22.012341056641</v>
      </c>
    </row>
    <row r="950" customFormat="false" ht="13.8" hidden="false" customHeight="false" outlineLevel="0" collapsed="false">
      <c r="A950" s="2" t="n">
        <v>40784</v>
      </c>
      <c r="B950" s="0" t="n">
        <v>1210.08</v>
      </c>
      <c r="C950" s="0" t="n">
        <v>235.78</v>
      </c>
      <c r="D950" s="3" t="n">
        <f aca="false">B950*100/B$2</f>
        <v>83.6175682025484</v>
      </c>
      <c r="E950" s="3" t="n">
        <f aca="false">C950*100/C$2</f>
        <v>100.203994900128</v>
      </c>
      <c r="F950" s="0" t="n">
        <v>90.2070261754056</v>
      </c>
      <c r="G950" s="0" t="n">
        <v>96.5634559885637</v>
      </c>
      <c r="H950" s="0" t="n">
        <v>117.598810029749</v>
      </c>
      <c r="I950" s="0" t="n">
        <v>21.0353540411855</v>
      </c>
    </row>
    <row r="951" customFormat="false" ht="13.8" hidden="false" customHeight="false" outlineLevel="0" collapsed="false">
      <c r="A951" s="2" t="n">
        <v>40785</v>
      </c>
      <c r="B951" s="0" t="n">
        <v>1212.92</v>
      </c>
      <c r="C951" s="0" t="n">
        <v>237.64</v>
      </c>
      <c r="D951" s="3" t="n">
        <f aca="false">B951*100/B$2</f>
        <v>83.8138146438542</v>
      </c>
      <c r="E951" s="3" t="n">
        <f aca="false">C951*100/C$2</f>
        <v>100.994475138122</v>
      </c>
      <c r="F951" s="0" t="n">
        <v>91.6781834766024</v>
      </c>
      <c r="G951" s="0" t="n">
        <v>97.054881687932</v>
      </c>
      <c r="H951" s="0" t="n">
        <v>117.543561410965</v>
      </c>
      <c r="I951" s="0" t="n">
        <v>20.4886797230328</v>
      </c>
    </row>
    <row r="952" customFormat="false" ht="13.8" hidden="false" customHeight="false" outlineLevel="0" collapsed="false">
      <c r="A952" s="2" t="n">
        <v>40786</v>
      </c>
      <c r="B952" s="0" t="n">
        <v>1218.89</v>
      </c>
      <c r="C952" s="0" t="n">
        <v>242.16</v>
      </c>
      <c r="D952" s="3" t="n">
        <f aca="false">B952*100/B$2</f>
        <v>84.2263467757539</v>
      </c>
      <c r="E952" s="3" t="n">
        <f aca="false">C952*100/C$2</f>
        <v>102.915427114322</v>
      </c>
      <c r="F952" s="0" t="n">
        <v>91.6166837115454</v>
      </c>
      <c r="G952" s="0" t="n">
        <v>97.034338293266</v>
      </c>
      <c r="H952" s="0" t="n">
        <v>119.171270718232</v>
      </c>
      <c r="I952" s="0" t="n">
        <v>22.136932424966</v>
      </c>
    </row>
    <row r="953" customFormat="false" ht="13.8" hidden="false" customHeight="false" outlineLevel="0" collapsed="false">
      <c r="A953" s="2" t="n">
        <v>40787</v>
      </c>
      <c r="B953" s="0" t="n">
        <v>1204.42</v>
      </c>
      <c r="C953" s="0" t="n">
        <v>242.37</v>
      </c>
      <c r="D953" s="3" t="n">
        <f aca="false">B953*100/B$2</f>
        <v>83.2264573371293</v>
      </c>
      <c r="E953" s="3" t="n">
        <f aca="false">C953*100/C$2</f>
        <v>103.004674883128</v>
      </c>
      <c r="F953" s="0" t="n">
        <v>92.8577351502253</v>
      </c>
      <c r="G953" s="0" t="n">
        <v>97.4488993811314</v>
      </c>
      <c r="H953" s="0" t="n">
        <v>118.657033574161</v>
      </c>
      <c r="I953" s="0" t="n">
        <v>21.2081341930292</v>
      </c>
    </row>
    <row r="954" customFormat="false" ht="13.8" hidden="false" customHeight="false" outlineLevel="0" collapsed="false">
      <c r="A954" s="2" t="n">
        <v>40788</v>
      </c>
      <c r="B954" s="0" t="n">
        <v>1173.97</v>
      </c>
      <c r="C954" s="0" t="n">
        <v>240.16</v>
      </c>
      <c r="D954" s="3" t="n">
        <f aca="false">B954*100/B$2</f>
        <v>81.1223361618618</v>
      </c>
      <c r="E954" s="3" t="n">
        <f aca="false">C954*100/C$2</f>
        <v>102.065448363791</v>
      </c>
      <c r="F954" s="0" t="n">
        <v>92.9420381989552</v>
      </c>
      <c r="G954" s="0" t="n">
        <v>97.4770599895499</v>
      </c>
      <c r="H954" s="0" t="n">
        <v>120.097747556311</v>
      </c>
      <c r="I954" s="0" t="n">
        <v>22.6206875667612</v>
      </c>
    </row>
    <row r="955" customFormat="false" ht="13.8" hidden="false" customHeight="false" outlineLevel="0" collapsed="false">
      <c r="A955" s="2" t="n">
        <v>40791</v>
      </c>
      <c r="B955" s="0" t="n">
        <v>1173.97</v>
      </c>
      <c r="C955" s="0" t="n">
        <v>228.89</v>
      </c>
      <c r="D955" s="3" t="n">
        <f aca="false">B955*100/B$2</f>
        <v>81.1223361618618</v>
      </c>
      <c r="E955" s="3" t="n">
        <f aca="false">C955*100/C$2</f>
        <v>97.2758181045474</v>
      </c>
      <c r="F955" s="0" t="n">
        <v>92.4175626744797</v>
      </c>
      <c r="G955" s="0" t="n">
        <v>97.3018640732415</v>
      </c>
      <c r="H955" s="0" t="n">
        <v>118.852528686783</v>
      </c>
      <c r="I955" s="0" t="n">
        <v>21.5506646135413</v>
      </c>
    </row>
    <row r="956" customFormat="false" ht="13.8" hidden="false" customHeight="false" outlineLevel="0" collapsed="false">
      <c r="A956" s="2" t="n">
        <v>40792</v>
      </c>
      <c r="B956" s="0" t="n">
        <v>1165.24</v>
      </c>
      <c r="C956" s="0" t="n">
        <v>226.65</v>
      </c>
      <c r="D956" s="3" t="n">
        <f aca="false">B956*100/B$2</f>
        <v>80.5190856574256</v>
      </c>
      <c r="E956" s="3" t="n">
        <f aca="false">C956*100/C$2</f>
        <v>96.3238419039524</v>
      </c>
      <c r="F956" s="0" t="n">
        <v>92.038198955195</v>
      </c>
      <c r="G956" s="0" t="n">
        <v>97.1751413353584</v>
      </c>
      <c r="H956" s="0" t="n">
        <v>119.864003399915</v>
      </c>
      <c r="I956" s="0" t="n">
        <v>22.6888620645566</v>
      </c>
    </row>
    <row r="957" customFormat="false" ht="13.8" hidden="false" customHeight="false" outlineLevel="0" collapsed="false">
      <c r="A957" s="2" t="n">
        <v>40793</v>
      </c>
      <c r="B957" s="0" t="n">
        <v>1198.62</v>
      </c>
      <c r="C957" s="0" t="n">
        <v>236.12</v>
      </c>
      <c r="D957" s="3" t="n">
        <f aca="false">B957*100/B$2</f>
        <v>82.825672351364</v>
      </c>
      <c r="E957" s="3" t="n">
        <f aca="false">C957*100/C$2</f>
        <v>100.348491287718</v>
      </c>
      <c r="F957" s="0" t="n">
        <v>90.1690207026175</v>
      </c>
      <c r="G957" s="0" t="n">
        <v>96.5507606323095</v>
      </c>
      <c r="H957" s="0" t="n">
        <v>120.14449638759</v>
      </c>
      <c r="I957" s="0" t="n">
        <v>23.5937357552808</v>
      </c>
    </row>
    <row r="958" customFormat="false" ht="13.8" hidden="false" customHeight="false" outlineLevel="0" collapsed="false">
      <c r="A958" s="2" t="n">
        <v>40794</v>
      </c>
      <c r="B958" s="0" t="n">
        <v>1185.9</v>
      </c>
      <c r="C958" s="0" t="n">
        <v>238.47</v>
      </c>
      <c r="D958" s="3" t="n">
        <f aca="false">B958*100/B$2</f>
        <v>81.9467094170652</v>
      </c>
      <c r="E958" s="3" t="n">
        <f aca="false">C958*100/C$2</f>
        <v>101.347216319592</v>
      </c>
      <c r="F958" s="0" t="n">
        <v>89.8774150750435</v>
      </c>
      <c r="G958" s="0" t="n">
        <v>96.4533526261407</v>
      </c>
      <c r="H958" s="0" t="n">
        <v>119.014024649384</v>
      </c>
      <c r="I958" s="0" t="n">
        <v>22.5606720232431</v>
      </c>
    </row>
    <row r="959" customFormat="false" ht="13.8" hidden="false" customHeight="false" outlineLevel="0" collapsed="false">
      <c r="A959" s="2" t="n">
        <v>40795</v>
      </c>
      <c r="B959" s="0" t="n">
        <v>1154.23</v>
      </c>
      <c r="C959" s="0" t="n">
        <v>233.4</v>
      </c>
      <c r="D959" s="3" t="n">
        <f aca="false">B959*100/B$2</f>
        <v>79.7582851930678</v>
      </c>
      <c r="E959" s="3" t="n">
        <f aca="false">C959*100/C$2</f>
        <v>99.1925201869953</v>
      </c>
      <c r="F959" s="0" t="n">
        <v>89.2976588628762</v>
      </c>
      <c r="G959" s="0" t="n">
        <v>96.2596907370989</v>
      </c>
      <c r="H959" s="0" t="n">
        <v>117.768805779856</v>
      </c>
      <c r="I959" s="0" t="n">
        <v>21.5091150427566</v>
      </c>
    </row>
    <row r="960" customFormat="false" ht="13.8" hidden="false" customHeight="false" outlineLevel="0" collapsed="false">
      <c r="A960" s="2" t="n">
        <v>40798</v>
      </c>
      <c r="B960" s="0" t="n">
        <v>1162.27</v>
      </c>
      <c r="C960" s="0" t="n">
        <v>233.4</v>
      </c>
      <c r="D960" s="3" t="n">
        <f aca="false">B960*100/B$2</f>
        <v>80.3138561043699</v>
      </c>
      <c r="E960" s="3" t="n">
        <f aca="false">C960*100/C$2</f>
        <v>99.1925201869953</v>
      </c>
      <c r="F960" s="0" t="n">
        <v>88.9286602725338</v>
      </c>
      <c r="G960" s="0" t="n">
        <v>96.1364303691032</v>
      </c>
      <c r="H960" s="0" t="n">
        <v>120</v>
      </c>
      <c r="I960" s="0" t="n">
        <v>23.8635696308968</v>
      </c>
    </row>
    <row r="961" customFormat="false" ht="13.8" hidden="false" customHeight="false" outlineLevel="0" collapsed="false">
      <c r="A961" s="2" t="n">
        <v>40799</v>
      </c>
      <c r="B961" s="0" t="n">
        <v>1172.87</v>
      </c>
      <c r="C961" s="0" t="n">
        <v>233.4</v>
      </c>
      <c r="D961" s="3" t="n">
        <f aca="false">B961*100/B$2</f>
        <v>81.0463252162857</v>
      </c>
      <c r="E961" s="3" t="n">
        <f aca="false">C961*100/C$2</f>
        <v>99.1925201869953</v>
      </c>
      <c r="F961" s="0" t="n">
        <v>86.6559329998065</v>
      </c>
      <c r="G961" s="0" t="n">
        <v>95.3772480651003</v>
      </c>
      <c r="H961" s="0" t="n">
        <v>117.042073948151</v>
      </c>
      <c r="I961" s="0" t="n">
        <v>21.664825883051</v>
      </c>
    </row>
    <row r="962" customFormat="false" ht="13.8" hidden="false" customHeight="false" outlineLevel="0" collapsed="false">
      <c r="A962" s="2" t="n">
        <v>40800</v>
      </c>
      <c r="B962" s="0" t="n">
        <v>1188.68</v>
      </c>
      <c r="C962" s="0" t="n">
        <v>225.15</v>
      </c>
      <c r="D962" s="3" t="n">
        <f aca="false">B962*100/B$2</f>
        <v>82.138809806794</v>
      </c>
      <c r="E962" s="3" t="n">
        <f aca="false">C962*100/C$2</f>
        <v>95.686357841054</v>
      </c>
      <c r="F962" s="0" t="n">
        <v>87.0905774067829</v>
      </c>
      <c r="G962" s="0" t="n">
        <v>95.5224367757169</v>
      </c>
      <c r="H962" s="0" t="n">
        <v>113.812154696133</v>
      </c>
      <c r="I962" s="0" t="n">
        <v>18.2897179204157</v>
      </c>
    </row>
    <row r="963" customFormat="false" ht="13.8" hidden="false" customHeight="false" outlineLevel="0" collapsed="false">
      <c r="A963" s="2" t="n">
        <v>40801</v>
      </c>
      <c r="B963" s="0" t="n">
        <v>1209.11</v>
      </c>
      <c r="C963" s="0" t="n">
        <v>228.58</v>
      </c>
      <c r="D963" s="3" t="n">
        <f aca="false">B963*100/B$2</f>
        <v>83.5505403687222</v>
      </c>
      <c r="E963" s="3" t="n">
        <f aca="false">C963*100/C$2</f>
        <v>97.1440713982151</v>
      </c>
      <c r="F963" s="0" t="n">
        <v>82.9258685978054</v>
      </c>
      <c r="G963" s="0" t="n">
        <v>94.1312565549125</v>
      </c>
      <c r="H963" s="0" t="n">
        <v>111.15172120697</v>
      </c>
      <c r="I963" s="0" t="n">
        <v>17.0204646520574</v>
      </c>
    </row>
    <row r="964" customFormat="false" ht="13.8" hidden="false" customHeight="false" outlineLevel="0" collapsed="false">
      <c r="A964" s="2" t="n">
        <v>40802</v>
      </c>
      <c r="B964" s="0" t="n">
        <v>1216.01</v>
      </c>
      <c r="C964" s="0" t="n">
        <v>237.5</v>
      </c>
      <c r="D964" s="3" t="n">
        <f aca="false">B964*100/B$2</f>
        <v>84.0273363000636</v>
      </c>
      <c r="E964" s="3" t="n">
        <f aca="false">C964*100/C$2</f>
        <v>100.934976625584</v>
      </c>
      <c r="F964" s="0" t="n">
        <v>82.8781890046712</v>
      </c>
      <c r="G964" s="0" t="n">
        <v>94.1153296534299</v>
      </c>
      <c r="H964" s="0" t="n">
        <v>107.054823629409</v>
      </c>
      <c r="I964" s="0" t="n">
        <v>12.9394939759794</v>
      </c>
    </row>
    <row r="965" customFormat="false" ht="13.8" hidden="false" customHeight="false" outlineLevel="0" collapsed="false">
      <c r="A965" s="2" t="n">
        <v>40805</v>
      </c>
      <c r="B965" s="0" t="n">
        <v>1204.09</v>
      </c>
      <c r="C965" s="0" t="n">
        <v>235.32</v>
      </c>
      <c r="D965" s="3" t="n">
        <f aca="false">B965*100/B$2</f>
        <v>83.2036540534564</v>
      </c>
      <c r="E965" s="3" t="n">
        <f aca="false">C965*100/C$2</f>
        <v>100.008499787505</v>
      </c>
      <c r="F965" s="0" t="n">
        <v>77.3556483042649</v>
      </c>
      <c r="G965" s="0" t="n">
        <v>92.2705789773607</v>
      </c>
      <c r="H965" s="0" t="n">
        <v>103.038674033149</v>
      </c>
      <c r="I965" s="0" t="n">
        <v>10.7680950557885</v>
      </c>
    </row>
    <row r="966" customFormat="false" ht="13.8" hidden="false" customHeight="false" outlineLevel="0" collapsed="false">
      <c r="A966" s="2" t="n">
        <v>40806</v>
      </c>
      <c r="B966" s="0" t="n">
        <v>1202.09</v>
      </c>
      <c r="C966" s="0" t="n">
        <v>237.53</v>
      </c>
      <c r="D966" s="3" t="n">
        <f aca="false">B966*100/B$2</f>
        <v>83.065452334227</v>
      </c>
      <c r="E966" s="3" t="n">
        <f aca="false">C966*100/C$2</f>
        <v>100.947726306842</v>
      </c>
      <c r="F966" s="0" t="n">
        <v>81.0228309240167</v>
      </c>
      <c r="G966" s="0" t="n">
        <v>93.4955654435643</v>
      </c>
      <c r="H966" s="0" t="n">
        <v>99.2435189120272</v>
      </c>
      <c r="I966" s="0" t="n">
        <v>5.7479534684629</v>
      </c>
    </row>
    <row r="967" customFormat="false" ht="13.8" hidden="false" customHeight="false" outlineLevel="0" collapsed="false">
      <c r="A967" s="2" t="n">
        <v>40807</v>
      </c>
      <c r="B967" s="0" t="n">
        <v>1166.76</v>
      </c>
      <c r="C967" s="0" t="n">
        <v>239.51</v>
      </c>
      <c r="D967" s="3" t="n">
        <f aca="false">B967*100/B$2</f>
        <v>80.6241189640399</v>
      </c>
      <c r="E967" s="3" t="n">
        <f aca="false">C967*100/C$2</f>
        <v>101.789205269868</v>
      </c>
      <c r="F967" s="0" t="n">
        <v>77.445479421764</v>
      </c>
      <c r="G967" s="0" t="n">
        <v>92.3005861830525</v>
      </c>
      <c r="H967" s="0" t="n">
        <v>99.1202719932002</v>
      </c>
      <c r="I967" s="0" t="n">
        <v>6.81968581014763</v>
      </c>
    </row>
    <row r="968" customFormat="false" ht="13.8" hidden="false" customHeight="false" outlineLevel="0" collapsed="false">
      <c r="A968" s="2" t="n">
        <v>40808</v>
      </c>
      <c r="B968" s="0" t="n">
        <v>1129.56</v>
      </c>
      <c r="C968" s="0" t="n">
        <v>232.05</v>
      </c>
      <c r="D968" s="3" t="n">
        <f aca="false">B968*100/B$2</f>
        <v>78.0535669863733</v>
      </c>
      <c r="E968" s="3" t="n">
        <f aca="false">C968*100/C$2</f>
        <v>98.6187845303867</v>
      </c>
      <c r="F968" s="0" t="n">
        <v>81.0304320185743</v>
      </c>
      <c r="G968" s="0" t="n">
        <v>93.4981045148151</v>
      </c>
      <c r="H968" s="0" t="n">
        <v>99.5070123246919</v>
      </c>
      <c r="I968" s="0" t="n">
        <v>6.00890780987673</v>
      </c>
    </row>
    <row r="969" customFormat="false" ht="13.8" hidden="false" customHeight="false" outlineLevel="0" collapsed="false">
      <c r="A969" s="2" t="n">
        <v>40809</v>
      </c>
      <c r="B969" s="0" t="n">
        <v>1136.43</v>
      </c>
      <c r="C969" s="0" t="n">
        <v>218.62</v>
      </c>
      <c r="D969" s="3" t="n">
        <f aca="false">B969*100/B$2</f>
        <v>78.5282898919263</v>
      </c>
      <c r="E969" s="3" t="n">
        <f aca="false">C969*100/C$2</f>
        <v>92.9111772205695</v>
      </c>
      <c r="F969" s="0" t="n">
        <v>81.456784322397</v>
      </c>
      <c r="G969" s="0" t="n">
        <v>93.6405233295217</v>
      </c>
      <c r="H969" s="0" t="n">
        <v>97.9090522736932</v>
      </c>
      <c r="I969" s="0" t="n">
        <v>4.26852894417146</v>
      </c>
    </row>
    <row r="970" customFormat="false" ht="13.8" hidden="false" customHeight="false" outlineLevel="0" collapsed="false">
      <c r="A970" s="2" t="n">
        <v>40812</v>
      </c>
      <c r="B970" s="0" t="n">
        <v>1162.95</v>
      </c>
      <c r="C970" s="0" t="n">
        <v>214.18</v>
      </c>
      <c r="D970" s="3" t="n">
        <f aca="false">B970*100/B$2</f>
        <v>80.3608446889079</v>
      </c>
      <c r="E970" s="3" t="n">
        <f aca="false">C970*100/C$2</f>
        <v>91.0242243943901</v>
      </c>
      <c r="F970" s="0" t="n">
        <v>83.2312943973023</v>
      </c>
      <c r="G970" s="0" t="n">
        <v>94.2332810542646</v>
      </c>
      <c r="H970" s="0" t="n">
        <v>97.9090522736932</v>
      </c>
      <c r="I970" s="0" t="n">
        <v>3.67577121942853</v>
      </c>
    </row>
    <row r="971" customFormat="false" ht="13.8" hidden="false" customHeight="false" outlineLevel="0" collapsed="false">
      <c r="A971" s="2" t="n">
        <v>40813</v>
      </c>
      <c r="B971" s="0" t="n">
        <v>1175.38</v>
      </c>
      <c r="C971" s="0" t="n">
        <v>225.29</v>
      </c>
      <c r="D971" s="3" t="n">
        <f aca="false">B971*100/B$2</f>
        <v>81.2197683739186</v>
      </c>
      <c r="E971" s="3" t="n">
        <f aca="false">C971*100/C$2</f>
        <v>95.7458563535912</v>
      </c>
      <c r="F971" s="0" t="n">
        <v>82.4207413140219</v>
      </c>
      <c r="G971" s="0" t="n">
        <v>93.9625237290608</v>
      </c>
      <c r="H971" s="0" t="n">
        <v>102.945176370591</v>
      </c>
      <c r="I971" s="0" t="n">
        <v>8.98265264152995</v>
      </c>
    </row>
    <row r="972" customFormat="false" ht="13.8" hidden="false" customHeight="false" outlineLevel="0" collapsed="false">
      <c r="A972" s="2" t="n">
        <v>40814</v>
      </c>
      <c r="B972" s="0" t="n">
        <v>1151.06</v>
      </c>
      <c r="C972" s="0" t="n">
        <v>223.82</v>
      </c>
      <c r="D972" s="3" t="n">
        <f aca="false">B972*100/B$2</f>
        <v>79.5392354680892</v>
      </c>
      <c r="E972" s="3" t="n">
        <f aca="false">C972*100/C$2</f>
        <v>95.1211219719507</v>
      </c>
      <c r="F972" s="0" t="n">
        <v>82.4981342767904</v>
      </c>
      <c r="G972" s="0" t="n">
        <v>93.9883760908876</v>
      </c>
      <c r="H972" s="0" t="n">
        <v>103.455163620909</v>
      </c>
      <c r="I972" s="0" t="n">
        <v>9.46678753002189</v>
      </c>
    </row>
    <row r="973" customFormat="false" ht="13.8" hidden="false" customHeight="false" outlineLevel="0" collapsed="false">
      <c r="A973" s="2" t="n">
        <v>40815</v>
      </c>
      <c r="B973" s="0" t="n">
        <v>1160.4</v>
      </c>
      <c r="C973" s="0" t="n">
        <v>230.37</v>
      </c>
      <c r="D973" s="3" t="n">
        <f aca="false">B973*100/B$2</f>
        <v>80.1846374968905</v>
      </c>
      <c r="E973" s="3" t="n">
        <f aca="false">C973*100/C$2</f>
        <v>97.9048023799405</v>
      </c>
      <c r="F973" s="0" t="n">
        <v>78.8198955195003</v>
      </c>
      <c r="G973" s="0" t="n">
        <v>92.7596964301373</v>
      </c>
      <c r="H973" s="0" t="n">
        <v>101.27921801955</v>
      </c>
      <c r="I973" s="0" t="n">
        <v>8.51952158941219</v>
      </c>
    </row>
    <row r="974" customFormat="false" ht="13.8" hidden="false" customHeight="false" outlineLevel="0" collapsed="false">
      <c r="A974" s="2" t="n">
        <v>40816</v>
      </c>
      <c r="B974" s="0" t="n">
        <v>1131.42</v>
      </c>
      <c r="C974" s="0" t="n">
        <v>230.41</v>
      </c>
      <c r="D974" s="3" t="n">
        <f aca="false">B974*100/B$2</f>
        <v>78.1820945852566</v>
      </c>
      <c r="E974" s="3" t="n">
        <f aca="false">C974*100/C$2</f>
        <v>97.9218019549511</v>
      </c>
      <c r="F974" s="0" t="n">
        <v>77.6368888028967</v>
      </c>
      <c r="G974" s="0" t="n">
        <v>92.364524613642</v>
      </c>
      <c r="H974" s="0" t="n">
        <v>94.7641308967276</v>
      </c>
      <c r="I974" s="0" t="n">
        <v>2.39960628308556</v>
      </c>
    </row>
    <row r="975" customFormat="false" ht="13.8" hidden="false" customHeight="false" outlineLevel="0" collapsed="false">
      <c r="A975" s="2" t="n">
        <v>40819</v>
      </c>
      <c r="B975" s="0" t="n">
        <v>1099.23</v>
      </c>
      <c r="C975" s="0" t="n">
        <v>230.41</v>
      </c>
      <c r="D975" s="3" t="n">
        <f aca="false">B975*100/B$2</f>
        <v>75.9577379142597</v>
      </c>
      <c r="E975" s="3" t="n">
        <f aca="false">C975*100/C$2</f>
        <v>97.9218019549511</v>
      </c>
      <c r="F975" s="0" t="n">
        <v>77.656928052185</v>
      </c>
      <c r="G975" s="0" t="n">
        <v>92.3712185287579</v>
      </c>
      <c r="H975" s="0" t="n">
        <v>93.1364215894603</v>
      </c>
      <c r="I975" s="0" t="n">
        <v>0.765203060702376</v>
      </c>
    </row>
    <row r="976" customFormat="false" ht="13.8" hidden="false" customHeight="false" outlineLevel="0" collapsed="false">
      <c r="A976" s="2" t="n">
        <v>40820</v>
      </c>
      <c r="B976" s="0" t="n">
        <v>1123.95</v>
      </c>
      <c r="C976" s="0" t="n">
        <v>221.93</v>
      </c>
      <c r="D976" s="3" t="n">
        <f aca="false">B976*100/B$2</f>
        <v>77.6659111639349</v>
      </c>
      <c r="E976" s="3" t="n">
        <f aca="false">C976*100/C$2</f>
        <v>94.3178920526987</v>
      </c>
      <c r="F976" s="0" t="n">
        <v>80.3193841731391</v>
      </c>
      <c r="G976" s="0" t="n">
        <v>93.2605859405315</v>
      </c>
      <c r="H976" s="0" t="n">
        <v>96.9485762855929</v>
      </c>
      <c r="I976" s="0" t="n">
        <v>3.68799034506139</v>
      </c>
    </row>
    <row r="977" customFormat="false" ht="13.8" hidden="false" customHeight="false" outlineLevel="0" collapsed="false">
      <c r="A977" s="2" t="n">
        <v>40821</v>
      </c>
      <c r="B977" s="0" t="n">
        <v>1144.04</v>
      </c>
      <c r="C977" s="0" t="n">
        <v>217.34</v>
      </c>
      <c r="D977" s="3" t="n">
        <f aca="false">B977*100/B$2</f>
        <v>79.0541474335941</v>
      </c>
      <c r="E977" s="3" t="n">
        <f aca="false">C977*100/C$2</f>
        <v>92.3671908202295</v>
      </c>
      <c r="F977" s="0" t="n">
        <v>81.3731722822632</v>
      </c>
      <c r="G977" s="0" t="n">
        <v>93.6125935457624</v>
      </c>
      <c r="H977" s="0" t="n">
        <v>95.6821079473013</v>
      </c>
      <c r="I977" s="0" t="n">
        <v>2.06951440153894</v>
      </c>
    </row>
    <row r="978" customFormat="false" ht="13.8" hidden="false" customHeight="false" outlineLevel="0" collapsed="false">
      <c r="A978" s="2" t="n">
        <v>40822</v>
      </c>
      <c r="B978" s="0" t="n">
        <v>1164.97</v>
      </c>
      <c r="C978" s="0" t="n">
        <v>223.94</v>
      </c>
      <c r="D978" s="3" t="n">
        <f aca="false">B978*100/B$2</f>
        <v>80.5004284253296</v>
      </c>
      <c r="E978" s="3" t="n">
        <f aca="false">C978*100/C$2</f>
        <v>95.1721206969826</v>
      </c>
      <c r="F978" s="0" t="n">
        <v>80.1065535255259</v>
      </c>
      <c r="G978" s="0" t="n">
        <v>93.1894919455078</v>
      </c>
      <c r="H978" s="0" t="n">
        <v>96.4810879728007</v>
      </c>
      <c r="I978" s="0" t="n">
        <v>3.2915960272929</v>
      </c>
    </row>
    <row r="979" customFormat="false" ht="13.8" hidden="false" customHeight="false" outlineLevel="0" collapsed="false">
      <c r="A979" s="2" t="n">
        <v>40823</v>
      </c>
      <c r="B979" s="0" t="n">
        <v>1155.46</v>
      </c>
      <c r="C979" s="0" t="n">
        <v>230.27</v>
      </c>
      <c r="D979" s="3" t="n">
        <f aca="false">B979*100/B$2</f>
        <v>79.8432792503939</v>
      </c>
      <c r="E979" s="3" t="n">
        <f aca="false">C979*100/C$2</f>
        <v>97.8623034424139</v>
      </c>
      <c r="F979" s="0" t="n">
        <v>81.3178915945714</v>
      </c>
      <c r="G979" s="0" t="n">
        <v>93.594127573029</v>
      </c>
      <c r="H979" s="0" t="n">
        <v>97.3225669358266</v>
      </c>
      <c r="I979" s="0" t="n">
        <v>3.72843936279764</v>
      </c>
    </row>
    <row r="980" customFormat="false" ht="13.8" hidden="false" customHeight="false" outlineLevel="0" collapsed="false">
      <c r="A980" s="2" t="n">
        <v>40826</v>
      </c>
      <c r="B980" s="0" t="n">
        <v>1194.89</v>
      </c>
      <c r="C980" s="0" t="n">
        <v>230.82</v>
      </c>
      <c r="D980" s="3" t="n">
        <f aca="false">B980*100/B$2</f>
        <v>82.5679261450012</v>
      </c>
      <c r="E980" s="3" t="n">
        <f aca="false">C980*100/C$2</f>
        <v>98.09604759881</v>
      </c>
      <c r="F980" s="0" t="n">
        <v>83.6175682025484</v>
      </c>
      <c r="G980" s="0" t="n">
        <v>94.3623120387394</v>
      </c>
      <c r="H980" s="0" t="n">
        <v>100.203994900128</v>
      </c>
      <c r="I980" s="0" t="n">
        <v>5.84168286138807</v>
      </c>
    </row>
    <row r="981" customFormat="false" ht="13.8" hidden="false" customHeight="false" outlineLevel="0" collapsed="false">
      <c r="A981" s="2" t="n">
        <v>40827</v>
      </c>
      <c r="B981" s="0" t="n">
        <v>1195.54</v>
      </c>
      <c r="C981" s="0" t="n">
        <v>234.8</v>
      </c>
      <c r="D981" s="3" t="n">
        <f aca="false">B981*100/B$2</f>
        <v>82.6128417037508</v>
      </c>
      <c r="E981" s="3" t="n">
        <f aca="false">C981*100/C$2</f>
        <v>99.7875053123672</v>
      </c>
      <c r="F981" s="0" t="n">
        <v>83.8138146438542</v>
      </c>
      <c r="G981" s="0" t="n">
        <v>94.4278662419431</v>
      </c>
      <c r="H981" s="0" t="n">
        <v>100.994475138122</v>
      </c>
      <c r="I981" s="0" t="n">
        <v>6.56660889617845</v>
      </c>
    </row>
    <row r="982" customFormat="false" ht="13.8" hidden="false" customHeight="false" outlineLevel="0" collapsed="false">
      <c r="A982" s="2" t="n">
        <v>40828</v>
      </c>
      <c r="B982" s="0" t="n">
        <v>1207.25</v>
      </c>
      <c r="C982" s="0" t="n">
        <v>236.66</v>
      </c>
      <c r="D982" s="3" t="n">
        <f aca="false">B982*100/B$2</f>
        <v>83.4220127698389</v>
      </c>
      <c r="E982" s="3" t="n">
        <f aca="false">C982*100/C$2</f>
        <v>100.577985550361</v>
      </c>
      <c r="F982" s="0" t="n">
        <v>84.2263467757539</v>
      </c>
      <c r="G982" s="0" t="n">
        <v>94.5656685634663</v>
      </c>
      <c r="H982" s="0" t="n">
        <v>102.915427114322</v>
      </c>
      <c r="I982" s="0" t="n">
        <v>8.34975855085587</v>
      </c>
    </row>
    <row r="983" customFormat="false" ht="13.8" hidden="false" customHeight="false" outlineLevel="0" collapsed="false">
      <c r="A983" s="2" t="n">
        <v>40829</v>
      </c>
      <c r="B983" s="0" t="n">
        <v>1203.66</v>
      </c>
      <c r="C983" s="0" t="n">
        <v>238.09</v>
      </c>
      <c r="D983" s="3" t="n">
        <f aca="false">B983*100/B$2</f>
        <v>83.1739406838221</v>
      </c>
      <c r="E983" s="3" t="n">
        <f aca="false">C983*100/C$2</f>
        <v>101.185720356991</v>
      </c>
      <c r="F983" s="0" t="n">
        <v>83.2264573371293</v>
      </c>
      <c r="G983" s="0" t="n">
        <v>94.2316652816504</v>
      </c>
      <c r="H983" s="0" t="n">
        <v>103.004674883128</v>
      </c>
      <c r="I983" s="0" t="n">
        <v>8.77300960147747</v>
      </c>
    </row>
    <row r="984" customFormat="false" ht="13.8" hidden="false" customHeight="false" outlineLevel="0" collapsed="false">
      <c r="A984" s="2" t="n">
        <v>40830</v>
      </c>
      <c r="B984" s="0" t="n">
        <v>1224.58</v>
      </c>
      <c r="C984" s="0" t="n">
        <v>239.67</v>
      </c>
      <c r="D984" s="3" t="n">
        <f aca="false">B984*100/B$2</f>
        <v>84.6195306669615</v>
      </c>
      <c r="E984" s="3" t="n">
        <f aca="false">C984*100/C$2</f>
        <v>101.857203569911</v>
      </c>
      <c r="F984" s="0" t="n">
        <v>81.1223361618618</v>
      </c>
      <c r="G984" s="0" t="n">
        <v>93.5288041944845</v>
      </c>
      <c r="H984" s="0" t="n">
        <v>102.065448363791</v>
      </c>
      <c r="I984" s="0" t="n">
        <v>8.53664416930644</v>
      </c>
    </row>
    <row r="985" customFormat="false" ht="13.8" hidden="false" customHeight="false" outlineLevel="0" collapsed="false">
      <c r="A985" s="2" t="n">
        <v>40833</v>
      </c>
      <c r="B985" s="0" t="n">
        <v>1200.86</v>
      </c>
      <c r="C985" s="0" t="n">
        <v>243.49</v>
      </c>
      <c r="D985" s="3" t="n">
        <f aca="false">B985*100/B$2</f>
        <v>82.9804582769009</v>
      </c>
      <c r="E985" s="3" t="n">
        <f aca="false">C985*100/C$2</f>
        <v>103.480662983425</v>
      </c>
      <c r="F985" s="0" t="n">
        <v>81.1223361618618</v>
      </c>
      <c r="G985" s="0" t="n">
        <v>93.5288041944845</v>
      </c>
      <c r="H985" s="0" t="n">
        <v>97.2758181045474</v>
      </c>
      <c r="I985" s="0" t="n">
        <v>3.74701391006292</v>
      </c>
    </row>
    <row r="986" customFormat="false" ht="13.8" hidden="false" customHeight="false" outlineLevel="0" collapsed="false">
      <c r="A986" s="2" t="n">
        <v>40834</v>
      </c>
      <c r="B986" s="0" t="n">
        <v>1225.38</v>
      </c>
      <c r="C986" s="0" t="n">
        <v>239.89</v>
      </c>
      <c r="D986" s="3" t="n">
        <f aca="false">B986*100/B$2</f>
        <v>84.6748113546533</v>
      </c>
      <c r="E986" s="3" t="n">
        <f aca="false">C986*100/C$2</f>
        <v>101.950701232469</v>
      </c>
      <c r="F986" s="0" t="n">
        <v>80.5190856574256</v>
      </c>
      <c r="G986" s="0" t="n">
        <v>93.327294267031</v>
      </c>
      <c r="H986" s="0" t="n">
        <v>96.3238419039524</v>
      </c>
      <c r="I986" s="0" t="n">
        <v>2.99654763692143</v>
      </c>
    </row>
    <row r="987" customFormat="false" ht="13.8" hidden="false" customHeight="false" outlineLevel="0" collapsed="false">
      <c r="A987" s="2" t="n">
        <v>40835</v>
      </c>
      <c r="B987" s="0" t="n">
        <v>1209.88</v>
      </c>
      <c r="C987" s="0" t="n">
        <v>242.11</v>
      </c>
      <c r="D987" s="3" t="n">
        <f aca="false">B987*100/B$2</f>
        <v>83.6037480306255</v>
      </c>
      <c r="E987" s="3" t="n">
        <f aca="false">C987*100/C$2</f>
        <v>102.894177645559</v>
      </c>
      <c r="F987" s="0" t="n">
        <v>82.825672351364</v>
      </c>
      <c r="G987" s="0" t="n">
        <v>94.0977869793331</v>
      </c>
      <c r="H987" s="0" t="n">
        <v>100.348491287718</v>
      </c>
      <c r="I987" s="0" t="n">
        <v>6.2507043083847</v>
      </c>
    </row>
    <row r="988" customFormat="false" ht="13.8" hidden="false" customHeight="false" outlineLevel="0" collapsed="false">
      <c r="A988" s="2" t="n">
        <v>40836</v>
      </c>
      <c r="B988" s="0" t="n">
        <v>1215.39</v>
      </c>
      <c r="C988" s="0" t="n">
        <v>235.57</v>
      </c>
      <c r="D988" s="3" t="n">
        <f aca="false">B988*100/B$2</f>
        <v>83.9844937671025</v>
      </c>
      <c r="E988" s="3" t="n">
        <f aca="false">C988*100/C$2</f>
        <v>100.114747131322</v>
      </c>
      <c r="F988" s="0" t="n">
        <v>81.9467094170652</v>
      </c>
      <c r="G988" s="0" t="n">
        <v>93.8041780128717</v>
      </c>
      <c r="H988" s="0" t="n">
        <v>101.347216319592</v>
      </c>
      <c r="I988" s="0" t="n">
        <v>7.54303830672035</v>
      </c>
    </row>
    <row r="989" customFormat="false" ht="13.8" hidden="false" customHeight="false" outlineLevel="0" collapsed="false">
      <c r="A989" s="2" t="n">
        <v>40837</v>
      </c>
      <c r="B989" s="0" t="n">
        <v>1238.25</v>
      </c>
      <c r="C989" s="0" t="n">
        <v>240.02</v>
      </c>
      <c r="D989" s="3" t="n">
        <f aca="false">B989*100/B$2</f>
        <v>85.5641394178944</v>
      </c>
      <c r="E989" s="3" t="n">
        <f aca="false">C989*100/C$2</f>
        <v>102.005949851254</v>
      </c>
      <c r="F989" s="0" t="n">
        <v>79.7582851930678</v>
      </c>
      <c r="G989" s="0" t="n">
        <v>93.0731563172872</v>
      </c>
      <c r="H989" s="0" t="n">
        <v>99.1925201869953</v>
      </c>
      <c r="I989" s="0" t="n">
        <v>6.11936386970812</v>
      </c>
    </row>
    <row r="990" customFormat="false" ht="13.8" hidden="false" customHeight="false" outlineLevel="0" collapsed="false">
      <c r="A990" s="2" t="n">
        <v>40840</v>
      </c>
      <c r="B990" s="0" t="n">
        <v>1254.19</v>
      </c>
      <c r="C990" s="0" t="n">
        <v>248.21</v>
      </c>
      <c r="D990" s="3" t="n">
        <f aca="false">B990*100/B$2</f>
        <v>86.6656071201526</v>
      </c>
      <c r="E990" s="3" t="n">
        <f aca="false">C990*100/C$2</f>
        <v>105.486612834679</v>
      </c>
      <c r="F990" s="0" t="n">
        <v>80.3138561043699</v>
      </c>
      <c r="G990" s="0" t="n">
        <v>93.2587393432581</v>
      </c>
      <c r="H990" s="0" t="n">
        <v>99.1925201869953</v>
      </c>
      <c r="I990" s="0" t="n">
        <v>5.9337808437372</v>
      </c>
    </row>
    <row r="991" customFormat="false" ht="13.8" hidden="false" customHeight="false" outlineLevel="0" collapsed="false">
      <c r="A991" s="2" t="n">
        <v>40841</v>
      </c>
      <c r="B991" s="0" t="n">
        <v>1229.05</v>
      </c>
      <c r="C991" s="0" t="n">
        <v>247.2</v>
      </c>
      <c r="D991" s="3" t="n">
        <f aca="false">B991*100/B$2</f>
        <v>84.9284115094392</v>
      </c>
      <c r="E991" s="3" t="n">
        <f aca="false">C991*100/C$2</f>
        <v>105.057373565661</v>
      </c>
      <c r="F991" s="0" t="n">
        <v>81.0463252162857</v>
      </c>
      <c r="G991" s="0" t="n">
        <v>93.503413481976</v>
      </c>
      <c r="H991" s="0" t="n">
        <v>99.1925201869953</v>
      </c>
      <c r="I991" s="0" t="n">
        <v>5.68910670501933</v>
      </c>
    </row>
    <row r="992" customFormat="false" ht="13.8" hidden="false" customHeight="false" outlineLevel="0" collapsed="false">
      <c r="A992" s="2" t="n">
        <v>40842</v>
      </c>
      <c r="B992" s="0" t="n">
        <v>1242</v>
      </c>
      <c r="C992" s="0" t="n">
        <v>247.56</v>
      </c>
      <c r="D992" s="3" t="n">
        <f aca="false">B992*100/B$2</f>
        <v>85.8232676414495</v>
      </c>
      <c r="E992" s="3" t="n">
        <f aca="false">C992*100/C$2</f>
        <v>105.210369740756</v>
      </c>
      <c r="F992" s="0" t="n">
        <v>82.138809806794</v>
      </c>
      <c r="G992" s="0" t="n">
        <v>93.8683472681203</v>
      </c>
      <c r="H992" s="0" t="n">
        <v>95.686357841054</v>
      </c>
      <c r="I992" s="0" t="n">
        <v>1.81801057293366</v>
      </c>
    </row>
    <row r="993" customFormat="false" ht="13.8" hidden="false" customHeight="false" outlineLevel="0" collapsed="false">
      <c r="A993" s="2" t="n">
        <v>40843</v>
      </c>
      <c r="B993" s="0" t="n">
        <v>1284.59</v>
      </c>
      <c r="C993" s="0" t="n">
        <v>251.2</v>
      </c>
      <c r="D993" s="3" t="n">
        <f aca="false">B993*100/B$2</f>
        <v>88.7662732524393</v>
      </c>
      <c r="E993" s="3" t="n">
        <f aca="false">C993*100/C$2</f>
        <v>106.757331066723</v>
      </c>
      <c r="F993" s="0" t="n">
        <v>83.5505403687222</v>
      </c>
      <c r="G993" s="0" t="n">
        <v>94.3399220468002</v>
      </c>
      <c r="H993" s="0" t="n">
        <v>97.1440713982151</v>
      </c>
      <c r="I993" s="0" t="n">
        <v>2.80414935141489</v>
      </c>
    </row>
    <row r="994" customFormat="false" ht="13.8" hidden="false" customHeight="false" outlineLevel="0" collapsed="false">
      <c r="A994" s="2" t="n">
        <v>40844</v>
      </c>
      <c r="B994" s="0" t="n">
        <v>1285.08</v>
      </c>
      <c r="C994" s="0" t="n">
        <v>252.47</v>
      </c>
      <c r="D994" s="3" t="n">
        <f aca="false">B994*100/B$2</f>
        <v>88.8001326736505</v>
      </c>
      <c r="E994" s="3" t="n">
        <f aca="false">C994*100/C$2</f>
        <v>107.297067573311</v>
      </c>
      <c r="F994" s="0" t="n">
        <v>84.0273363000636</v>
      </c>
      <c r="G994" s="0" t="n">
        <v>94.4991910616259</v>
      </c>
      <c r="H994" s="0" t="n">
        <v>100.934976625584</v>
      </c>
      <c r="I994" s="0" t="n">
        <v>6.43578556395842</v>
      </c>
    </row>
    <row r="995" customFormat="false" ht="13.8" hidden="false" customHeight="false" outlineLevel="0" collapsed="false">
      <c r="A995" s="2" t="n">
        <v>40847</v>
      </c>
      <c r="B995" s="0" t="n">
        <v>1253.3</v>
      </c>
      <c r="C995" s="0" t="n">
        <v>249.88</v>
      </c>
      <c r="D995" s="3" t="n">
        <f aca="false">B995*100/B$2</f>
        <v>86.6041073550955</v>
      </c>
      <c r="E995" s="3" t="n">
        <f aca="false">C995*100/C$2</f>
        <v>106.196345091373</v>
      </c>
      <c r="F995" s="0" t="n">
        <v>83.2036540534564</v>
      </c>
      <c r="G995" s="0" t="n">
        <v>94.2240480678979</v>
      </c>
      <c r="H995" s="0" t="n">
        <v>100.008499787505</v>
      </c>
      <c r="I995" s="0" t="n">
        <v>5.78445171960739</v>
      </c>
    </row>
    <row r="996" customFormat="false" ht="13.8" hidden="false" customHeight="false" outlineLevel="0" collapsed="false">
      <c r="A996" s="2" t="n">
        <v>40848</v>
      </c>
      <c r="B996" s="0" t="n">
        <v>1218.28</v>
      </c>
      <c r="C996" s="0" t="n">
        <v>249.92</v>
      </c>
      <c r="D996" s="3" t="n">
        <f aca="false">B996*100/B$2</f>
        <v>84.1841952513889</v>
      </c>
      <c r="E996" s="3" t="n">
        <f aca="false">C996*100/C$2</f>
        <v>106.213344666383</v>
      </c>
      <c r="F996" s="0" t="n">
        <v>83.065452334227</v>
      </c>
      <c r="G996" s="0" t="n">
        <v>94.1778831360643</v>
      </c>
      <c r="H996" s="0" t="n">
        <v>100.947726306842</v>
      </c>
      <c r="I996" s="0" t="n">
        <v>6.76984317077799</v>
      </c>
    </row>
    <row r="997" customFormat="false" ht="13.8" hidden="false" customHeight="false" outlineLevel="0" collapsed="false">
      <c r="A997" s="2" t="n">
        <v>40849</v>
      </c>
      <c r="B997" s="0" t="n">
        <v>1237.9</v>
      </c>
      <c r="C997" s="0" t="n">
        <v>248.03</v>
      </c>
      <c r="D997" s="3" t="n">
        <f aca="false">B997*100/B$2</f>
        <v>85.5399541170292</v>
      </c>
      <c r="E997" s="3" t="n">
        <f aca="false">C997*100/C$2</f>
        <v>105.410114747131</v>
      </c>
      <c r="F997" s="0" t="n">
        <v>80.6241189640399</v>
      </c>
      <c r="G997" s="0" t="n">
        <v>93.3623796152245</v>
      </c>
      <c r="H997" s="0" t="n">
        <v>101.789205269868</v>
      </c>
      <c r="I997" s="0" t="n">
        <v>8.42682565464378</v>
      </c>
    </row>
    <row r="998" customFormat="false" ht="13.8" hidden="false" customHeight="false" outlineLevel="0" collapsed="false">
      <c r="A998" s="2" t="n">
        <v>40850</v>
      </c>
      <c r="B998" s="0" t="n">
        <v>1261.15</v>
      </c>
      <c r="C998" s="0" t="n">
        <v>244.09</v>
      </c>
      <c r="D998" s="3" t="n">
        <f aca="false">B998*100/B$2</f>
        <v>87.1465491030709</v>
      </c>
      <c r="E998" s="3" t="n">
        <f aca="false">C998*100/C$2</f>
        <v>103.735656608585</v>
      </c>
      <c r="F998" s="0" t="n">
        <v>78.0535669863733</v>
      </c>
      <c r="G998" s="0" t="n">
        <v>92.5037118831202</v>
      </c>
      <c r="H998" s="0" t="n">
        <v>98.6187845303867</v>
      </c>
      <c r="I998" s="0" t="n">
        <v>6.11507264726652</v>
      </c>
    </row>
    <row r="999" customFormat="false" ht="13.8" hidden="false" customHeight="false" outlineLevel="0" collapsed="false">
      <c r="A999" s="2" t="n">
        <v>40851</v>
      </c>
      <c r="B999" s="0" t="n">
        <v>1253.23</v>
      </c>
      <c r="C999" s="0" t="n">
        <v>252.34</v>
      </c>
      <c r="D999" s="3" t="n">
        <f aca="false">B999*100/B$2</f>
        <v>86.5992702949225</v>
      </c>
      <c r="E999" s="3" t="n">
        <f aca="false">C999*100/C$2</f>
        <v>107.241818954526</v>
      </c>
      <c r="F999" s="0" t="n">
        <v>78.5282898919263</v>
      </c>
      <c r="G999" s="0" t="n">
        <v>92.6622884239685</v>
      </c>
      <c r="H999" s="0" t="n">
        <v>92.9111772205695</v>
      </c>
      <c r="I999" s="0" t="n">
        <v>0.248888796600994</v>
      </c>
    </row>
    <row r="1000" customFormat="false" ht="13.8" hidden="false" customHeight="false" outlineLevel="0" collapsed="false">
      <c r="A1000" s="2" t="n">
        <v>40854</v>
      </c>
      <c r="B1000" s="0" t="n">
        <v>1261.12</v>
      </c>
      <c r="C1000" s="0" t="n">
        <v>250.78</v>
      </c>
      <c r="D1000" s="3" t="n">
        <f aca="false">B1000*100/B$2</f>
        <v>87.1444760772824</v>
      </c>
      <c r="E1000" s="3" t="n">
        <f aca="false">C1000*100/C$2</f>
        <v>106.578835529112</v>
      </c>
      <c r="F1000" s="0" t="n">
        <v>80.3608446889079</v>
      </c>
      <c r="G1000" s="0" t="n">
        <v>93.2744354200815</v>
      </c>
      <c r="H1000" s="0" t="n">
        <v>91.0242243943901</v>
      </c>
      <c r="I1000" s="0" t="n">
        <v>-2.2502110256914</v>
      </c>
    </row>
    <row r="1001" customFormat="false" ht="13.8" hidden="false" customHeight="false" outlineLevel="0" collapsed="false">
      <c r="A1001" s="2" t="n">
        <v>40855</v>
      </c>
      <c r="B1001" s="0" t="n">
        <v>1275.92</v>
      </c>
      <c r="C1001" s="0" t="n">
        <v>248.32</v>
      </c>
      <c r="D1001" s="3" t="n">
        <f aca="false">B1001*100/B$2</f>
        <v>88.1671687995799</v>
      </c>
      <c r="E1001" s="3" t="n">
        <f aca="false">C1001*100/C$2</f>
        <v>105.533361665958</v>
      </c>
      <c r="F1001" s="0" t="n">
        <v>81.2197683739186</v>
      </c>
      <c r="G1001" s="0" t="n">
        <v>93.5613504714271</v>
      </c>
      <c r="H1001" s="0" t="n">
        <v>95.7458563535912</v>
      </c>
      <c r="I1001" s="0" t="n">
        <v>2.18450588216402</v>
      </c>
    </row>
    <row r="1002" customFormat="false" ht="13.8" hidden="false" customHeight="false" outlineLevel="0" collapsed="false">
      <c r="A1002" s="2" t="n">
        <v>40856</v>
      </c>
      <c r="B1002" s="0" t="n">
        <v>1229.1</v>
      </c>
      <c r="C1002" s="0" t="n">
        <v>249.23</v>
      </c>
      <c r="D1002" s="3" t="n">
        <f aca="false">B1002*100/B$2</f>
        <v>84.9318665524199</v>
      </c>
      <c r="E1002" s="3" t="n">
        <f aca="false">C1002*100/C$2</f>
        <v>105.92010199745</v>
      </c>
      <c r="F1002" s="0" t="n">
        <v>79.5392354680892</v>
      </c>
      <c r="G1002" s="0" t="n">
        <v>92.999984900331</v>
      </c>
      <c r="H1002" s="0" t="n">
        <v>95.1211219719507</v>
      </c>
      <c r="I1002" s="0" t="n">
        <v>2.1211370716197</v>
      </c>
    </row>
    <row r="1003" customFormat="false" ht="13.8" hidden="false" customHeight="false" outlineLevel="0" collapsed="false">
      <c r="A1003" s="2" t="n">
        <v>40857</v>
      </c>
      <c r="B1003" s="0" t="n">
        <v>1239.7</v>
      </c>
      <c r="C1003" s="0" t="n">
        <v>236.02</v>
      </c>
      <c r="D1003" s="3" t="n">
        <f aca="false">B1003*100/B$2</f>
        <v>85.6643356643357</v>
      </c>
      <c r="E1003" s="3" t="n">
        <f aca="false">C1003*100/C$2</f>
        <v>100.305992350191</v>
      </c>
      <c r="F1003" s="0" t="n">
        <v>80.1846374968905</v>
      </c>
      <c r="G1003" s="0" t="n">
        <v>93.2155751319938</v>
      </c>
      <c r="H1003" s="0" t="n">
        <v>97.9048023799405</v>
      </c>
      <c r="I1003" s="0" t="n">
        <v>4.68922724794675</v>
      </c>
    </row>
    <row r="1004" customFormat="false" ht="13.8" hidden="false" customHeight="false" outlineLevel="0" collapsed="false">
      <c r="A1004" s="2" t="n">
        <v>40858</v>
      </c>
      <c r="B1004" s="0" t="n">
        <v>1263.85</v>
      </c>
      <c r="C1004" s="0" t="n">
        <v>242.99</v>
      </c>
      <c r="D1004" s="3" t="n">
        <f aca="false">B1004*100/B$2</f>
        <v>87.3331214240305</v>
      </c>
      <c r="E1004" s="3" t="n">
        <f aca="false">C1004*100/C$2</f>
        <v>103.268168295793</v>
      </c>
      <c r="F1004" s="0" t="n">
        <v>78.1820945852566</v>
      </c>
      <c r="G1004" s="0" t="n">
        <v>92.5466452697254</v>
      </c>
      <c r="H1004" s="0" t="n">
        <v>97.9218019549511</v>
      </c>
      <c r="I1004" s="0" t="n">
        <v>5.3751566852257</v>
      </c>
    </row>
    <row r="1005" customFormat="false" ht="13.8" hidden="false" customHeight="false" outlineLevel="0" collapsed="false">
      <c r="A1005" s="2" t="n">
        <v>40861</v>
      </c>
      <c r="B1005" s="0" t="n">
        <v>1251.78</v>
      </c>
      <c r="C1005" s="0" t="n">
        <v>248.27</v>
      </c>
      <c r="D1005" s="3" t="n">
        <f aca="false">B1005*100/B$2</f>
        <v>86.4990740484812</v>
      </c>
      <c r="E1005" s="3" t="n">
        <f aca="false">C1005*100/C$2</f>
        <v>105.512112197195</v>
      </c>
      <c r="F1005" s="0" t="n">
        <v>75.9577379142597</v>
      </c>
      <c r="G1005" s="0" t="n">
        <v>91.8036206918642</v>
      </c>
      <c r="H1005" s="0" t="n">
        <v>97.9218019549511</v>
      </c>
      <c r="I1005" s="0" t="n">
        <v>6.11818126308688</v>
      </c>
    </row>
    <row r="1006" customFormat="false" ht="13.8" hidden="false" customHeight="false" outlineLevel="0" collapsed="false">
      <c r="A1006" s="2" t="n">
        <v>40862</v>
      </c>
      <c r="B1006" s="0" t="n">
        <v>1257.81</v>
      </c>
      <c r="C1006" s="0" t="n">
        <v>246.21</v>
      </c>
      <c r="D1006" s="3" t="n">
        <f aca="false">B1006*100/B$2</f>
        <v>86.9157522319578</v>
      </c>
      <c r="E1006" s="3" t="n">
        <f aca="false">C1006*100/C$2</f>
        <v>104.636634084148</v>
      </c>
      <c r="F1006" s="0" t="n">
        <v>77.6659111639349</v>
      </c>
      <c r="G1006" s="0" t="n">
        <v>92.3742192493271</v>
      </c>
      <c r="H1006" s="0" t="n">
        <v>94.3178920526987</v>
      </c>
      <c r="I1006" s="0" t="n">
        <v>1.94367280337161</v>
      </c>
    </row>
    <row r="1007" customFormat="false" ht="13.8" hidden="false" customHeight="false" outlineLevel="0" collapsed="false">
      <c r="A1007" s="2" t="n">
        <v>40863</v>
      </c>
      <c r="B1007" s="0" t="n">
        <v>1236.91</v>
      </c>
      <c r="C1007" s="0" t="n">
        <v>241.98</v>
      </c>
      <c r="D1007" s="3" t="n">
        <f aca="false">B1007*100/B$2</f>
        <v>85.4715442660107</v>
      </c>
      <c r="E1007" s="3" t="n">
        <f aca="false">C1007*100/C$2</f>
        <v>102.838929026774</v>
      </c>
      <c r="F1007" s="0" t="n">
        <v>79.0541474335941</v>
      </c>
      <c r="G1007" s="0" t="n">
        <v>92.8379459895952</v>
      </c>
      <c r="H1007" s="0" t="n">
        <v>92.3671908202295</v>
      </c>
      <c r="I1007" s="0" t="n">
        <v>-0.470755169365702</v>
      </c>
    </row>
    <row r="1008" customFormat="false" ht="13.8" hidden="false" customHeight="false" outlineLevel="0" collapsed="false">
      <c r="A1008" s="2" t="n">
        <v>40864</v>
      </c>
      <c r="B1008" s="0" t="n">
        <v>1216.13</v>
      </c>
      <c r="C1008" s="0" t="n">
        <v>244.6</v>
      </c>
      <c r="D1008" s="3" t="n">
        <f aca="false">B1008*100/B$2</f>
        <v>84.0356284032174</v>
      </c>
      <c r="E1008" s="3" t="n">
        <f aca="false">C1008*100/C$2</f>
        <v>103.95240118997</v>
      </c>
      <c r="F1008" s="0" t="n">
        <v>80.5004284253296</v>
      </c>
      <c r="G1008" s="0" t="n">
        <v>93.3210620012334</v>
      </c>
      <c r="H1008" s="0" t="n">
        <v>95.1721206969826</v>
      </c>
      <c r="I1008" s="0" t="n">
        <v>1.85105869574915</v>
      </c>
    </row>
    <row r="1009" customFormat="false" ht="13.8" hidden="false" customHeight="false" outlineLevel="0" collapsed="false">
      <c r="A1009" s="2" t="n">
        <v>40865</v>
      </c>
      <c r="B1009" s="0" t="n">
        <v>1215.65</v>
      </c>
      <c r="C1009" s="0" t="n">
        <v>239.43</v>
      </c>
      <c r="D1009" s="3" t="n">
        <f aca="false">B1009*100/B$2</f>
        <v>84.0024599906023</v>
      </c>
      <c r="E1009" s="3" t="n">
        <f aca="false">C1009*100/C$2</f>
        <v>101.755206119847</v>
      </c>
      <c r="F1009" s="0" t="n">
        <v>79.8432792503939</v>
      </c>
      <c r="G1009" s="0" t="n">
        <v>93.1015477503648</v>
      </c>
      <c r="H1009" s="0" t="n">
        <v>97.8623034424139</v>
      </c>
      <c r="I1009" s="0" t="n">
        <v>4.76075569204909</v>
      </c>
    </row>
    <row r="1010" customFormat="false" ht="13.8" hidden="false" customHeight="false" outlineLevel="0" collapsed="false">
      <c r="A1010" s="2" t="n">
        <v>40868</v>
      </c>
      <c r="B1010" s="0" t="n">
        <v>1192.98</v>
      </c>
      <c r="C1010" s="0" t="n">
        <v>236.64</v>
      </c>
      <c r="D1010" s="3" t="n">
        <f aca="false">B1010*100/B$2</f>
        <v>82.4359435031372</v>
      </c>
      <c r="E1010" s="3" t="n">
        <f aca="false">C1010*100/C$2</f>
        <v>100.569485762856</v>
      </c>
      <c r="F1010" s="0" t="n">
        <v>82.5679261450012</v>
      </c>
      <c r="G1010" s="0" t="n">
        <v>94.0116893814635</v>
      </c>
      <c r="H1010" s="0" t="n">
        <v>98.09604759881</v>
      </c>
      <c r="I1010" s="0" t="n">
        <v>4.08435821734651</v>
      </c>
    </row>
    <row r="1011" customFormat="false" ht="13.8" hidden="false" customHeight="false" outlineLevel="0" collapsed="false">
      <c r="A1011" s="2" t="n">
        <v>40869</v>
      </c>
      <c r="B1011" s="0" t="n">
        <v>1188.04</v>
      </c>
      <c r="C1011" s="0" t="n">
        <v>237.8</v>
      </c>
      <c r="D1011" s="3" t="n">
        <f aca="false">B1011*100/B$2</f>
        <v>82.0945852566406</v>
      </c>
      <c r="E1011" s="3" t="n">
        <f aca="false">C1011*100/C$2</f>
        <v>101.062473438164</v>
      </c>
      <c r="F1011" s="0" t="n">
        <v>82.6128417037508</v>
      </c>
      <c r="G1011" s="0" t="n">
        <v>94.0266929843094</v>
      </c>
      <c r="H1011" s="0" t="n">
        <v>99.7875053123672</v>
      </c>
      <c r="I1011" s="0" t="n">
        <v>5.76081232805775</v>
      </c>
    </row>
    <row r="1012" customFormat="false" ht="13.8" hidden="false" customHeight="false" outlineLevel="0" collapsed="false">
      <c r="A1012" s="2" t="n">
        <v>40870</v>
      </c>
      <c r="B1012" s="0" t="n">
        <v>1161.79</v>
      </c>
      <c r="C1012" s="0" t="n">
        <v>231.68</v>
      </c>
      <c r="D1012" s="3" t="n">
        <f aca="false">B1012*100/B$2</f>
        <v>80.2806876917549</v>
      </c>
      <c r="E1012" s="3" t="n">
        <f aca="false">C1012*100/C$2</f>
        <v>98.4615384615385</v>
      </c>
      <c r="F1012" s="0" t="n">
        <v>83.4220127698389</v>
      </c>
      <c r="G1012" s="0" t="n">
        <v>94.2969886601949</v>
      </c>
      <c r="H1012" s="0" t="n">
        <v>100.577985550361</v>
      </c>
      <c r="I1012" s="0" t="n">
        <v>6.28099689016629</v>
      </c>
    </row>
    <row r="1013" customFormat="false" ht="13.8" hidden="false" customHeight="false" outlineLevel="0" collapsed="false">
      <c r="A1013" s="2" t="n">
        <v>40871</v>
      </c>
      <c r="B1013" s="0" t="n">
        <v>1161.79</v>
      </c>
      <c r="C1013" s="0" t="n">
        <v>233.35</v>
      </c>
      <c r="D1013" s="3" t="n">
        <f aca="false">B1013*100/B$2</f>
        <v>80.2806876917549</v>
      </c>
      <c r="E1013" s="3" t="n">
        <f aca="false">C1013*100/C$2</f>
        <v>99.171270718232</v>
      </c>
      <c r="F1013" s="0" t="n">
        <v>83.1739406838221</v>
      </c>
      <c r="G1013" s="0" t="n">
        <v>94.2141226075537</v>
      </c>
      <c r="H1013" s="0" t="n">
        <v>101.185720356991</v>
      </c>
      <c r="I1013" s="0" t="n">
        <v>6.97159774943736</v>
      </c>
    </row>
    <row r="1014" customFormat="false" ht="13.8" hidden="false" customHeight="false" outlineLevel="0" collapsed="false">
      <c r="A1014" s="2" t="n">
        <v>40872</v>
      </c>
      <c r="B1014" s="0" t="n">
        <v>1158.67</v>
      </c>
      <c r="C1014" s="0" t="n">
        <v>231.03</v>
      </c>
      <c r="D1014" s="3" t="n">
        <f aca="false">B1014*100/B$2</f>
        <v>80.065093009757</v>
      </c>
      <c r="E1014" s="3" t="n">
        <f aca="false">C1014*100/C$2</f>
        <v>98.1852953676158</v>
      </c>
      <c r="F1014" s="0" t="n">
        <v>84.6195306669615</v>
      </c>
      <c r="G1014" s="0" t="n">
        <v>94.6970077945328</v>
      </c>
      <c r="H1014" s="0" t="n">
        <v>101.857203569911</v>
      </c>
      <c r="I1014" s="0" t="n">
        <v>7.16019577537799</v>
      </c>
    </row>
    <row r="1015" customFormat="false" ht="13.8" hidden="false" customHeight="false" outlineLevel="0" collapsed="false">
      <c r="A1015" s="2" t="n">
        <v>40875</v>
      </c>
      <c r="B1015" s="0" t="n">
        <v>1192.55</v>
      </c>
      <c r="C1015" s="0" t="n">
        <v>236.59</v>
      </c>
      <c r="D1015" s="3" t="n">
        <f aca="false">B1015*100/B$2</f>
        <v>82.4062301335029</v>
      </c>
      <c r="E1015" s="3" t="n">
        <f aca="false">C1015*100/C$2</f>
        <v>100.548236294093</v>
      </c>
      <c r="F1015" s="0" t="n">
        <v>82.9804582769009</v>
      </c>
      <c r="G1015" s="0" t="n">
        <v>94.1494917029867</v>
      </c>
      <c r="H1015" s="0" t="n">
        <v>103.480662983425</v>
      </c>
      <c r="I1015" s="0" t="n">
        <v>9.3311712804387</v>
      </c>
    </row>
    <row r="1016" customFormat="false" ht="13.8" hidden="false" customHeight="false" outlineLevel="0" collapsed="false">
      <c r="A1016" s="2" t="n">
        <v>40876</v>
      </c>
      <c r="B1016" s="0" t="n">
        <v>1195.19</v>
      </c>
      <c r="C1016" s="0" t="n">
        <v>242.5</v>
      </c>
      <c r="D1016" s="3" t="n">
        <f aca="false">B1016*100/B$2</f>
        <v>82.5886564028857</v>
      </c>
      <c r="E1016" s="3" t="n">
        <f aca="false">C1016*100/C$2</f>
        <v>103.059923501912</v>
      </c>
      <c r="F1016" s="0" t="n">
        <v>84.6748113546533</v>
      </c>
      <c r="G1016" s="0" t="n">
        <v>94.7154737672662</v>
      </c>
      <c r="H1016" s="0" t="n">
        <v>101.950701232469</v>
      </c>
      <c r="I1016" s="0" t="n">
        <v>7.235227465203</v>
      </c>
    </row>
    <row r="1017" customFormat="false" ht="13.8" hidden="false" customHeight="false" outlineLevel="0" collapsed="false">
      <c r="A1017" s="2" t="n">
        <v>40877</v>
      </c>
      <c r="B1017" s="0" t="n">
        <v>1246.96</v>
      </c>
      <c r="C1017" s="0" t="n">
        <v>241.19</v>
      </c>
      <c r="D1017" s="3" t="n">
        <f aca="false">B1017*100/B$2</f>
        <v>86.1660079051383</v>
      </c>
      <c r="E1017" s="3" t="n">
        <f aca="false">C1017*100/C$2</f>
        <v>102.503187420314</v>
      </c>
      <c r="F1017" s="0" t="n">
        <v>83.6037480306255</v>
      </c>
      <c r="G1017" s="0" t="n">
        <v>94.3576955455561</v>
      </c>
      <c r="H1017" s="0" t="n">
        <v>102.894177645559</v>
      </c>
      <c r="I1017" s="0" t="n">
        <v>8.53648210000277</v>
      </c>
    </row>
    <row r="1018" customFormat="false" ht="13.8" hidden="false" customHeight="false" outlineLevel="0" collapsed="false">
      <c r="A1018" s="2" t="n">
        <v>40878</v>
      </c>
      <c r="B1018" s="0" t="n">
        <v>1244.58</v>
      </c>
      <c r="C1018" s="0" t="n">
        <v>251.52</v>
      </c>
      <c r="D1018" s="3" t="n">
        <f aca="false">B1018*100/B$2</f>
        <v>86.0015478592554</v>
      </c>
      <c r="E1018" s="3" t="n">
        <f aca="false">C1018*100/C$2</f>
        <v>106.893327666808</v>
      </c>
      <c r="F1018" s="0" t="n">
        <v>83.9844937671025</v>
      </c>
      <c r="G1018" s="0" t="n">
        <v>94.4848799327575</v>
      </c>
      <c r="H1018" s="0" t="n">
        <v>100.114747131322</v>
      </c>
      <c r="I1018" s="0" t="n">
        <v>5.62986719856417</v>
      </c>
    </row>
    <row r="1019" customFormat="false" ht="13.8" hidden="false" customHeight="false" outlineLevel="0" collapsed="false">
      <c r="A1019" s="2" t="n">
        <v>40879</v>
      </c>
      <c r="B1019" s="0" t="n">
        <v>1244.28</v>
      </c>
      <c r="C1019" s="0" t="n">
        <v>251.19</v>
      </c>
      <c r="D1019" s="3" t="n">
        <f aca="false">B1019*100/B$2</f>
        <v>85.980817601371</v>
      </c>
      <c r="E1019" s="3" t="n">
        <f aca="false">C1019*100/C$2</f>
        <v>106.753081172971</v>
      </c>
      <c r="F1019" s="0" t="n">
        <v>85.5641394178944</v>
      </c>
      <c r="G1019" s="0" t="n">
        <v>95.0125451036152</v>
      </c>
      <c r="H1019" s="0" t="n">
        <v>102.005949851254</v>
      </c>
      <c r="I1019" s="0" t="n">
        <v>6.99340474763855</v>
      </c>
    </row>
    <row r="1020" customFormat="false" ht="13.8" hidden="false" customHeight="false" outlineLevel="0" collapsed="false">
      <c r="A1020" s="2" t="n">
        <v>40882</v>
      </c>
      <c r="B1020" s="0" t="n">
        <v>1257.08</v>
      </c>
      <c r="C1020" s="0" t="n">
        <v>252.22</v>
      </c>
      <c r="D1020" s="3" t="n">
        <f aca="false">B1020*100/B$2</f>
        <v>86.865308604439</v>
      </c>
      <c r="E1020" s="3" t="n">
        <f aca="false">C1020*100/C$2</f>
        <v>107.190820229494</v>
      </c>
      <c r="F1020" s="0" t="n">
        <v>86.6656071201526</v>
      </c>
      <c r="G1020" s="0" t="n">
        <v>95.3804796103286</v>
      </c>
      <c r="H1020" s="0" t="n">
        <v>105.486612834679</v>
      </c>
      <c r="I1020" s="0" t="n">
        <v>10.1061332243505</v>
      </c>
    </row>
    <row r="1021" customFormat="false" ht="13.8" hidden="false" customHeight="false" outlineLevel="0" collapsed="false">
      <c r="A1021" s="2" t="n">
        <v>40883</v>
      </c>
      <c r="B1021" s="0" t="n">
        <v>1258.47</v>
      </c>
      <c r="C1021" s="0" t="n">
        <v>249.48</v>
      </c>
      <c r="D1021" s="3" t="n">
        <f aca="false">B1021*100/B$2</f>
        <v>86.9613587993035</v>
      </c>
      <c r="E1021" s="3" t="n">
        <f aca="false">C1021*100/C$2</f>
        <v>106.026349341266</v>
      </c>
      <c r="F1021" s="0" t="n">
        <v>84.9284115094392</v>
      </c>
      <c r="G1021" s="0" t="n">
        <v>94.8001864171808</v>
      </c>
      <c r="H1021" s="0" t="n">
        <v>105.057373565661</v>
      </c>
      <c r="I1021" s="0" t="n">
        <v>10.2571871484801</v>
      </c>
    </row>
    <row r="1022" customFormat="false" ht="13.8" hidden="false" customHeight="false" outlineLevel="0" collapsed="false">
      <c r="A1022" s="2" t="n">
        <v>40884</v>
      </c>
      <c r="B1022" s="0" t="n">
        <v>1261.01</v>
      </c>
      <c r="C1022" s="0" t="n">
        <v>251.57</v>
      </c>
      <c r="D1022" s="3" t="n">
        <f aca="false">B1022*100/B$2</f>
        <v>87.1368749827248</v>
      </c>
      <c r="E1022" s="3" t="n">
        <f aca="false">C1022*100/C$2</f>
        <v>106.914577135572</v>
      </c>
      <c r="F1022" s="0" t="n">
        <v>85.8232676414495</v>
      </c>
      <c r="G1022" s="0" t="n">
        <v>95.0991043508031</v>
      </c>
      <c r="H1022" s="0" t="n">
        <v>105.210369740756</v>
      </c>
      <c r="I1022" s="0" t="n">
        <v>10.1112653899534</v>
      </c>
    </row>
    <row r="1023" customFormat="false" ht="13.8" hidden="false" customHeight="false" outlineLevel="0" collapsed="false">
      <c r="A1023" s="2" t="n">
        <v>40885</v>
      </c>
      <c r="B1023" s="0" t="n">
        <v>1234.35</v>
      </c>
      <c r="C1023" s="0" t="n">
        <v>250.31</v>
      </c>
      <c r="D1023" s="3" t="n">
        <f aca="false">B1023*100/B$2</f>
        <v>85.294646065397</v>
      </c>
      <c r="E1023" s="3" t="n">
        <f aca="false">C1023*100/C$2</f>
        <v>106.379090522737</v>
      </c>
      <c r="F1023" s="0" t="n">
        <v>88.7662732524393</v>
      </c>
      <c r="G1023" s="0" t="n">
        <v>96.0821865741988</v>
      </c>
      <c r="H1023" s="0" t="n">
        <v>106.757331066723</v>
      </c>
      <c r="I1023" s="0" t="n">
        <v>10.6751444925245</v>
      </c>
    </row>
    <row r="1024" customFormat="false" ht="13.8" hidden="false" customHeight="false" outlineLevel="0" collapsed="false">
      <c r="A1024" s="2" t="n">
        <v>40886</v>
      </c>
      <c r="B1024" s="0" t="n">
        <v>1255.19</v>
      </c>
      <c r="C1024" s="0" t="n">
        <v>244.93</v>
      </c>
      <c r="D1024" s="3" t="n">
        <f aca="false">B1024*100/B$2</f>
        <v>86.7347079797673</v>
      </c>
      <c r="E1024" s="3" t="n">
        <f aca="false">C1024*100/C$2</f>
        <v>104.092647683808</v>
      </c>
      <c r="F1024" s="0" t="n">
        <v>88.8001326736505</v>
      </c>
      <c r="G1024" s="0" t="n">
        <v>96.093496982498</v>
      </c>
      <c r="H1024" s="0" t="n">
        <v>107.297067573311</v>
      </c>
      <c r="I1024" s="0" t="n">
        <v>11.2035705908126</v>
      </c>
    </row>
    <row r="1025" customFormat="false" ht="13.8" hidden="false" customHeight="false" outlineLevel="0" collapsed="false">
      <c r="A1025" s="2" t="n">
        <v>40889</v>
      </c>
      <c r="B1025" s="0" t="n">
        <v>1236.47</v>
      </c>
      <c r="C1025" s="0" t="n">
        <v>248.55</v>
      </c>
      <c r="D1025" s="3" t="n">
        <f aca="false">B1025*100/B$2</f>
        <v>85.4411398877802</v>
      </c>
      <c r="E1025" s="3" t="n">
        <f aca="false">C1025*100/C$2</f>
        <v>105.631109222269</v>
      </c>
      <c r="F1025" s="0" t="n">
        <v>86.6041073550955</v>
      </c>
      <c r="G1025" s="0" t="n">
        <v>95.3599362156627</v>
      </c>
      <c r="H1025" s="0" t="n">
        <v>106.196345091373</v>
      </c>
      <c r="I1025" s="0" t="n">
        <v>10.83640887571</v>
      </c>
    </row>
    <row r="1026" customFormat="false" ht="13.8" hidden="false" customHeight="false" outlineLevel="0" collapsed="false">
      <c r="A1026" s="2" t="n">
        <v>40890</v>
      </c>
      <c r="B1026" s="0" t="n">
        <v>1225.73</v>
      </c>
      <c r="C1026" s="0" t="n">
        <v>243.48</v>
      </c>
      <c r="D1026" s="3" t="n">
        <f aca="false">B1026*100/B$2</f>
        <v>84.6989966555184</v>
      </c>
      <c r="E1026" s="3" t="n">
        <f aca="false">C1026*100/C$2</f>
        <v>103.476413089673</v>
      </c>
      <c r="F1026" s="0" t="n">
        <v>84.1841952513889</v>
      </c>
      <c r="G1026" s="0" t="n">
        <v>94.551588259257</v>
      </c>
      <c r="H1026" s="0" t="n">
        <v>106.213344666383</v>
      </c>
      <c r="I1026" s="0" t="n">
        <v>11.6617564071263</v>
      </c>
    </row>
    <row r="1027" customFormat="false" ht="13.8" hidden="false" customHeight="false" outlineLevel="0" collapsed="false">
      <c r="A1027" s="2" t="n">
        <v>40891</v>
      </c>
      <c r="B1027" s="0" t="n">
        <v>1211.82</v>
      </c>
      <c r="C1027" s="0" t="n">
        <v>242.35</v>
      </c>
      <c r="D1027" s="3" t="n">
        <f aca="false">B1027*100/B$2</f>
        <v>83.737803698278</v>
      </c>
      <c r="E1027" s="3" t="n">
        <f aca="false">C1027*100/C$2</f>
        <v>102.996175095623</v>
      </c>
      <c r="F1027" s="0" t="n">
        <v>85.5399541170292</v>
      </c>
      <c r="G1027" s="0" t="n">
        <v>95.0044662405443</v>
      </c>
      <c r="H1027" s="0" t="n">
        <v>105.410114747131</v>
      </c>
      <c r="I1027" s="0" t="n">
        <v>10.405648506587</v>
      </c>
    </row>
    <row r="1028" customFormat="false" ht="13.8" hidden="false" customHeight="false" outlineLevel="0" collapsed="false">
      <c r="A1028" s="2" t="n">
        <v>40892</v>
      </c>
      <c r="B1028" s="0" t="n">
        <v>1215.75</v>
      </c>
      <c r="C1028" s="0" t="n">
        <v>236.72</v>
      </c>
      <c r="D1028" s="3" t="n">
        <f aca="false">B1028*100/B$2</f>
        <v>84.0093700765637</v>
      </c>
      <c r="E1028" s="3" t="n">
        <f aca="false">C1028*100/C$2</f>
        <v>100.603484912877</v>
      </c>
      <c r="F1028" s="0" t="n">
        <v>87.1465491030709</v>
      </c>
      <c r="G1028" s="0" t="n">
        <v>95.5411335731094</v>
      </c>
      <c r="H1028" s="0" t="n">
        <v>103.735656608585</v>
      </c>
      <c r="I1028" s="0" t="n">
        <v>8.19452303547533</v>
      </c>
    </row>
    <row r="1029" customFormat="false" ht="13.8" hidden="false" customHeight="false" outlineLevel="0" collapsed="false">
      <c r="A1029" s="2" t="n">
        <v>40893</v>
      </c>
      <c r="B1029" s="0" t="n">
        <v>1219.66</v>
      </c>
      <c r="C1029" s="0" t="n">
        <v>239.82</v>
      </c>
      <c r="D1029" s="3" t="n">
        <f aca="false">B1029*100/B$2</f>
        <v>84.2795544376572</v>
      </c>
      <c r="E1029" s="3" t="n">
        <f aca="false">C1029*100/C$2</f>
        <v>101.920951976201</v>
      </c>
      <c r="F1029" s="0" t="n">
        <v>86.5992702949225</v>
      </c>
      <c r="G1029" s="0" t="n">
        <v>95.3583204430485</v>
      </c>
      <c r="H1029" s="0" t="n">
        <v>107.241818954526</v>
      </c>
      <c r="I1029" s="0" t="n">
        <v>11.8834985114776</v>
      </c>
    </row>
    <row r="1030" customFormat="false" ht="13.8" hidden="false" customHeight="false" outlineLevel="0" collapsed="false">
      <c r="A1030" s="2" t="n">
        <v>40896</v>
      </c>
      <c r="B1030" s="0" t="n">
        <v>1205.35</v>
      </c>
      <c r="C1030" s="0" t="n">
        <v>231.74</v>
      </c>
      <c r="D1030" s="3" t="n">
        <f aca="false">B1030*100/B$2</f>
        <v>83.2907211365709</v>
      </c>
      <c r="E1030" s="3" t="n">
        <f aca="false">C1030*100/C$2</f>
        <v>98.4870378240544</v>
      </c>
      <c r="F1030" s="0" t="n">
        <v>87.1444760772824</v>
      </c>
      <c r="G1030" s="0" t="n">
        <v>95.5404410991319</v>
      </c>
      <c r="H1030" s="0" t="n">
        <v>106.578835529112</v>
      </c>
      <c r="I1030" s="0" t="n">
        <v>11.0383944299798</v>
      </c>
    </row>
    <row r="1031" customFormat="false" ht="13.8" hidden="false" customHeight="false" outlineLevel="0" collapsed="false">
      <c r="A1031" s="2" t="n">
        <v>40897</v>
      </c>
      <c r="B1031" s="0" t="n">
        <v>1241.3</v>
      </c>
      <c r="C1031" s="0" t="n">
        <v>233.83</v>
      </c>
      <c r="D1031" s="3" t="n">
        <f aca="false">B1031*100/B$2</f>
        <v>85.7748970397192</v>
      </c>
      <c r="E1031" s="3" t="n">
        <f aca="false">C1031*100/C$2</f>
        <v>99.3752656183595</v>
      </c>
      <c r="F1031" s="0" t="n">
        <v>88.1671687995799</v>
      </c>
      <c r="G1031" s="0" t="n">
        <v>95.8820615947003</v>
      </c>
      <c r="H1031" s="0" t="n">
        <v>105.533361665958</v>
      </c>
      <c r="I1031" s="0" t="n">
        <v>9.65130007125805</v>
      </c>
    </row>
    <row r="1032" customFormat="false" ht="13.8" hidden="false" customHeight="false" outlineLevel="0" collapsed="false">
      <c r="A1032" s="2" t="n">
        <v>40898</v>
      </c>
      <c r="B1032" s="0" t="n">
        <v>1243.72</v>
      </c>
      <c r="C1032" s="0" t="n">
        <v>241.51</v>
      </c>
      <c r="D1032" s="3" t="n">
        <f aca="false">B1032*100/B$2</f>
        <v>85.9421211199867</v>
      </c>
      <c r="E1032" s="3" t="n">
        <f aca="false">C1032*100/C$2</f>
        <v>102.639184020399</v>
      </c>
      <c r="F1032" s="0" t="n">
        <v>84.9318665524199</v>
      </c>
      <c r="G1032" s="0" t="n">
        <v>94.8013405404766</v>
      </c>
      <c r="H1032" s="0" t="n">
        <v>105.92010199745</v>
      </c>
      <c r="I1032" s="0" t="n">
        <v>11.1187614569735</v>
      </c>
    </row>
    <row r="1033" customFormat="false" ht="13.8" hidden="false" customHeight="false" outlineLevel="0" collapsed="false">
      <c r="A1033" s="2" t="n">
        <v>40899</v>
      </c>
      <c r="B1033" s="0" t="n">
        <v>1254</v>
      </c>
      <c r="C1033" s="0" t="n">
        <v>241.4</v>
      </c>
      <c r="D1033" s="3" t="n">
        <f aca="false">B1033*100/B$2</f>
        <v>86.6524779568258</v>
      </c>
      <c r="E1033" s="3" t="n">
        <f aca="false">C1033*100/C$2</f>
        <v>102.59243518912</v>
      </c>
      <c r="F1033" s="0" t="n">
        <v>85.6643356643357</v>
      </c>
      <c r="G1033" s="0" t="n">
        <v>95.0460146791945</v>
      </c>
      <c r="H1033" s="0" t="n">
        <v>100.305992350191</v>
      </c>
      <c r="I1033" s="0" t="n">
        <v>5.25997767099676</v>
      </c>
    </row>
    <row r="1034" customFormat="false" ht="13.8" hidden="false" customHeight="false" outlineLevel="0" collapsed="false">
      <c r="A1034" s="2" t="n">
        <v>40900</v>
      </c>
      <c r="B1034" s="0" t="n">
        <v>1265.33</v>
      </c>
      <c r="C1034" s="0" t="n">
        <v>244.22</v>
      </c>
      <c r="D1034" s="3" t="n">
        <f aca="false">B1034*100/B$2</f>
        <v>87.4353906962603</v>
      </c>
      <c r="E1034" s="3" t="n">
        <f aca="false">C1034*100/C$2</f>
        <v>103.790905227369</v>
      </c>
      <c r="F1034" s="0" t="n">
        <v>87.3331214240305</v>
      </c>
      <c r="G1034" s="0" t="n">
        <v>95.6034562310848</v>
      </c>
      <c r="H1034" s="0" t="n">
        <v>103.268168295793</v>
      </c>
      <c r="I1034" s="0" t="n">
        <v>7.66471206470786</v>
      </c>
    </row>
    <row r="1035" customFormat="false" ht="13.8" hidden="false" customHeight="false" outlineLevel="0" collapsed="false">
      <c r="A1035" s="2" t="n">
        <v>40903</v>
      </c>
      <c r="B1035" s="0" t="n">
        <v>1265.33</v>
      </c>
      <c r="C1035" s="0" t="n">
        <v>242.64</v>
      </c>
      <c r="D1035" s="3" t="n">
        <f aca="false">B1035*100/B$2</f>
        <v>87.4353906962603</v>
      </c>
      <c r="E1035" s="3" t="n">
        <f aca="false">C1035*100/C$2</f>
        <v>103.11942201445</v>
      </c>
      <c r="F1035" s="0" t="n">
        <v>86.4990740484812</v>
      </c>
      <c r="G1035" s="0" t="n">
        <v>95.3248508674692</v>
      </c>
      <c r="H1035" s="0" t="n">
        <v>105.512112197195</v>
      </c>
      <c r="I1035" s="0" t="n">
        <v>10.1872613297259</v>
      </c>
    </row>
    <row r="1036" customFormat="false" ht="13.8" hidden="false" customHeight="false" outlineLevel="0" collapsed="false">
      <c r="A1036" s="2" t="n">
        <v>40904</v>
      </c>
      <c r="B1036" s="0" t="n">
        <v>1265.43</v>
      </c>
      <c r="C1036" s="0" t="n">
        <v>240.79</v>
      </c>
      <c r="D1036" s="3" t="n">
        <f aca="false">B1036*100/B$2</f>
        <v>87.4423007822217</v>
      </c>
      <c r="E1036" s="3" t="n">
        <f aca="false">C1036*100/C$2</f>
        <v>102.333191670208</v>
      </c>
      <c r="F1036" s="0" t="n">
        <v>86.9157522319578</v>
      </c>
      <c r="G1036" s="0" t="n">
        <v>95.4640381369474</v>
      </c>
      <c r="H1036" s="0" t="n">
        <v>104.636634084148</v>
      </c>
      <c r="I1036" s="0" t="n">
        <v>9.17259594720049</v>
      </c>
    </row>
    <row r="1037" customFormat="false" ht="13.8" hidden="false" customHeight="false" outlineLevel="0" collapsed="false">
      <c r="A1037" s="2" t="n">
        <v>40905</v>
      </c>
      <c r="B1037" s="0" t="n">
        <v>1249.64</v>
      </c>
      <c r="C1037" s="0" t="n">
        <v>238.15</v>
      </c>
      <c r="D1037" s="3" t="n">
        <f aca="false">B1037*100/B$2</f>
        <v>86.3511982089057</v>
      </c>
      <c r="E1037" s="3" t="n">
        <f aca="false">C1037*100/C$2</f>
        <v>101.211219719507</v>
      </c>
      <c r="F1037" s="0" t="n">
        <v>85.4715442660107</v>
      </c>
      <c r="G1037" s="0" t="n">
        <v>94.9816145992867</v>
      </c>
      <c r="H1037" s="0" t="n">
        <v>102.838929026774</v>
      </c>
      <c r="I1037" s="0" t="n">
        <v>7.85731442748765</v>
      </c>
    </row>
    <row r="1038" customFormat="false" ht="13.8" hidden="false" customHeight="false" outlineLevel="0" collapsed="false">
      <c r="A1038" s="2" t="n">
        <v>40906</v>
      </c>
      <c r="B1038" s="0" t="n">
        <v>1263.02</v>
      </c>
      <c r="C1038" s="0" t="n">
        <v>238.08</v>
      </c>
      <c r="D1038" s="3" t="n">
        <f aca="false">B1038*100/B$2</f>
        <v>87.2757677105503</v>
      </c>
      <c r="E1038" s="3" t="n">
        <f aca="false">C1038*100/C$2</f>
        <v>101.181470463238</v>
      </c>
      <c r="F1038" s="0" t="n">
        <v>84.0356284032174</v>
      </c>
      <c r="G1038" s="0" t="n">
        <v>94.501960957536</v>
      </c>
      <c r="H1038" s="0" t="n">
        <v>103.95240118997</v>
      </c>
      <c r="I1038" s="0" t="n">
        <v>9.45044023243428</v>
      </c>
    </row>
    <row r="1039" customFormat="false" ht="13.8" hidden="false" customHeight="false" outlineLevel="0" collapsed="false">
      <c r="A1039" s="2" t="n">
        <v>40907</v>
      </c>
      <c r="B1039" s="0" t="n">
        <v>1257.6</v>
      </c>
      <c r="C1039" s="0" t="n">
        <v>238.08</v>
      </c>
      <c r="D1039" s="3" t="n">
        <f aca="false">B1039*100/B$2</f>
        <v>86.9012410514387</v>
      </c>
      <c r="E1039" s="3" t="n">
        <f aca="false">C1039*100/C$2</f>
        <v>101.181470463238</v>
      </c>
      <c r="F1039" s="0" t="n">
        <v>84.0024599906023</v>
      </c>
      <c r="G1039" s="0" t="n">
        <v>94.4908813738959</v>
      </c>
      <c r="H1039" s="0" t="n">
        <v>101.755206119847</v>
      </c>
      <c r="I1039" s="0" t="n">
        <v>7.2643247459511</v>
      </c>
    </row>
    <row r="1040" customFormat="false" ht="13.8" hidden="false" customHeight="false" outlineLevel="0" collapsed="false">
      <c r="A1040" s="2" t="n">
        <v>40910</v>
      </c>
      <c r="B1040" s="0" t="n">
        <v>1257.6</v>
      </c>
      <c r="C1040" s="0" t="n">
        <v>238.7</v>
      </c>
      <c r="D1040" s="3" t="n">
        <f aca="false">B1040*100/B$2</f>
        <v>86.9012410514387</v>
      </c>
      <c r="E1040" s="3" t="n">
        <f aca="false">C1040*100/C$2</f>
        <v>101.444963875903</v>
      </c>
      <c r="F1040" s="0" t="n">
        <v>82.4359435031372</v>
      </c>
      <c r="G1040" s="0" t="n">
        <v>93.9676018715625</v>
      </c>
      <c r="H1040" s="0" t="n">
        <v>100.569485762856</v>
      </c>
      <c r="I1040" s="0" t="n">
        <v>6.60188389129345</v>
      </c>
    </row>
    <row r="1041" customFormat="false" ht="13.8" hidden="false" customHeight="false" outlineLevel="0" collapsed="false">
      <c r="A1041" s="2" t="n">
        <v>40911</v>
      </c>
      <c r="B1041" s="0" t="n">
        <v>1277.06</v>
      </c>
      <c r="C1041" s="0" t="n">
        <v>245.82</v>
      </c>
      <c r="D1041" s="3" t="n">
        <f aca="false">B1041*100/B$2</f>
        <v>88.2459437795406</v>
      </c>
      <c r="E1041" s="3" t="n">
        <f aca="false">C1041*100/C$2</f>
        <v>104.470888227794</v>
      </c>
      <c r="F1041" s="0" t="n">
        <v>82.0945852566406</v>
      </c>
      <c r="G1041" s="0" t="n">
        <v>93.8535744899336</v>
      </c>
      <c r="H1041" s="0" t="n">
        <v>101.062473438164</v>
      </c>
      <c r="I1041" s="0" t="n">
        <v>7.20889894823047</v>
      </c>
    </row>
    <row r="1042" customFormat="false" ht="13.8" hidden="false" customHeight="false" outlineLevel="0" collapsed="false">
      <c r="A1042" s="2" t="n">
        <v>40912</v>
      </c>
      <c r="B1042" s="0" t="n">
        <v>1277.3</v>
      </c>
      <c r="C1042" s="0" t="n">
        <v>244.24</v>
      </c>
      <c r="D1042" s="3" t="n">
        <f aca="false">B1042*100/B$2</f>
        <v>88.2625279858481</v>
      </c>
      <c r="E1042" s="3" t="n">
        <f aca="false">C1042*100/C$2</f>
        <v>103.799405014875</v>
      </c>
      <c r="F1042" s="0" t="n">
        <v>80.2806876917549</v>
      </c>
      <c r="G1042" s="0" t="n">
        <v>93.2476597596181</v>
      </c>
      <c r="H1042" s="0" t="n">
        <v>98.4615384615385</v>
      </c>
      <c r="I1042" s="0" t="n">
        <v>5.21387870192038</v>
      </c>
    </row>
    <row r="1043" customFormat="false" ht="13.8" hidden="false" customHeight="false" outlineLevel="0" collapsed="false">
      <c r="A1043" s="2" t="n">
        <v>40913</v>
      </c>
      <c r="B1043" s="0" t="n">
        <v>1281.06</v>
      </c>
      <c r="C1043" s="0" t="n">
        <v>243.56</v>
      </c>
      <c r="D1043" s="3" t="n">
        <f aca="false">B1043*100/B$2</f>
        <v>88.5223472179994</v>
      </c>
      <c r="E1043" s="3" t="n">
        <f aca="false">C1043*100/C$2</f>
        <v>103.510412239694</v>
      </c>
      <c r="F1043" s="0" t="n">
        <v>80.2806876917549</v>
      </c>
      <c r="G1043" s="0" t="n">
        <v>93.2476597596181</v>
      </c>
      <c r="H1043" s="0" t="n">
        <v>99.171270718232</v>
      </c>
      <c r="I1043" s="0" t="n">
        <v>5.92361095861396</v>
      </c>
    </row>
    <row r="1044" customFormat="false" ht="13.8" hidden="false" customHeight="false" outlineLevel="0" collapsed="false">
      <c r="A1044" s="2" t="n">
        <v>40914</v>
      </c>
      <c r="B1044" s="0" t="n">
        <v>1277.81</v>
      </c>
      <c r="C1044" s="0" t="n">
        <v>240.57</v>
      </c>
      <c r="D1044" s="3" t="n">
        <f aca="false">B1044*100/B$2</f>
        <v>88.2977694242516</v>
      </c>
      <c r="E1044" s="3" t="n">
        <f aca="false">C1044*100/C$2</f>
        <v>102.23969400765</v>
      </c>
      <c r="F1044" s="0" t="n">
        <v>80.065093009757</v>
      </c>
      <c r="G1044" s="0" t="n">
        <v>93.1756424659577</v>
      </c>
      <c r="H1044" s="0" t="n">
        <v>98.1852953676158</v>
      </c>
      <c r="I1044" s="0" t="n">
        <v>5.0096529016581</v>
      </c>
    </row>
    <row r="1045" customFormat="false" ht="13.8" hidden="false" customHeight="false" outlineLevel="0" collapsed="false">
      <c r="A1045" s="2" t="n">
        <v>40917</v>
      </c>
      <c r="B1045" s="0" t="n">
        <v>1280.7</v>
      </c>
      <c r="C1045" s="0" t="n">
        <v>238.02</v>
      </c>
      <c r="D1045" s="3" t="n">
        <f aca="false">B1045*100/B$2</f>
        <v>88.4974709085381</v>
      </c>
      <c r="E1045" s="3" t="n">
        <f aca="false">C1045*100/C$2</f>
        <v>101.155971100722</v>
      </c>
      <c r="F1045" s="0" t="n">
        <v>82.4062301335029</v>
      </c>
      <c r="G1045" s="0" t="n">
        <v>93.9576764112183</v>
      </c>
      <c r="H1045" s="0" t="n">
        <v>100.548236294093</v>
      </c>
      <c r="I1045" s="0" t="n">
        <v>6.59055988287439</v>
      </c>
    </row>
    <row r="1046" customFormat="false" ht="13.8" hidden="false" customHeight="false" outlineLevel="0" collapsed="false">
      <c r="A1046" s="2" t="n">
        <v>40918</v>
      </c>
      <c r="B1046" s="0" t="n">
        <v>1292.08</v>
      </c>
      <c r="C1046" s="0" t="n">
        <v>241.69</v>
      </c>
      <c r="D1046" s="3" t="n">
        <f aca="false">B1046*100/B$2</f>
        <v>89.2838386909533</v>
      </c>
      <c r="E1046" s="3" t="n">
        <f aca="false">C1046*100/C$2</f>
        <v>102.715682107947</v>
      </c>
      <c r="F1046" s="0" t="n">
        <v>82.5886564028857</v>
      </c>
      <c r="G1046" s="0" t="n">
        <v>94.0186141212386</v>
      </c>
      <c r="H1046" s="0" t="n">
        <v>103.059923501912</v>
      </c>
      <c r="I1046" s="0" t="n">
        <v>9.04130938067389</v>
      </c>
    </row>
    <row r="1047" customFormat="false" ht="13.8" hidden="false" customHeight="false" outlineLevel="0" collapsed="false">
      <c r="A1047" s="2" t="n">
        <v>40919</v>
      </c>
      <c r="B1047" s="0" t="n">
        <v>1292.48</v>
      </c>
      <c r="C1047" s="0" t="n">
        <v>240.83</v>
      </c>
      <c r="D1047" s="3" t="n">
        <f aca="false">B1047*100/B$2</f>
        <v>89.3114790347992</v>
      </c>
      <c r="E1047" s="3" t="n">
        <f aca="false">C1047*100/C$2</f>
        <v>102.350191245219</v>
      </c>
      <c r="F1047" s="0" t="n">
        <v>86.1660079051383</v>
      </c>
      <c r="G1047" s="0" t="n">
        <v>95.2135933817503</v>
      </c>
      <c r="H1047" s="0" t="n">
        <v>102.503187420314</v>
      </c>
      <c r="I1047" s="0" t="n">
        <v>7.28959403856418</v>
      </c>
    </row>
    <row r="1048" customFormat="false" ht="13.8" hidden="false" customHeight="false" outlineLevel="0" collapsed="false">
      <c r="A1048" s="2" t="n">
        <v>40920</v>
      </c>
      <c r="B1048" s="0" t="n">
        <v>1295.5</v>
      </c>
      <c r="C1048" s="0" t="n">
        <v>243.46</v>
      </c>
      <c r="D1048" s="3" t="n">
        <f aca="false">B1048*100/B$2</f>
        <v>89.5201636308356</v>
      </c>
      <c r="E1048" s="3" t="n">
        <f aca="false">C1048*100/C$2</f>
        <v>103.467913302167</v>
      </c>
      <c r="F1048" s="0" t="n">
        <v>86.0015478592554</v>
      </c>
      <c r="G1048" s="0" t="n">
        <v>95.1586571128684</v>
      </c>
      <c r="H1048" s="0" t="n">
        <v>106.893327666808</v>
      </c>
      <c r="I1048" s="0" t="n">
        <v>11.7346705539399</v>
      </c>
    </row>
    <row r="1049" customFormat="false" ht="13.8" hidden="false" customHeight="false" outlineLevel="0" collapsed="false">
      <c r="A1049" s="2" t="n">
        <v>40921</v>
      </c>
      <c r="B1049" s="0" t="n">
        <v>1289.09</v>
      </c>
      <c r="C1049" s="0" t="n">
        <v>245.28</v>
      </c>
      <c r="D1049" s="3" t="n">
        <f aca="false">B1049*100/B$2</f>
        <v>89.0772271207054</v>
      </c>
      <c r="E1049" s="3" t="n">
        <f aca="false">C1049*100/C$2</f>
        <v>104.241393965151</v>
      </c>
      <c r="F1049" s="0" t="n">
        <v>85.980817601371</v>
      </c>
      <c r="G1049" s="0" t="n">
        <v>95.1517323730934</v>
      </c>
      <c r="H1049" s="0" t="n">
        <v>106.753081172971</v>
      </c>
      <c r="I1049" s="0" t="n">
        <v>11.6013487998773</v>
      </c>
    </row>
    <row r="1050" customFormat="false" ht="13.8" hidden="false" customHeight="false" outlineLevel="0" collapsed="false">
      <c r="A1050" s="2" t="n">
        <v>40924</v>
      </c>
      <c r="B1050" s="0" t="n">
        <v>1289.09</v>
      </c>
      <c r="C1050" s="0" t="n">
        <v>243.1</v>
      </c>
      <c r="D1050" s="3" t="n">
        <f aca="false">B1050*100/B$2</f>
        <v>89.0772271207054</v>
      </c>
      <c r="E1050" s="3" t="n">
        <f aca="false">C1050*100/C$2</f>
        <v>103.314917127072</v>
      </c>
      <c r="F1050" s="0" t="n">
        <v>86.865308604439</v>
      </c>
      <c r="G1050" s="0" t="n">
        <v>95.4471879368282</v>
      </c>
      <c r="H1050" s="0" t="n">
        <v>107.190820229494</v>
      </c>
      <c r="I1050" s="0" t="n">
        <v>11.7436322926661</v>
      </c>
    </row>
    <row r="1051" customFormat="false" ht="13.8" hidden="false" customHeight="false" outlineLevel="0" collapsed="false">
      <c r="A1051" s="2" t="n">
        <v>40925</v>
      </c>
      <c r="B1051" s="0" t="n">
        <v>1293.67</v>
      </c>
      <c r="C1051" s="0" t="n">
        <v>247.81</v>
      </c>
      <c r="D1051" s="3" t="n">
        <f aca="false">B1051*100/B$2</f>
        <v>89.3937090577407</v>
      </c>
      <c r="E1051" s="3" t="n">
        <f aca="false">C1051*100/C$2</f>
        <v>105.316617084573</v>
      </c>
      <c r="F1051" s="0" t="n">
        <v>86.9613587993035</v>
      </c>
      <c r="G1051" s="0" t="n">
        <v>95.4792725644525</v>
      </c>
      <c r="H1051" s="0" t="n">
        <v>106.026349341266</v>
      </c>
      <c r="I1051" s="0" t="n">
        <v>10.547076776814</v>
      </c>
    </row>
    <row r="1052" customFormat="false" ht="13.8" hidden="false" customHeight="false" outlineLevel="0" collapsed="false">
      <c r="A1052" s="2" t="n">
        <v>40926</v>
      </c>
      <c r="B1052" s="0" t="n">
        <v>1308.04</v>
      </c>
      <c r="C1052" s="0" t="n">
        <v>247.82</v>
      </c>
      <c r="D1052" s="3" t="n">
        <f aca="false">B1052*100/B$2</f>
        <v>90.3866884104038</v>
      </c>
      <c r="E1052" s="3" t="n">
        <f aca="false">C1052*100/C$2</f>
        <v>105.320866978326</v>
      </c>
      <c r="F1052" s="0" t="n">
        <v>87.1368749827248</v>
      </c>
      <c r="G1052" s="0" t="n">
        <v>95.5379020278811</v>
      </c>
      <c r="H1052" s="0" t="n">
        <v>106.914577135572</v>
      </c>
      <c r="I1052" s="0" t="n">
        <v>11.3766751076905</v>
      </c>
    </row>
    <row r="1053" customFormat="false" ht="13.8" hidden="false" customHeight="false" outlineLevel="0" collapsed="false">
      <c r="A1053" s="2" t="n">
        <v>40927</v>
      </c>
      <c r="B1053" s="0" t="n">
        <v>1314.5</v>
      </c>
      <c r="C1053" s="0" t="n">
        <v>251.27</v>
      </c>
      <c r="D1053" s="3" t="n">
        <f aca="false">B1053*100/B$2</f>
        <v>90.8330799635147</v>
      </c>
      <c r="E1053" s="3" t="n">
        <f aca="false">C1053*100/C$2</f>
        <v>106.787080322992</v>
      </c>
      <c r="F1053" s="0" t="n">
        <v>85.294646065397</v>
      </c>
      <c r="G1053" s="0" t="n">
        <v>94.9225234865397</v>
      </c>
      <c r="H1053" s="0" t="n">
        <v>106.379090522737</v>
      </c>
      <c r="I1053" s="0" t="n">
        <v>11.4565670361972</v>
      </c>
    </row>
    <row r="1054" customFormat="false" ht="13.8" hidden="false" customHeight="false" outlineLevel="0" collapsed="false">
      <c r="A1054" s="2" t="n">
        <v>40928</v>
      </c>
      <c r="B1054" s="0" t="n">
        <v>1315.38</v>
      </c>
      <c r="C1054" s="0" t="n">
        <v>256.61</v>
      </c>
      <c r="D1054" s="3" t="n">
        <f aca="false">B1054*100/B$2</f>
        <v>90.8938887199757</v>
      </c>
      <c r="E1054" s="3" t="n">
        <f aca="false">C1054*100/C$2</f>
        <v>109.05652358691</v>
      </c>
      <c r="F1054" s="0" t="n">
        <v>86.7347079797673</v>
      </c>
      <c r="G1054" s="0" t="n">
        <v>95.4035620762454</v>
      </c>
      <c r="H1054" s="0" t="n">
        <v>104.092647683808</v>
      </c>
      <c r="I1054" s="0" t="n">
        <v>8.68908560756246</v>
      </c>
    </row>
    <row r="1055" customFormat="false" ht="13.8" hidden="false" customHeight="false" outlineLevel="0" collapsed="false">
      <c r="A1055" s="2" t="n">
        <v>40931</v>
      </c>
      <c r="B1055" s="0" t="n">
        <v>1316</v>
      </c>
      <c r="C1055" s="0" t="n">
        <v>256.61</v>
      </c>
      <c r="D1055" s="3" t="n">
        <f aca="false">B1055*100/B$2</f>
        <v>90.9367312529368</v>
      </c>
      <c r="E1055" s="3" t="n">
        <f aca="false">C1055*100/C$2</f>
        <v>109.05652358691</v>
      </c>
      <c r="F1055" s="0" t="n">
        <v>85.4411398877802</v>
      </c>
      <c r="G1055" s="0" t="n">
        <v>94.9714583142833</v>
      </c>
      <c r="H1055" s="0" t="n">
        <v>105.631109222269</v>
      </c>
      <c r="I1055" s="0" t="n">
        <v>10.6596509079861</v>
      </c>
    </row>
    <row r="1056" customFormat="false" ht="13.8" hidden="false" customHeight="false" outlineLevel="0" collapsed="false">
      <c r="A1056" s="2" t="n">
        <v>40932</v>
      </c>
      <c r="B1056" s="0" t="n">
        <v>1314.65</v>
      </c>
      <c r="C1056" s="0" t="n">
        <v>256.61</v>
      </c>
      <c r="D1056" s="3" t="n">
        <f aca="false">B1056*100/B$2</f>
        <v>90.8434450924569</v>
      </c>
      <c r="E1056" s="3" t="n">
        <f aca="false">C1056*100/C$2</f>
        <v>109.05652358691</v>
      </c>
      <c r="F1056" s="0" t="n">
        <v>84.6989966555184</v>
      </c>
      <c r="G1056" s="0" t="n">
        <v>94.7235526303371</v>
      </c>
      <c r="H1056" s="0" t="n">
        <v>103.476413089673</v>
      </c>
      <c r="I1056" s="0" t="n">
        <v>8.75286045933569</v>
      </c>
    </row>
    <row r="1057" customFormat="false" ht="13.8" hidden="false" customHeight="false" outlineLevel="0" collapsed="false">
      <c r="A1057" s="2" t="n">
        <v>40933</v>
      </c>
      <c r="B1057" s="0" t="n">
        <v>1326.06</v>
      </c>
      <c r="C1057" s="0" t="n">
        <v>257.14</v>
      </c>
      <c r="D1057" s="3" t="n">
        <f aca="false">B1057*100/B$2</f>
        <v>91.6318859006606</v>
      </c>
      <c r="E1057" s="3" t="n">
        <f aca="false">C1057*100/C$2</f>
        <v>109.281767955801</v>
      </c>
      <c r="F1057" s="0" t="n">
        <v>83.737803698278</v>
      </c>
      <c r="G1057" s="0" t="n">
        <v>94.4024755294346</v>
      </c>
      <c r="H1057" s="0" t="n">
        <v>102.996175095623</v>
      </c>
      <c r="I1057" s="0" t="n">
        <v>8.59369956618797</v>
      </c>
    </row>
    <row r="1058" customFormat="false" ht="13.8" hidden="false" customHeight="false" outlineLevel="0" collapsed="false">
      <c r="A1058" s="2" t="n">
        <v>40934</v>
      </c>
      <c r="B1058" s="0" t="n">
        <v>1318.43</v>
      </c>
      <c r="C1058" s="0" t="n">
        <v>257.52</v>
      </c>
      <c r="D1058" s="3" t="n">
        <f aca="false">B1058*100/B$2</f>
        <v>91.1046463418005</v>
      </c>
      <c r="E1058" s="3" t="n">
        <f aca="false">C1058*100/C$2</f>
        <v>109.443263918402</v>
      </c>
      <c r="F1058" s="0" t="n">
        <v>84.0093700765637</v>
      </c>
      <c r="G1058" s="0" t="n">
        <v>94.4931896204876</v>
      </c>
      <c r="H1058" s="0" t="n">
        <v>100.603484912877</v>
      </c>
      <c r="I1058" s="0" t="n">
        <v>6.11029529238959</v>
      </c>
    </row>
    <row r="1059" customFormat="false" ht="13.8" hidden="false" customHeight="false" outlineLevel="0" collapsed="false">
      <c r="A1059" s="2" t="n">
        <v>40935</v>
      </c>
      <c r="B1059" s="0" t="n">
        <v>1316.33</v>
      </c>
      <c r="C1059" s="0" t="n">
        <v>258.65</v>
      </c>
      <c r="D1059" s="3" t="n">
        <f aca="false">B1059*100/B$2</f>
        <v>90.9595345366096</v>
      </c>
      <c r="E1059" s="3" t="n">
        <f aca="false">C1059*100/C$2</f>
        <v>109.923501912452</v>
      </c>
      <c r="F1059" s="0" t="n">
        <v>84.2795544376572</v>
      </c>
      <c r="G1059" s="0" t="n">
        <v>94.5834420622222</v>
      </c>
      <c r="H1059" s="0" t="n">
        <v>101.920951976201</v>
      </c>
      <c r="I1059" s="0" t="n">
        <v>7.33750991397838</v>
      </c>
    </row>
    <row r="1060" customFormat="false" ht="13.8" hidden="false" customHeight="false" outlineLevel="0" collapsed="false">
      <c r="A1060" s="2" t="n">
        <v>40938</v>
      </c>
      <c r="B1060" s="0" t="n">
        <v>1313.01</v>
      </c>
      <c r="C1060" s="0" t="n">
        <v>255.21</v>
      </c>
      <c r="D1060" s="3" t="n">
        <f aca="false">B1060*100/B$2</f>
        <v>90.7301196826889</v>
      </c>
      <c r="E1060" s="3" t="n">
        <f aca="false">C1060*100/C$2</f>
        <v>108.461538461538</v>
      </c>
      <c r="F1060" s="0" t="n">
        <v>83.2907211365709</v>
      </c>
      <c r="G1060" s="0" t="n">
        <v>94.253131974953</v>
      </c>
      <c r="H1060" s="0" t="n">
        <v>98.4870378240544</v>
      </c>
      <c r="I1060" s="0" t="n">
        <v>4.23390584910135</v>
      </c>
    </row>
    <row r="1061" customFormat="false" ht="13.8" hidden="false" customHeight="false" outlineLevel="0" collapsed="false">
      <c r="A1061" s="2" t="n">
        <v>40939</v>
      </c>
      <c r="B1061" s="0" t="n">
        <v>1312.41</v>
      </c>
      <c r="C1061" s="0" t="n">
        <v>256.9</v>
      </c>
      <c r="D1061" s="3" t="n">
        <f aca="false">B1061*100/B$2</f>
        <v>90.68865916692</v>
      </c>
      <c r="E1061" s="3" t="n">
        <f aca="false">C1061*100/C$2</f>
        <v>109.179770505737</v>
      </c>
      <c r="F1061" s="0" t="n">
        <v>85.7748970397192</v>
      </c>
      <c r="G1061" s="0" t="n">
        <v>95.0829466246613</v>
      </c>
      <c r="H1061" s="0" t="n">
        <v>99.3752656183595</v>
      </c>
      <c r="I1061" s="0" t="n">
        <v>4.2923189936982</v>
      </c>
    </row>
    <row r="1062" customFormat="false" ht="13.8" hidden="false" customHeight="false" outlineLevel="0" collapsed="false">
      <c r="A1062" s="2" t="n">
        <v>40940</v>
      </c>
      <c r="B1062" s="0" t="n">
        <v>1324.09</v>
      </c>
      <c r="C1062" s="0" t="n">
        <v>257.06</v>
      </c>
      <c r="D1062" s="3" t="n">
        <f aca="false">B1062*100/B$2</f>
        <v>91.4957572072197</v>
      </c>
      <c r="E1062" s="3" t="n">
        <f aca="false">C1062*100/C$2</f>
        <v>109.24776880578</v>
      </c>
      <c r="F1062" s="0" t="n">
        <v>85.9421211199867</v>
      </c>
      <c r="G1062" s="0" t="n">
        <v>95.13880619218</v>
      </c>
      <c r="H1062" s="0" t="n">
        <v>102.639184020399</v>
      </c>
      <c r="I1062" s="0" t="n">
        <v>7.50037782821953</v>
      </c>
    </row>
    <row r="1063" customFormat="false" ht="13.8" hidden="false" customHeight="false" outlineLevel="0" collapsed="false">
      <c r="A1063" s="2" t="n">
        <v>40941</v>
      </c>
      <c r="B1063" s="0" t="n">
        <v>1325.54</v>
      </c>
      <c r="C1063" s="0" t="n">
        <v>260.35</v>
      </c>
      <c r="D1063" s="3" t="n">
        <f aca="false">B1063*100/B$2</f>
        <v>91.595953453661</v>
      </c>
      <c r="E1063" s="3" t="n">
        <f aca="false">C1063*100/C$2</f>
        <v>110.645983850404</v>
      </c>
      <c r="F1063" s="0" t="n">
        <v>86.6524779568258</v>
      </c>
      <c r="G1063" s="0" t="n">
        <v>95.3760939418045</v>
      </c>
      <c r="H1063" s="0" t="n">
        <v>102.59243518912</v>
      </c>
      <c r="I1063" s="0" t="n">
        <v>7.2163412473158</v>
      </c>
    </row>
    <row r="1064" customFormat="false" ht="13.8" hidden="false" customHeight="false" outlineLevel="0" collapsed="false">
      <c r="A1064" s="2" t="n">
        <v>40942</v>
      </c>
      <c r="B1064" s="0" t="n">
        <v>1344.9</v>
      </c>
      <c r="C1064" s="0" t="n">
        <v>258.53</v>
      </c>
      <c r="D1064" s="3" t="n">
        <f aca="false">B1064*100/B$2</f>
        <v>92.9337460958014</v>
      </c>
      <c r="E1064" s="3" t="n">
        <f aca="false">C1064*100/C$2</f>
        <v>109.87250318742</v>
      </c>
      <c r="F1064" s="0" t="n">
        <v>87.4353906962603</v>
      </c>
      <c r="G1064" s="0" t="n">
        <v>95.6376182806416</v>
      </c>
      <c r="H1064" s="0" t="n">
        <v>103.790905227369</v>
      </c>
      <c r="I1064" s="0" t="n">
        <v>8.15328694672772</v>
      </c>
    </row>
    <row r="1065" customFormat="false" ht="13.8" hidden="false" customHeight="false" outlineLevel="0" collapsed="false">
      <c r="A1065" s="2" t="n">
        <v>40945</v>
      </c>
      <c r="B1065" s="0" t="n">
        <v>1344.33</v>
      </c>
      <c r="C1065" s="0" t="n">
        <v>258.93</v>
      </c>
      <c r="D1065" s="3" t="n">
        <f aca="false">B1065*100/B$2</f>
        <v>92.8943586058211</v>
      </c>
      <c r="E1065" s="3" t="n">
        <f aca="false">C1065*100/C$2</f>
        <v>110.042498937527</v>
      </c>
      <c r="F1065" s="0" t="n">
        <v>87.4353906962603</v>
      </c>
      <c r="G1065" s="0" t="n">
        <v>95.6376182806416</v>
      </c>
      <c r="H1065" s="0" t="n">
        <v>103.11942201445</v>
      </c>
      <c r="I1065" s="0" t="n">
        <v>7.48180373380805</v>
      </c>
    </row>
    <row r="1066" customFormat="false" ht="13.8" hidden="false" customHeight="false" outlineLevel="0" collapsed="false">
      <c r="A1066" s="2" t="n">
        <v>40946</v>
      </c>
      <c r="B1066" s="0" t="n">
        <v>1347.05</v>
      </c>
      <c r="C1066" s="0" t="n">
        <v>259.8</v>
      </c>
      <c r="D1066" s="3" t="n">
        <f aca="false">B1066*100/B$2</f>
        <v>93.082312943973</v>
      </c>
      <c r="E1066" s="3" t="n">
        <f aca="false">C1066*100/C$2</f>
        <v>110.412239694008</v>
      </c>
      <c r="F1066" s="0" t="n">
        <v>87.4423007822217</v>
      </c>
      <c r="G1066" s="0" t="n">
        <v>95.6399265272333</v>
      </c>
      <c r="H1066" s="0" t="n">
        <v>102.333191670208</v>
      </c>
      <c r="I1066" s="0" t="n">
        <v>6.69326514297497</v>
      </c>
    </row>
    <row r="1067" customFormat="false" ht="13.8" hidden="false" customHeight="false" outlineLevel="0" collapsed="false">
      <c r="A1067" s="2" t="n">
        <v>40947</v>
      </c>
      <c r="B1067" s="0" t="n">
        <v>1349.96</v>
      </c>
      <c r="C1067" s="0" t="n">
        <v>262.94</v>
      </c>
      <c r="D1067" s="3" t="n">
        <f aca="false">B1067*100/B$2</f>
        <v>93.2833964454518</v>
      </c>
      <c r="E1067" s="3" t="n">
        <f aca="false">C1067*100/C$2</f>
        <v>111.746706332342</v>
      </c>
      <c r="F1067" s="0" t="n">
        <v>86.3511982089057</v>
      </c>
      <c r="G1067" s="0" t="n">
        <v>95.2754543904073</v>
      </c>
      <c r="H1067" s="0" t="n">
        <v>101.211219719507</v>
      </c>
      <c r="I1067" s="0" t="n">
        <v>5.93576532909971</v>
      </c>
    </row>
    <row r="1068" customFormat="false" ht="13.8" hidden="false" customHeight="false" outlineLevel="0" collapsed="false">
      <c r="A1068" s="2" t="n">
        <v>40948</v>
      </c>
      <c r="B1068" s="0" t="n">
        <v>1351.95</v>
      </c>
      <c r="C1068" s="0" t="n">
        <v>264.5</v>
      </c>
      <c r="D1068" s="3" t="n">
        <f aca="false">B1068*100/B$2</f>
        <v>93.420907156085</v>
      </c>
      <c r="E1068" s="3" t="n">
        <f aca="false">C1068*100/C$2</f>
        <v>112.409689757756</v>
      </c>
      <c r="F1068" s="0" t="n">
        <v>87.2757677105503</v>
      </c>
      <c r="G1068" s="0" t="n">
        <v>95.5842977843738</v>
      </c>
      <c r="H1068" s="0" t="n">
        <v>101.181470463238</v>
      </c>
      <c r="I1068" s="0" t="n">
        <v>5.59717267886458</v>
      </c>
    </row>
    <row r="1069" customFormat="false" ht="13.8" hidden="false" customHeight="false" outlineLevel="0" collapsed="false">
      <c r="A1069" s="2" t="n">
        <v>40949</v>
      </c>
      <c r="B1069" s="0" t="n">
        <v>1342.64</v>
      </c>
      <c r="C1069" s="0" t="n">
        <v>261.17</v>
      </c>
      <c r="D1069" s="3" t="n">
        <f aca="false">B1069*100/B$2</f>
        <v>92.7775781530722</v>
      </c>
      <c r="E1069" s="3" t="n">
        <f aca="false">C1069*100/C$2</f>
        <v>110.994475138122</v>
      </c>
      <c r="F1069" s="0" t="n">
        <v>86.9012410514387</v>
      </c>
      <c r="G1069" s="0" t="n">
        <v>95.4591908191049</v>
      </c>
      <c r="H1069" s="0" t="n">
        <v>101.181470463238</v>
      </c>
      <c r="I1069" s="0" t="n">
        <v>5.72227964413354</v>
      </c>
    </row>
    <row r="1070" customFormat="false" ht="13.8" hidden="false" customHeight="false" outlineLevel="0" collapsed="false">
      <c r="A1070" s="2" t="n">
        <v>40952</v>
      </c>
      <c r="B1070" s="0" t="n">
        <v>1351.77</v>
      </c>
      <c r="C1070" s="0" t="n">
        <v>262.75</v>
      </c>
      <c r="D1070" s="3" t="n">
        <f aca="false">B1070*100/B$2</f>
        <v>93.4084690013544</v>
      </c>
      <c r="E1070" s="3" t="n">
        <f aca="false">C1070*100/C$2</f>
        <v>111.665958351041</v>
      </c>
      <c r="F1070" s="0" t="n">
        <v>86.9012410514387</v>
      </c>
      <c r="G1070" s="0" t="n">
        <v>95.4591908191049</v>
      </c>
      <c r="H1070" s="0" t="n">
        <v>101.444963875903</v>
      </c>
      <c r="I1070" s="0" t="n">
        <v>5.98577305679822</v>
      </c>
    </row>
    <row r="1071" customFormat="false" ht="13.8" hidden="false" customHeight="false" outlineLevel="0" collapsed="false">
      <c r="A1071" s="2" t="n">
        <v>40953</v>
      </c>
      <c r="B1071" s="0" t="n">
        <v>1350.5</v>
      </c>
      <c r="C1071" s="0" t="n">
        <v>262.38</v>
      </c>
      <c r="D1071" s="3" t="n">
        <f aca="false">B1071*100/B$2</f>
        <v>93.3207109096437</v>
      </c>
      <c r="E1071" s="3" t="n">
        <f aca="false">C1071*100/C$2</f>
        <v>111.508712282193</v>
      </c>
      <c r="F1071" s="0" t="n">
        <v>88.2459437795406</v>
      </c>
      <c r="G1071" s="0" t="n">
        <v>95.9083756058454</v>
      </c>
      <c r="H1071" s="0" t="n">
        <v>104.470888227794</v>
      </c>
      <c r="I1071" s="0" t="n">
        <v>8.56251262194887</v>
      </c>
    </row>
    <row r="1072" customFormat="false" ht="13.8" hidden="false" customHeight="false" outlineLevel="0" collapsed="false">
      <c r="A1072" s="2" t="n">
        <v>40954</v>
      </c>
      <c r="B1072" s="0" t="n">
        <v>1343.23</v>
      </c>
      <c r="C1072" s="0" t="n">
        <v>265.88</v>
      </c>
      <c r="D1072" s="3" t="n">
        <f aca="false">B1072*100/B$2</f>
        <v>92.8183476602449</v>
      </c>
      <c r="E1072" s="3" t="n">
        <f aca="false">C1072*100/C$2</f>
        <v>112.996175095623</v>
      </c>
      <c r="F1072" s="0" t="n">
        <v>88.2625279858481</v>
      </c>
      <c r="G1072" s="0" t="n">
        <v>95.9139153976655</v>
      </c>
      <c r="H1072" s="0" t="n">
        <v>103.799405014875</v>
      </c>
      <c r="I1072" s="0" t="n">
        <v>7.88548961720916</v>
      </c>
    </row>
    <row r="1073" customFormat="false" ht="13.8" hidden="false" customHeight="false" outlineLevel="0" collapsed="false">
      <c r="A1073" s="2" t="n">
        <v>40955</v>
      </c>
      <c r="B1073" s="0" t="n">
        <v>1358.04</v>
      </c>
      <c r="C1073" s="0" t="n">
        <v>261.89</v>
      </c>
      <c r="D1073" s="3" t="n">
        <f aca="false">B1073*100/B$2</f>
        <v>93.8417313911385</v>
      </c>
      <c r="E1073" s="3" t="n">
        <f aca="false">C1073*100/C$2</f>
        <v>111.300467488313</v>
      </c>
      <c r="F1073" s="0" t="n">
        <v>88.5223472179994</v>
      </c>
      <c r="G1073" s="0" t="n">
        <v>96.0007054695125</v>
      </c>
      <c r="H1073" s="0" t="n">
        <v>103.510412239694</v>
      </c>
      <c r="I1073" s="0" t="n">
        <v>7.50970677018145</v>
      </c>
    </row>
    <row r="1074" customFormat="false" ht="13.8" hidden="false" customHeight="false" outlineLevel="0" collapsed="false">
      <c r="A1074" s="2" t="n">
        <v>40956</v>
      </c>
      <c r="B1074" s="0" t="n">
        <v>1361.23</v>
      </c>
      <c r="C1074" s="0" t="n">
        <v>265.82</v>
      </c>
      <c r="D1074" s="3" t="n">
        <f aca="false">B1074*100/B$2</f>
        <v>94.0621631333094</v>
      </c>
      <c r="E1074" s="3" t="n">
        <f aca="false">C1074*100/C$2</f>
        <v>112.970675733107</v>
      </c>
      <c r="F1074" s="0" t="n">
        <v>88.2977694242516</v>
      </c>
      <c r="G1074" s="0" t="n">
        <v>95.925687455283</v>
      </c>
      <c r="H1074" s="0" t="n">
        <v>102.23969400765</v>
      </c>
      <c r="I1074" s="0" t="n">
        <v>6.31400655236678</v>
      </c>
    </row>
    <row r="1075" customFormat="false" ht="13.8" hidden="false" customHeight="false" outlineLevel="0" collapsed="false">
      <c r="A1075" s="2" t="n">
        <v>40959</v>
      </c>
      <c r="B1075" s="0" t="n">
        <v>1361.23</v>
      </c>
      <c r="C1075" s="0" t="n">
        <v>265.95</v>
      </c>
      <c r="D1075" s="3" t="n">
        <f aca="false">B1075*100/B$2</f>
        <v>94.0621631333094</v>
      </c>
      <c r="E1075" s="3" t="n">
        <f aca="false">C1075*100/C$2</f>
        <v>113.025924351891</v>
      </c>
      <c r="F1075" s="0" t="n">
        <v>88.4974709085381</v>
      </c>
      <c r="G1075" s="0" t="n">
        <v>95.9923957817825</v>
      </c>
      <c r="H1075" s="0" t="n">
        <v>101.155971100722</v>
      </c>
      <c r="I1075" s="0" t="n">
        <v>5.16357531893996</v>
      </c>
    </row>
    <row r="1076" customFormat="false" ht="13.8" hidden="false" customHeight="false" outlineLevel="0" collapsed="false">
      <c r="A1076" s="2" t="n">
        <v>40960</v>
      </c>
      <c r="B1076" s="0" t="n">
        <v>1362.21</v>
      </c>
      <c r="C1076" s="0" t="n">
        <v>265.89</v>
      </c>
      <c r="D1076" s="3" t="n">
        <f aca="false">B1076*100/B$2</f>
        <v>94.1298819757318</v>
      </c>
      <c r="E1076" s="3" t="n">
        <f aca="false">C1076*100/C$2</f>
        <v>113.000424989375</v>
      </c>
      <c r="F1076" s="0" t="n">
        <v>89.2838386909533</v>
      </c>
      <c r="G1076" s="0" t="n">
        <v>96.2550742439155</v>
      </c>
      <c r="H1076" s="0" t="n">
        <v>102.715682107947</v>
      </c>
      <c r="I1076" s="0" t="n">
        <v>6.46060786403181</v>
      </c>
    </row>
    <row r="1077" customFormat="false" ht="13.8" hidden="false" customHeight="false" outlineLevel="0" collapsed="false">
      <c r="A1077" s="2" t="n">
        <v>40961</v>
      </c>
      <c r="B1077" s="0" t="n">
        <v>1357.66</v>
      </c>
      <c r="C1077" s="0" t="n">
        <v>266.63</v>
      </c>
      <c r="D1077" s="3" t="n">
        <f aca="false">B1077*100/B$2</f>
        <v>93.8154730644849</v>
      </c>
      <c r="E1077" s="3" t="n">
        <f aca="false">C1077*100/C$2</f>
        <v>113.314917127072</v>
      </c>
      <c r="F1077" s="0" t="n">
        <v>89.3114790347992</v>
      </c>
      <c r="G1077" s="0" t="n">
        <v>96.2643072302822</v>
      </c>
      <c r="H1077" s="0" t="n">
        <v>102.350191245219</v>
      </c>
      <c r="I1077" s="0" t="n">
        <v>6.08588401493665</v>
      </c>
    </row>
    <row r="1078" customFormat="false" ht="13.8" hidden="false" customHeight="false" outlineLevel="0" collapsed="false">
      <c r="A1078" s="2" t="n">
        <v>40962</v>
      </c>
      <c r="B1078" s="0" t="n">
        <v>1363.46</v>
      </c>
      <c r="C1078" s="0" t="n">
        <v>263.58</v>
      </c>
      <c r="D1078" s="3" t="n">
        <f aca="false">B1078*100/B$2</f>
        <v>94.2162580502501</v>
      </c>
      <c r="E1078" s="3" t="n">
        <f aca="false">C1078*100/C$2</f>
        <v>112.018699532512</v>
      </c>
      <c r="F1078" s="0" t="n">
        <v>89.5201636308356</v>
      </c>
      <c r="G1078" s="0" t="n">
        <v>96.3340162773509</v>
      </c>
      <c r="H1078" s="0" t="n">
        <v>103.467913302167</v>
      </c>
      <c r="I1078" s="0" t="n">
        <v>7.13389702481656</v>
      </c>
    </row>
    <row r="1079" customFormat="false" ht="13.8" hidden="false" customHeight="false" outlineLevel="0" collapsed="false">
      <c r="A1079" s="2" t="n">
        <v>40963</v>
      </c>
      <c r="B1079" s="0" t="n">
        <v>1365.74</v>
      </c>
      <c r="C1079" s="0" t="n">
        <v>265.2</v>
      </c>
      <c r="D1079" s="3" t="n">
        <f aca="false">B1079*100/B$2</f>
        <v>94.3738080101717</v>
      </c>
      <c r="E1079" s="3" t="n">
        <f aca="false">C1079*100/C$2</f>
        <v>112.707182320442</v>
      </c>
      <c r="F1079" s="0" t="n">
        <v>89.0772271207054</v>
      </c>
      <c r="G1079" s="0" t="n">
        <v>96.1860576708243</v>
      </c>
      <c r="H1079" s="0" t="n">
        <v>104.241393965151</v>
      </c>
      <c r="I1079" s="0" t="n">
        <v>8.05533629432655</v>
      </c>
    </row>
    <row r="1080" customFormat="false" ht="13.8" hidden="false" customHeight="false" outlineLevel="0" collapsed="false">
      <c r="A1080" s="2" t="n">
        <v>40966</v>
      </c>
      <c r="B1080" s="0" t="n">
        <v>1367.59</v>
      </c>
      <c r="C1080" s="0" t="n">
        <v>261.3</v>
      </c>
      <c r="D1080" s="3" t="n">
        <f aca="false">B1080*100/B$2</f>
        <v>94.5016446004588</v>
      </c>
      <c r="E1080" s="3" t="n">
        <f aca="false">C1080*100/C$2</f>
        <v>111.049723756906</v>
      </c>
      <c r="F1080" s="0" t="n">
        <v>89.0772271207054</v>
      </c>
      <c r="G1080" s="0" t="n">
        <v>96.1860576708243</v>
      </c>
      <c r="H1080" s="0" t="n">
        <v>103.314917127072</v>
      </c>
      <c r="I1080" s="0" t="n">
        <v>7.12885945624751</v>
      </c>
    </row>
    <row r="1081" customFormat="false" ht="13.8" hidden="false" customHeight="false" outlineLevel="0" collapsed="false">
      <c r="A1081" s="2" t="n">
        <v>40967</v>
      </c>
      <c r="B1081" s="0" t="n">
        <v>1372.18</v>
      </c>
      <c r="C1081" s="0" t="n">
        <v>263.45</v>
      </c>
      <c r="D1081" s="3" t="n">
        <f aca="false">B1081*100/B$2</f>
        <v>94.8188175460903</v>
      </c>
      <c r="E1081" s="3" t="n">
        <f aca="false">C1081*100/C$2</f>
        <v>111.963450913727</v>
      </c>
      <c r="F1081" s="0" t="n">
        <v>89.3937090577407</v>
      </c>
      <c r="G1081" s="0" t="n">
        <v>96.2917753647232</v>
      </c>
      <c r="H1081" s="0" t="n">
        <v>105.316617084573</v>
      </c>
      <c r="I1081" s="0" t="n">
        <v>9.0248417198497</v>
      </c>
    </row>
    <row r="1082" customFormat="false" ht="13.8" hidden="false" customHeight="false" outlineLevel="0" collapsed="false">
      <c r="A1082" s="2" t="n">
        <v>40968</v>
      </c>
      <c r="B1082" s="0" t="n">
        <v>1365.68</v>
      </c>
      <c r="C1082" s="0" t="n">
        <v>267.13</v>
      </c>
      <c r="D1082" s="3" t="n">
        <f aca="false">B1082*100/B$2</f>
        <v>94.3696619585948</v>
      </c>
      <c r="E1082" s="3" t="n">
        <f aca="false">C1082*100/C$2</f>
        <v>113.527411814705</v>
      </c>
      <c r="F1082" s="0" t="n">
        <v>90.3866884104038</v>
      </c>
      <c r="G1082" s="0" t="n">
        <v>96.6234703999473</v>
      </c>
      <c r="H1082" s="0" t="n">
        <v>105.320866978326</v>
      </c>
      <c r="I1082" s="0" t="n">
        <v>8.69739657837822</v>
      </c>
    </row>
    <row r="1083" customFormat="false" ht="13.8" hidden="false" customHeight="false" outlineLevel="0" collapsed="false">
      <c r="A1083" s="2" t="n">
        <v>40969</v>
      </c>
      <c r="B1083" s="0" t="n">
        <v>1374.09</v>
      </c>
      <c r="C1083" s="0" t="n">
        <v>267.13</v>
      </c>
      <c r="D1083" s="3" t="n">
        <f aca="false">B1083*100/B$2</f>
        <v>94.9508001879543</v>
      </c>
      <c r="E1083" s="3" t="n">
        <f aca="false">C1083*100/C$2</f>
        <v>113.527411814705</v>
      </c>
      <c r="F1083" s="0" t="n">
        <v>90.8330799635147</v>
      </c>
      <c r="G1083" s="0" t="n">
        <v>96.7725831297697</v>
      </c>
      <c r="H1083" s="0" t="n">
        <v>106.787080322992</v>
      </c>
      <c r="I1083" s="0" t="n">
        <v>10.0144971932222</v>
      </c>
    </row>
    <row r="1084" customFormat="false" ht="13.8" hidden="false" customHeight="false" outlineLevel="0" collapsed="false">
      <c r="A1084" s="2" t="n">
        <v>40970</v>
      </c>
      <c r="B1084" s="0" t="n">
        <v>1369.63</v>
      </c>
      <c r="C1084" s="0" t="n">
        <v>267.45</v>
      </c>
      <c r="D1084" s="3" t="n">
        <f aca="false">B1084*100/B$2</f>
        <v>94.6426103540728</v>
      </c>
      <c r="E1084" s="3" t="n">
        <f aca="false">C1084*100/C$2</f>
        <v>113.66340841479</v>
      </c>
      <c r="F1084" s="0" t="n">
        <v>90.8938887199757</v>
      </c>
      <c r="G1084" s="0" t="n">
        <v>96.7928956997765</v>
      </c>
      <c r="H1084" s="0" t="n">
        <v>109.05652358691</v>
      </c>
      <c r="I1084" s="0" t="n">
        <v>12.2636278871338</v>
      </c>
    </row>
    <row r="1085" customFormat="false" ht="13.8" hidden="false" customHeight="false" outlineLevel="0" collapsed="false">
      <c r="A1085" s="2" t="n">
        <v>40973</v>
      </c>
      <c r="B1085" s="0" t="n">
        <v>1364.33</v>
      </c>
      <c r="C1085" s="0" t="n">
        <v>264.75</v>
      </c>
      <c r="D1085" s="3" t="n">
        <f aca="false">B1085*100/B$2</f>
        <v>94.2763757981149</v>
      </c>
      <c r="E1085" s="3" t="n">
        <f aca="false">C1085*100/C$2</f>
        <v>112.515937101572</v>
      </c>
      <c r="F1085" s="0" t="n">
        <v>90.9367312529368</v>
      </c>
      <c r="G1085" s="0" t="n">
        <v>96.8072068286449</v>
      </c>
      <c r="H1085" s="0" t="n">
        <v>109.05652358691</v>
      </c>
      <c r="I1085" s="0" t="n">
        <v>12.2493167582654</v>
      </c>
    </row>
    <row r="1086" customFormat="false" ht="13.8" hidden="false" customHeight="false" outlineLevel="0" collapsed="false">
      <c r="A1086" s="2" t="n">
        <v>40974</v>
      </c>
      <c r="B1086" s="0" t="n">
        <v>1343.36</v>
      </c>
      <c r="C1086" s="0" t="n">
        <v>262.85</v>
      </c>
      <c r="D1086" s="3" t="n">
        <f aca="false">B1086*100/B$2</f>
        <v>92.8273307719948</v>
      </c>
      <c r="E1086" s="3" t="n">
        <f aca="false">C1086*100/C$2</f>
        <v>111.708457288568</v>
      </c>
      <c r="F1086" s="0" t="n">
        <v>90.8434450924569</v>
      </c>
      <c r="G1086" s="0" t="n">
        <v>96.7760454996573</v>
      </c>
      <c r="H1086" s="0" t="n">
        <v>109.05652358691</v>
      </c>
      <c r="I1086" s="0" t="n">
        <v>12.2804780872531</v>
      </c>
    </row>
    <row r="1087" customFormat="false" ht="13.8" hidden="false" customHeight="false" outlineLevel="0" collapsed="false">
      <c r="A1087" s="2" t="n">
        <v>40975</v>
      </c>
      <c r="B1087" s="0" t="n">
        <v>1352.63</v>
      </c>
      <c r="C1087" s="0" t="n">
        <v>260.35</v>
      </c>
      <c r="D1087" s="3" t="n">
        <f aca="false">B1087*100/B$2</f>
        <v>93.467895740623</v>
      </c>
      <c r="E1087" s="3" t="n">
        <f aca="false">C1087*100/C$2</f>
        <v>110.645983850404</v>
      </c>
      <c r="F1087" s="0" t="n">
        <v>91.6318859006606</v>
      </c>
      <c r="G1087" s="0" t="n">
        <v>97.0394164357677</v>
      </c>
      <c r="H1087" s="0" t="n">
        <v>109.281767955801</v>
      </c>
      <c r="I1087" s="0" t="n">
        <v>12.2423515200334</v>
      </c>
    </row>
    <row r="1088" customFormat="false" ht="13.8" hidden="false" customHeight="false" outlineLevel="0" collapsed="false">
      <c r="A1088" s="2" t="n">
        <v>40976</v>
      </c>
      <c r="B1088" s="0" t="n">
        <v>1365.91</v>
      </c>
      <c r="C1088" s="0" t="n">
        <v>262.85</v>
      </c>
      <c r="D1088" s="3" t="n">
        <f aca="false">B1088*100/B$2</f>
        <v>94.3855551563062</v>
      </c>
      <c r="E1088" s="3" t="n">
        <f aca="false">C1088*100/C$2</f>
        <v>111.708457288568</v>
      </c>
      <c r="F1088" s="0" t="n">
        <v>91.1046463418005</v>
      </c>
      <c r="G1088" s="0" t="n">
        <v>96.8632972208227</v>
      </c>
      <c r="H1088" s="0" t="n">
        <v>109.443263918402</v>
      </c>
      <c r="I1088" s="0" t="n">
        <v>12.5799666975794</v>
      </c>
    </row>
    <row r="1089" customFormat="false" ht="13.8" hidden="false" customHeight="false" outlineLevel="0" collapsed="false">
      <c r="A1089" s="2" t="n">
        <v>40977</v>
      </c>
      <c r="B1089" s="0" t="n">
        <v>1370.87</v>
      </c>
      <c r="C1089" s="0" t="n">
        <v>265.62</v>
      </c>
      <c r="D1089" s="3" t="n">
        <f aca="false">B1089*100/B$2</f>
        <v>94.728295419995</v>
      </c>
      <c r="E1089" s="3" t="n">
        <f aca="false">C1089*100/C$2</f>
        <v>112.885677858054</v>
      </c>
      <c r="F1089" s="0" t="n">
        <v>90.9595345366096</v>
      </c>
      <c r="G1089" s="0" t="n">
        <v>96.8148240423974</v>
      </c>
      <c r="H1089" s="0" t="n">
        <v>109.923501912452</v>
      </c>
      <c r="I1089" s="0" t="n">
        <v>13.1086778700547</v>
      </c>
    </row>
    <row r="1090" customFormat="false" ht="13.8" hidden="false" customHeight="false" outlineLevel="0" collapsed="false">
      <c r="A1090" s="2" t="n">
        <v>40980</v>
      </c>
      <c r="B1090" s="0" t="n">
        <v>1371.09</v>
      </c>
      <c r="C1090" s="0" t="n">
        <v>263.74</v>
      </c>
      <c r="D1090" s="3" t="n">
        <f aca="false">B1090*100/B$2</f>
        <v>94.7434976091103</v>
      </c>
      <c r="E1090" s="3" t="n">
        <f aca="false">C1090*100/C$2</f>
        <v>112.086697832554</v>
      </c>
      <c r="F1090" s="0" t="n">
        <v>90.7301196826889</v>
      </c>
      <c r="G1090" s="0" t="n">
        <v>96.7381902555537</v>
      </c>
      <c r="H1090" s="0" t="n">
        <v>108.461538461538</v>
      </c>
      <c r="I1090" s="0" t="n">
        <v>11.7233482059847</v>
      </c>
    </row>
    <row r="1091" customFormat="false" ht="13.8" hidden="false" customHeight="false" outlineLevel="0" collapsed="false">
      <c r="A1091" s="2" t="n">
        <v>40981</v>
      </c>
      <c r="B1091" s="0" t="n">
        <v>1395.95</v>
      </c>
      <c r="C1091" s="0" t="n">
        <v>266.9</v>
      </c>
      <c r="D1091" s="3" t="n">
        <f aca="false">B1091*100/B$2</f>
        <v>96.4613449791315</v>
      </c>
      <c r="E1091" s="3" t="n">
        <f aca="false">C1091*100/C$2</f>
        <v>113.429664258394</v>
      </c>
      <c r="F1091" s="0" t="n">
        <v>90.68865916692</v>
      </c>
      <c r="G1091" s="0" t="n">
        <v>96.7243407760037</v>
      </c>
      <c r="H1091" s="0" t="n">
        <v>109.179770505737</v>
      </c>
      <c r="I1091" s="0" t="n">
        <v>12.4554297297337</v>
      </c>
    </row>
    <row r="1092" customFormat="false" ht="13.8" hidden="false" customHeight="false" outlineLevel="0" collapsed="false">
      <c r="A1092" s="2" t="n">
        <v>40982</v>
      </c>
      <c r="B1092" s="0" t="n">
        <v>1394.28</v>
      </c>
      <c r="C1092" s="0" t="n">
        <v>269.85</v>
      </c>
      <c r="D1092" s="3" t="n">
        <f aca="false">B1092*100/B$2</f>
        <v>96.345946543575</v>
      </c>
      <c r="E1092" s="3" t="n">
        <f aca="false">C1092*100/C$2</f>
        <v>114.683382915427</v>
      </c>
      <c r="F1092" s="0" t="n">
        <v>91.4957572072197</v>
      </c>
      <c r="G1092" s="0" t="n">
        <v>96.9939439779117</v>
      </c>
      <c r="H1092" s="0" t="n">
        <v>109.24776880578</v>
      </c>
      <c r="I1092" s="0" t="n">
        <v>12.2538248278682</v>
      </c>
    </row>
    <row r="1093" customFormat="false" ht="13.8" hidden="false" customHeight="false" outlineLevel="0" collapsed="false">
      <c r="A1093" s="2" t="n">
        <v>40983</v>
      </c>
      <c r="B1093" s="0" t="n">
        <v>1402.6</v>
      </c>
      <c r="C1093" s="0" t="n">
        <v>269.76</v>
      </c>
      <c r="D1093" s="3" t="n">
        <f aca="false">B1093*100/B$2</f>
        <v>96.9208656955692</v>
      </c>
      <c r="E1093" s="3" t="n">
        <f aca="false">C1093*100/C$2</f>
        <v>114.645133871653</v>
      </c>
      <c r="F1093" s="0" t="n">
        <v>91.595953453661</v>
      </c>
      <c r="G1093" s="0" t="n">
        <v>97.027413553491</v>
      </c>
      <c r="H1093" s="0" t="n">
        <v>110.645983850404</v>
      </c>
      <c r="I1093" s="0" t="n">
        <v>13.6185702969128</v>
      </c>
    </row>
    <row r="1094" customFormat="false" ht="13.8" hidden="false" customHeight="false" outlineLevel="0" collapsed="false">
      <c r="A1094" s="2" t="n">
        <v>40984</v>
      </c>
      <c r="B1094" s="0" t="n">
        <v>1404.17</v>
      </c>
      <c r="C1094" s="0" t="n">
        <v>268.27</v>
      </c>
      <c r="D1094" s="3" t="n">
        <f aca="false">B1094*100/B$2</f>
        <v>97.0293540451643</v>
      </c>
      <c r="E1094" s="3" t="n">
        <f aca="false">C1094*100/C$2</f>
        <v>114.011899702507</v>
      </c>
      <c r="F1094" s="0" t="n">
        <v>92.9337460958014</v>
      </c>
      <c r="G1094" s="0" t="n">
        <v>97.4742900936399</v>
      </c>
      <c r="H1094" s="0" t="n">
        <v>109.87250318742</v>
      </c>
      <c r="I1094" s="0" t="n">
        <v>12.3982130937804</v>
      </c>
    </row>
    <row r="1095" customFormat="false" ht="13.8" hidden="false" customHeight="false" outlineLevel="0" collapsed="false">
      <c r="A1095" s="2" t="n">
        <v>40987</v>
      </c>
      <c r="B1095" s="0" t="n">
        <v>1409.75</v>
      </c>
      <c r="C1095" s="0" t="n">
        <v>270.27</v>
      </c>
      <c r="D1095" s="3" t="n">
        <f aca="false">B1095*100/B$2</f>
        <v>97.4149368418143</v>
      </c>
      <c r="E1095" s="3" t="n">
        <f aca="false">C1095*100/C$2</f>
        <v>114.861878453039</v>
      </c>
      <c r="F1095" s="0" t="n">
        <v>92.8943586058211</v>
      </c>
      <c r="G1095" s="0" t="n">
        <v>97.4611330880673</v>
      </c>
      <c r="H1095" s="0" t="n">
        <v>110.042498937527</v>
      </c>
      <c r="I1095" s="0" t="n">
        <v>12.5813658494592</v>
      </c>
    </row>
    <row r="1096" customFormat="false" ht="13.8" hidden="false" customHeight="false" outlineLevel="0" collapsed="false">
      <c r="A1096" s="2" t="n">
        <v>40988</v>
      </c>
      <c r="B1096" s="0" t="n">
        <v>1405.52</v>
      </c>
      <c r="C1096" s="0" t="n">
        <v>269.68</v>
      </c>
      <c r="D1096" s="3" t="n">
        <f aca="false">B1096*100/B$2</f>
        <v>97.1226402056442</v>
      </c>
      <c r="E1096" s="3" t="n">
        <f aca="false">C1096*100/C$2</f>
        <v>114.611134721632</v>
      </c>
      <c r="F1096" s="0" t="n">
        <v>93.082312943973</v>
      </c>
      <c r="G1096" s="0" t="n">
        <v>97.523917395361</v>
      </c>
      <c r="H1096" s="0" t="n">
        <v>110.412239694008</v>
      </c>
      <c r="I1096" s="0" t="n">
        <v>12.8883222986467</v>
      </c>
    </row>
    <row r="1097" customFormat="false" ht="13.8" hidden="false" customHeight="false" outlineLevel="0" collapsed="false">
      <c r="A1097" s="2" t="n">
        <v>40989</v>
      </c>
      <c r="B1097" s="0" t="n">
        <v>1402.89</v>
      </c>
      <c r="C1097" s="0" t="n">
        <v>267.79</v>
      </c>
      <c r="D1097" s="3" t="n">
        <f aca="false">B1097*100/B$2</f>
        <v>96.9409049448575</v>
      </c>
      <c r="E1097" s="3" t="n">
        <f aca="false">C1097*100/C$2</f>
        <v>113.80790480238</v>
      </c>
      <c r="F1097" s="0" t="n">
        <v>93.2833964454518</v>
      </c>
      <c r="G1097" s="0" t="n">
        <v>97.5910873711788</v>
      </c>
      <c r="H1097" s="0" t="n">
        <v>111.746706332342</v>
      </c>
      <c r="I1097" s="0" t="n">
        <v>14.1556189611629</v>
      </c>
    </row>
    <row r="1098" customFormat="false" ht="13.8" hidden="false" customHeight="false" outlineLevel="0" collapsed="false">
      <c r="A1098" s="2" t="n">
        <v>40990</v>
      </c>
      <c r="B1098" s="0" t="n">
        <v>1392.78</v>
      </c>
      <c r="C1098" s="0" t="n">
        <v>267.98</v>
      </c>
      <c r="D1098" s="3" t="n">
        <f aca="false">B1098*100/B$2</f>
        <v>96.242295254153</v>
      </c>
      <c r="E1098" s="3" t="n">
        <f aca="false">C1098*100/C$2</f>
        <v>113.88865278368</v>
      </c>
      <c r="F1098" s="0" t="n">
        <v>93.420907156085</v>
      </c>
      <c r="G1098" s="0" t="n">
        <v>97.6370214783532</v>
      </c>
      <c r="H1098" s="0" t="n">
        <v>112.409689757756</v>
      </c>
      <c r="I1098" s="0" t="n">
        <v>14.7726682794029</v>
      </c>
    </row>
    <row r="1099" customFormat="false" ht="13.8" hidden="false" customHeight="false" outlineLevel="0" collapsed="false">
      <c r="A1099" s="2" t="n">
        <v>40991</v>
      </c>
      <c r="B1099" s="0" t="n">
        <v>1397.11</v>
      </c>
      <c r="C1099" s="0" t="n">
        <v>267.95</v>
      </c>
      <c r="D1099" s="3" t="n">
        <f aca="false">B1099*100/B$2</f>
        <v>96.5415019762846</v>
      </c>
      <c r="E1099" s="3" t="n">
        <f aca="false">C1099*100/C$2</f>
        <v>113.875903102422</v>
      </c>
      <c r="F1099" s="0" t="n">
        <v>92.7775781530722</v>
      </c>
      <c r="G1099" s="0" t="n">
        <v>97.4221237206679</v>
      </c>
      <c r="H1099" s="0" t="n">
        <v>110.994475138122</v>
      </c>
      <c r="I1099" s="0" t="n">
        <v>13.5723514174536</v>
      </c>
    </row>
    <row r="1100" customFormat="false" ht="13.8" hidden="false" customHeight="false" outlineLevel="0" collapsed="false">
      <c r="A1100" s="2" t="n">
        <v>40994</v>
      </c>
      <c r="B1100" s="0" t="n">
        <v>1416.51</v>
      </c>
      <c r="C1100" s="0" t="n">
        <v>267.41</v>
      </c>
      <c r="D1100" s="3" t="n">
        <f aca="false">B1100*100/B$2</f>
        <v>97.8820586528096</v>
      </c>
      <c r="E1100" s="3" t="n">
        <f aca="false">C1100*100/C$2</f>
        <v>113.646408839779</v>
      </c>
      <c r="F1100" s="0" t="n">
        <v>93.4084690013544</v>
      </c>
      <c r="G1100" s="0" t="n">
        <v>97.6328666344882</v>
      </c>
      <c r="H1100" s="0" t="n">
        <v>111.665958351041</v>
      </c>
      <c r="I1100" s="0" t="n">
        <v>14.033091716553</v>
      </c>
    </row>
    <row r="1101" customFormat="false" ht="13.8" hidden="false" customHeight="false" outlineLevel="0" collapsed="false">
      <c r="A1101" s="2" t="n">
        <v>40995</v>
      </c>
      <c r="B1101" s="0" t="n">
        <v>1412.52</v>
      </c>
      <c r="C1101" s="0" t="n">
        <v>270.71</v>
      </c>
      <c r="D1101" s="3" t="n">
        <f aca="false">B1101*100/B$2</f>
        <v>97.606346222947</v>
      </c>
      <c r="E1101" s="3" t="n">
        <f aca="false">C1101*100/C$2</f>
        <v>115.048873778156</v>
      </c>
      <c r="F1101" s="0" t="n">
        <v>93.3207109096437</v>
      </c>
      <c r="G1101" s="0" t="n">
        <v>97.6035519027738</v>
      </c>
      <c r="H1101" s="0" t="n">
        <v>111.508712282193</v>
      </c>
      <c r="I1101" s="0" t="n">
        <v>13.9051603794191</v>
      </c>
    </row>
    <row r="1102" customFormat="false" ht="13.8" hidden="false" customHeight="false" outlineLevel="0" collapsed="false">
      <c r="A1102" s="2" t="n">
        <v>40996</v>
      </c>
      <c r="B1102" s="0" t="n">
        <v>1405.54</v>
      </c>
      <c r="C1102" s="0" t="n">
        <v>269.64</v>
      </c>
      <c r="D1102" s="3" t="n">
        <f aca="false">B1102*100/B$2</f>
        <v>97.1240222228365</v>
      </c>
      <c r="E1102" s="3" t="n">
        <f aca="false">C1102*100/C$2</f>
        <v>114.594135146621</v>
      </c>
      <c r="F1102" s="0" t="n">
        <v>92.8183476602449</v>
      </c>
      <c r="G1102" s="0" t="n">
        <v>97.4357423755589</v>
      </c>
      <c r="H1102" s="0" t="n">
        <v>112.996175095623</v>
      </c>
      <c r="I1102" s="0" t="n">
        <v>15.5604327200638</v>
      </c>
    </row>
    <row r="1103" customFormat="false" ht="13.8" hidden="false" customHeight="false" outlineLevel="0" collapsed="false">
      <c r="A1103" s="2" t="n">
        <v>40997</v>
      </c>
      <c r="B1103" s="0" t="n">
        <v>1403.28</v>
      </c>
      <c r="C1103" s="0" t="n">
        <v>267.13</v>
      </c>
      <c r="D1103" s="3" t="n">
        <f aca="false">B1103*100/B$2</f>
        <v>96.9678542801072</v>
      </c>
      <c r="E1103" s="3" t="n">
        <f aca="false">C1103*100/C$2</f>
        <v>113.527411814705</v>
      </c>
      <c r="F1103" s="0" t="n">
        <v>93.8417313911385</v>
      </c>
      <c r="G1103" s="0" t="n">
        <v>97.7775936957864</v>
      </c>
      <c r="H1103" s="0" t="n">
        <v>111.300467488313</v>
      </c>
      <c r="I1103" s="0" t="n">
        <v>13.5228737925264</v>
      </c>
    </row>
    <row r="1104" customFormat="false" ht="13.8" hidden="false" customHeight="false" outlineLevel="0" collapsed="false">
      <c r="A1104" s="2" t="n">
        <v>40998</v>
      </c>
      <c r="B1104" s="0" t="n">
        <v>1408.47</v>
      </c>
      <c r="C1104" s="0" t="n">
        <v>266.58</v>
      </c>
      <c r="D1104" s="3" t="n">
        <f aca="false">B1104*100/B$2</f>
        <v>97.3264877415075</v>
      </c>
      <c r="E1104" s="3" t="n">
        <f aca="false">C1104*100/C$2</f>
        <v>113.293667658309</v>
      </c>
      <c r="F1104" s="0" t="n">
        <v>94.0621631333094</v>
      </c>
      <c r="G1104" s="0" t="n">
        <v>97.8512267620609</v>
      </c>
      <c r="H1104" s="0" t="n">
        <v>112.970675733107</v>
      </c>
      <c r="I1104" s="0" t="n">
        <v>15.1194489710457</v>
      </c>
    </row>
    <row r="1105" customFormat="false" ht="13.8" hidden="false" customHeight="false" outlineLevel="0" collapsed="false">
      <c r="A1105" s="2" t="n">
        <v>41001</v>
      </c>
      <c r="B1105" s="0" t="n">
        <v>1419.04</v>
      </c>
      <c r="C1105" s="0" t="n">
        <v>268.99</v>
      </c>
      <c r="D1105" s="3" t="n">
        <f aca="false">B1105*100/B$2</f>
        <v>98.0568838276348</v>
      </c>
      <c r="E1105" s="3" t="n">
        <f aca="false">C1105*100/C$2</f>
        <v>114.317892052699</v>
      </c>
      <c r="F1105" s="0" t="n">
        <v>94.0621631333094</v>
      </c>
      <c r="G1105" s="0" t="n">
        <v>97.8512267620609</v>
      </c>
      <c r="H1105" s="0" t="n">
        <v>113.025924351891</v>
      </c>
      <c r="I1105" s="0" t="n">
        <v>15.1746975898303</v>
      </c>
    </row>
    <row r="1106" customFormat="false" ht="13.8" hidden="false" customHeight="false" outlineLevel="0" collapsed="false">
      <c r="A1106" s="2" t="n">
        <v>41002</v>
      </c>
      <c r="B1106" s="0" t="n">
        <v>1413.38</v>
      </c>
      <c r="C1106" s="0" t="n">
        <v>272.46</v>
      </c>
      <c r="D1106" s="3" t="n">
        <f aca="false">B1106*100/B$2</f>
        <v>97.6657729622156</v>
      </c>
      <c r="E1106" s="3" t="n">
        <f aca="false">C1106*100/C$2</f>
        <v>115.79260518487</v>
      </c>
      <c r="F1106" s="0" t="n">
        <v>94.1298819757318</v>
      </c>
      <c r="G1106" s="0" t="n">
        <v>97.8738475786594</v>
      </c>
      <c r="H1106" s="0" t="n">
        <v>113.000424989375</v>
      </c>
      <c r="I1106" s="0" t="n">
        <v>15.1265774107159</v>
      </c>
    </row>
    <row r="1107" customFormat="false" ht="13.8" hidden="false" customHeight="false" outlineLevel="0" collapsed="false">
      <c r="A1107" s="2" t="n">
        <v>41003</v>
      </c>
      <c r="B1107" s="0" t="n">
        <v>1398.96</v>
      </c>
      <c r="C1107" s="0" t="n">
        <v>268.33</v>
      </c>
      <c r="D1107" s="3" t="n">
        <f aca="false">B1107*100/B$2</f>
        <v>96.6693385665718</v>
      </c>
      <c r="E1107" s="3" t="n">
        <f aca="false">C1107*100/C$2</f>
        <v>114.037399065023</v>
      </c>
      <c r="F1107" s="0" t="n">
        <v>93.8154730644849</v>
      </c>
      <c r="G1107" s="0" t="n">
        <v>97.768822358738</v>
      </c>
      <c r="H1107" s="0" t="n">
        <v>113.314917127072</v>
      </c>
      <c r="I1107" s="0" t="n">
        <v>15.5460947683338</v>
      </c>
    </row>
    <row r="1108" customFormat="false" ht="13.8" hidden="false" customHeight="false" outlineLevel="0" collapsed="false">
      <c r="A1108" s="2" t="n">
        <v>41004</v>
      </c>
      <c r="B1108" s="0" t="n">
        <v>1398.08</v>
      </c>
      <c r="C1108" s="0" t="n">
        <v>269.96</v>
      </c>
      <c r="D1108" s="3" t="n">
        <f aca="false">B1108*100/B$2</f>
        <v>96.6085298101108</v>
      </c>
      <c r="E1108" s="3" t="n">
        <f aca="false">C1108*100/C$2</f>
        <v>114.730131746706</v>
      </c>
      <c r="F1108" s="0" t="n">
        <v>94.2162580502501</v>
      </c>
      <c r="G1108" s="0" t="n">
        <v>97.9027006610553</v>
      </c>
      <c r="H1108" s="0" t="n">
        <v>112.018699532512</v>
      </c>
      <c r="I1108" s="0" t="n">
        <v>14.1159988714563</v>
      </c>
    </row>
    <row r="1109" customFormat="false" ht="13.8" hidden="false" customHeight="false" outlineLevel="0" collapsed="false">
      <c r="A1109" s="2" t="n">
        <v>41005</v>
      </c>
      <c r="B1109" s="0" t="n">
        <v>1398.08</v>
      </c>
      <c r="C1109" s="0" t="n">
        <v>269.97</v>
      </c>
      <c r="D1109" s="3" t="n">
        <f aca="false">B1109*100/B$2</f>
        <v>96.6085298101108</v>
      </c>
      <c r="E1109" s="3" t="n">
        <f aca="false">C1109*100/C$2</f>
        <v>114.734381640459</v>
      </c>
      <c r="F1109" s="0" t="n">
        <v>94.3738080101717</v>
      </c>
      <c r="G1109" s="0" t="n">
        <v>97.9553286833456</v>
      </c>
      <c r="H1109" s="0" t="n">
        <v>112.707182320442</v>
      </c>
      <c r="I1109" s="0" t="n">
        <v>14.7518536370964</v>
      </c>
    </row>
    <row r="1110" customFormat="false" ht="13.8" hidden="false" customHeight="false" outlineLevel="0" collapsed="false">
      <c r="A1110" s="2" t="n">
        <v>41008</v>
      </c>
      <c r="B1110" s="0" t="n">
        <v>1382.2</v>
      </c>
      <c r="C1110" s="0" t="n">
        <v>265.88</v>
      </c>
      <c r="D1110" s="3" t="n">
        <f aca="false">B1110*100/B$2</f>
        <v>95.5112081594295</v>
      </c>
      <c r="E1110" s="3" t="n">
        <f aca="false">C1110*100/C$2</f>
        <v>112.996175095623</v>
      </c>
      <c r="F1110" s="0" t="n">
        <v>94.5016446004588</v>
      </c>
      <c r="G1110" s="0" t="n">
        <v>97.9980312452916</v>
      </c>
      <c r="H1110" s="0" t="n">
        <v>111.049723756906</v>
      </c>
      <c r="I1110" s="0" t="n">
        <v>13.0516925116144</v>
      </c>
    </row>
    <row r="1111" customFormat="false" ht="13.8" hidden="false" customHeight="false" outlineLevel="0" collapsed="false">
      <c r="A1111" s="2" t="n">
        <v>41009</v>
      </c>
      <c r="B1111" s="0" t="n">
        <v>1358.59</v>
      </c>
      <c r="C1111" s="0" t="n">
        <v>265.38</v>
      </c>
      <c r="D1111" s="3" t="n">
        <f aca="false">B1111*100/B$2</f>
        <v>93.8797368639266</v>
      </c>
      <c r="E1111" s="3" t="n">
        <f aca="false">C1111*100/C$2</f>
        <v>112.78368040799</v>
      </c>
      <c r="F1111" s="0" t="n">
        <v>94.8188175460903</v>
      </c>
      <c r="G1111" s="0" t="n">
        <v>98.1039797638497</v>
      </c>
      <c r="H1111" s="0" t="n">
        <v>111.963450913727</v>
      </c>
      <c r="I1111" s="0" t="n">
        <v>13.8594711498775</v>
      </c>
    </row>
    <row r="1112" customFormat="false" ht="13.8" hidden="false" customHeight="false" outlineLevel="0" collapsed="false">
      <c r="A1112" s="2" t="n">
        <v>41010</v>
      </c>
      <c r="B1112" s="0" t="n">
        <v>1368.71</v>
      </c>
      <c r="C1112" s="0" t="n">
        <v>265.38</v>
      </c>
      <c r="D1112" s="3" t="n">
        <f aca="false">B1112*100/B$2</f>
        <v>94.5790375632273</v>
      </c>
      <c r="E1112" s="3" t="n">
        <f aca="false">C1112*100/C$2</f>
        <v>112.78368040799</v>
      </c>
      <c r="F1112" s="0" t="n">
        <v>94.3696619585948</v>
      </c>
      <c r="G1112" s="0" t="n">
        <v>97.9539437353906</v>
      </c>
      <c r="H1112" s="0" t="n">
        <v>113.527411814705</v>
      </c>
      <c r="I1112" s="0" t="n">
        <v>15.573468079314</v>
      </c>
    </row>
    <row r="1113" customFormat="false" ht="13.8" hidden="false" customHeight="false" outlineLevel="0" collapsed="false">
      <c r="A1113" s="2" t="n">
        <v>41011</v>
      </c>
      <c r="B1113" s="0" t="n">
        <v>1387.57</v>
      </c>
      <c r="C1113" s="0" t="n">
        <v>263.95</v>
      </c>
      <c r="D1113" s="3" t="n">
        <f aca="false">B1113*100/B$2</f>
        <v>95.8822797755604</v>
      </c>
      <c r="E1113" s="3" t="n">
        <f aca="false">C1113*100/C$2</f>
        <v>112.17594560136</v>
      </c>
      <c r="F1113" s="0" t="n">
        <v>94.9508001879543</v>
      </c>
      <c r="G1113" s="0" t="n">
        <v>98.1480672737507</v>
      </c>
      <c r="H1113" s="0" t="n">
        <v>113.527411814705</v>
      </c>
      <c r="I1113" s="0" t="n">
        <v>15.3793445409539</v>
      </c>
    </row>
    <row r="1114" customFormat="false" ht="13.8" hidden="false" customHeight="false" outlineLevel="0" collapsed="false">
      <c r="A1114" s="2" t="n">
        <v>41012</v>
      </c>
      <c r="B1114" s="0" t="n">
        <v>1370.26</v>
      </c>
      <c r="C1114" s="0" t="n">
        <v>266.86</v>
      </c>
      <c r="D1114" s="3" t="n">
        <f aca="false">B1114*100/B$2</f>
        <v>94.68614389563</v>
      </c>
      <c r="E1114" s="3" t="n">
        <f aca="false">C1114*100/C$2</f>
        <v>113.412664683383</v>
      </c>
      <c r="F1114" s="0" t="n">
        <v>94.6426103540728</v>
      </c>
      <c r="G1114" s="0" t="n">
        <v>98.0451194757619</v>
      </c>
      <c r="H1114" s="0" t="n">
        <v>113.66340841479</v>
      </c>
      <c r="I1114" s="0" t="n">
        <v>15.6182889390278</v>
      </c>
    </row>
    <row r="1115" customFormat="false" ht="13.8" hidden="false" customHeight="false" outlineLevel="0" collapsed="false">
      <c r="A1115" s="2" t="n">
        <v>41015</v>
      </c>
      <c r="B1115" s="0" t="n">
        <v>1369.57</v>
      </c>
      <c r="C1115" s="0" t="n">
        <v>264.49</v>
      </c>
      <c r="D1115" s="3" t="n">
        <f aca="false">B1115*100/B$2</f>
        <v>94.6384643024959</v>
      </c>
      <c r="E1115" s="3" t="n">
        <f aca="false">C1115*100/C$2</f>
        <v>112.405439864003</v>
      </c>
      <c r="F1115" s="0" t="n">
        <v>94.2763757981149</v>
      </c>
      <c r="G1115" s="0" t="n">
        <v>97.9227824064029</v>
      </c>
      <c r="H1115" s="0" t="n">
        <v>112.515937101572</v>
      </c>
      <c r="I1115" s="0" t="n">
        <v>14.5931546951695</v>
      </c>
    </row>
    <row r="1116" customFormat="false" ht="13.8" hidden="false" customHeight="false" outlineLevel="0" collapsed="false">
      <c r="A1116" s="2" t="n">
        <v>41016</v>
      </c>
      <c r="B1116" s="0" t="n">
        <v>1390.78</v>
      </c>
      <c r="C1116" s="0" t="n">
        <v>263.32</v>
      </c>
      <c r="D1116" s="3" t="n">
        <f aca="false">B1116*100/B$2</f>
        <v>96.1040935349236</v>
      </c>
      <c r="E1116" s="3" t="n">
        <f aca="false">C1116*100/C$2</f>
        <v>111.908202294943</v>
      </c>
      <c r="F1116" s="0" t="n">
        <v>92.8273307719948</v>
      </c>
      <c r="G1116" s="0" t="n">
        <v>97.438743096128</v>
      </c>
      <c r="H1116" s="0" t="n">
        <v>111.708457288568</v>
      </c>
      <c r="I1116" s="0" t="n">
        <v>14.2697141924398</v>
      </c>
    </row>
    <row r="1117" customFormat="false" ht="13.8" hidden="false" customHeight="false" outlineLevel="0" collapsed="false">
      <c r="A1117" s="2" t="n">
        <v>41017</v>
      </c>
      <c r="B1117" s="0" t="n">
        <v>1385.14</v>
      </c>
      <c r="C1117" s="0" t="n">
        <v>266.22</v>
      </c>
      <c r="D1117" s="3" t="n">
        <f aca="false">B1117*100/B$2</f>
        <v>95.7143646866967</v>
      </c>
      <c r="E1117" s="3" t="n">
        <f aca="false">C1117*100/C$2</f>
        <v>113.140671483213</v>
      </c>
      <c r="F1117" s="0" t="n">
        <v>93.467895740623</v>
      </c>
      <c r="G1117" s="0" t="n">
        <v>97.6527175551766</v>
      </c>
      <c r="H1117" s="0" t="n">
        <v>110.645983850404</v>
      </c>
      <c r="I1117" s="0" t="n">
        <v>12.9932662952272</v>
      </c>
    </row>
    <row r="1118" customFormat="false" ht="13.8" hidden="false" customHeight="false" outlineLevel="0" collapsed="false">
      <c r="A1118" s="2" t="n">
        <v>41018</v>
      </c>
      <c r="B1118" s="0" t="n">
        <v>1376.92</v>
      </c>
      <c r="C1118" s="0" t="n">
        <v>265.58</v>
      </c>
      <c r="D1118" s="3" t="n">
        <f aca="false">B1118*100/B$2</f>
        <v>95.1463556206639</v>
      </c>
      <c r="E1118" s="3" t="n">
        <f aca="false">C1118*100/C$2</f>
        <v>112.868678283043</v>
      </c>
      <c r="F1118" s="0" t="n">
        <v>94.3855551563062</v>
      </c>
      <c r="G1118" s="0" t="n">
        <v>97.9592527025515</v>
      </c>
      <c r="H1118" s="0" t="n">
        <v>111.708457288568</v>
      </c>
      <c r="I1118" s="0" t="n">
        <v>13.7492045860163</v>
      </c>
    </row>
    <row r="1119" customFormat="false" ht="13.8" hidden="false" customHeight="false" outlineLevel="0" collapsed="false">
      <c r="A1119" s="2" t="n">
        <v>41019</v>
      </c>
      <c r="B1119" s="0" t="n">
        <v>1378.53</v>
      </c>
      <c r="C1119" s="0" t="n">
        <v>261.84</v>
      </c>
      <c r="D1119" s="3" t="n">
        <f aca="false">B1119*100/B$2</f>
        <v>95.2576080046436</v>
      </c>
      <c r="E1119" s="3" t="n">
        <f aca="false">C1119*100/C$2</f>
        <v>111.27921801955</v>
      </c>
      <c r="F1119" s="0" t="n">
        <v>94.728295419995</v>
      </c>
      <c r="G1119" s="0" t="n">
        <v>98.0737417334987</v>
      </c>
      <c r="H1119" s="0" t="n">
        <v>112.885677858054</v>
      </c>
      <c r="I1119" s="0" t="n">
        <v>14.8119361245549</v>
      </c>
    </row>
    <row r="1120" customFormat="false" ht="13.8" hidden="false" customHeight="false" outlineLevel="0" collapsed="false">
      <c r="A1120" s="2" t="n">
        <v>41022</v>
      </c>
      <c r="B1120" s="0" t="n">
        <v>1366.94</v>
      </c>
      <c r="C1120" s="0" t="n">
        <v>261.66</v>
      </c>
      <c r="D1120" s="3" t="n">
        <f aca="false">B1120*100/B$2</f>
        <v>94.4567290417093</v>
      </c>
      <c r="E1120" s="3" t="n">
        <f aca="false">C1120*100/C$2</f>
        <v>111.202719932002</v>
      </c>
      <c r="F1120" s="0" t="n">
        <v>94.7434976091103</v>
      </c>
      <c r="G1120" s="0" t="n">
        <v>98.0788198760004</v>
      </c>
      <c r="H1120" s="0" t="n">
        <v>112.086697832554</v>
      </c>
      <c r="I1120" s="0" t="n">
        <v>14.0078779565538</v>
      </c>
    </row>
    <row r="1121" customFormat="false" ht="13.8" hidden="false" customHeight="false" outlineLevel="0" collapsed="false">
      <c r="A1121" s="2" t="n">
        <v>41023</v>
      </c>
      <c r="B1121" s="0" t="n">
        <v>1371.97</v>
      </c>
      <c r="C1121" s="0" t="n">
        <v>260.76</v>
      </c>
      <c r="D1121" s="3" t="n">
        <f aca="false">B1121*100/B$2</f>
        <v>94.8043063655712</v>
      </c>
      <c r="E1121" s="3" t="n">
        <f aca="false">C1121*100/C$2</f>
        <v>110.820229494263</v>
      </c>
      <c r="F1121" s="0" t="n">
        <v>96.4613449791315</v>
      </c>
      <c r="G1121" s="0" t="n">
        <v>98.6526499786916</v>
      </c>
      <c r="H1121" s="0" t="n">
        <v>113.429664258394</v>
      </c>
      <c r="I1121" s="0" t="n">
        <v>14.777014279702</v>
      </c>
    </row>
    <row r="1122" customFormat="false" ht="13.8" hidden="false" customHeight="false" outlineLevel="0" collapsed="false">
      <c r="A1122" s="2" t="n">
        <v>41024</v>
      </c>
      <c r="B1122" s="0" t="n">
        <v>1390.69</v>
      </c>
      <c r="C1122" s="0" t="n">
        <v>260.82</v>
      </c>
      <c r="D1122" s="3" t="n">
        <f aca="false">B1122*100/B$2</f>
        <v>96.0978744575582</v>
      </c>
      <c r="E1122" s="3" t="n">
        <f aca="false">C1122*100/C$2</f>
        <v>110.845728856779</v>
      </c>
      <c r="F1122" s="0" t="n">
        <v>96.345946543575</v>
      </c>
      <c r="G1122" s="0" t="n">
        <v>98.6141022606105</v>
      </c>
      <c r="H1122" s="0" t="n">
        <v>114.683382915427</v>
      </c>
      <c r="I1122" s="0" t="n">
        <v>16.0692806548166</v>
      </c>
    </row>
    <row r="1123" customFormat="false" ht="13.8" hidden="false" customHeight="false" outlineLevel="0" collapsed="false">
      <c r="A1123" s="2" t="n">
        <v>41025</v>
      </c>
      <c r="B1123" s="0" t="n">
        <v>1399.98</v>
      </c>
      <c r="C1123" s="0" t="n">
        <v>261.51</v>
      </c>
      <c r="D1123" s="3" t="n">
        <f aca="false">B1123*100/B$2</f>
        <v>96.7398214433787</v>
      </c>
      <c r="E1123" s="3" t="n">
        <f aca="false">C1123*100/C$2</f>
        <v>111.138971525712</v>
      </c>
      <c r="F1123" s="0" t="n">
        <v>96.9208656955692</v>
      </c>
      <c r="G1123" s="0" t="n">
        <v>98.8061483770381</v>
      </c>
      <c r="H1123" s="0" t="n">
        <v>114.645133871653</v>
      </c>
      <c r="I1123" s="0" t="n">
        <v>15.8389854946151</v>
      </c>
    </row>
    <row r="1124" customFormat="false" ht="13.8" hidden="false" customHeight="false" outlineLevel="0" collapsed="false">
      <c r="A1124" s="2" t="n">
        <v>41026</v>
      </c>
      <c r="B1124" s="0" t="n">
        <v>1403.36</v>
      </c>
      <c r="C1124" s="0" t="n">
        <v>263.43</v>
      </c>
      <c r="D1124" s="3" t="n">
        <f aca="false">B1124*100/B$2</f>
        <v>96.9733823488764</v>
      </c>
      <c r="E1124" s="3" t="n">
        <f aca="false">C1124*100/C$2</f>
        <v>111.954951126222</v>
      </c>
      <c r="F1124" s="0" t="n">
        <v>97.0293540451643</v>
      </c>
      <c r="G1124" s="0" t="n">
        <v>98.8423878485275</v>
      </c>
      <c r="H1124" s="0" t="n">
        <v>114.011899702507</v>
      </c>
      <c r="I1124" s="0" t="n">
        <v>15.1695118539799</v>
      </c>
    </row>
    <row r="1125" customFormat="false" ht="13.8" hidden="false" customHeight="false" outlineLevel="0" collapsed="false">
      <c r="A1125" s="2" t="n">
        <v>41029</v>
      </c>
      <c r="B1125" s="0" t="n">
        <v>1397.91</v>
      </c>
      <c r="C1125" s="0" t="n">
        <v>264.35</v>
      </c>
      <c r="D1125" s="3" t="n">
        <f aca="false">B1125*100/B$2</f>
        <v>96.5967826639763</v>
      </c>
      <c r="E1125" s="3" t="n">
        <f aca="false">C1125*100/C$2</f>
        <v>112.345941351466</v>
      </c>
      <c r="F1125" s="0" t="n">
        <v>97.4149368418143</v>
      </c>
      <c r="G1125" s="0" t="n">
        <v>98.9711880083432</v>
      </c>
      <c r="H1125" s="0" t="n">
        <v>114.861878453039</v>
      </c>
      <c r="I1125" s="0" t="n">
        <v>15.8906904446955</v>
      </c>
    </row>
    <row r="1126" customFormat="false" ht="13.8" hidden="false" customHeight="false" outlineLevel="0" collapsed="false">
      <c r="A1126" s="2" t="n">
        <v>41030</v>
      </c>
      <c r="B1126" s="0" t="n">
        <v>1405.82</v>
      </c>
      <c r="C1126" s="0" t="n">
        <v>264.35</v>
      </c>
      <c r="D1126" s="3" t="n">
        <f aca="false">B1126*100/B$2</f>
        <v>97.1433704635286</v>
      </c>
      <c r="E1126" s="3" t="n">
        <f aca="false">C1126*100/C$2</f>
        <v>112.345941351466</v>
      </c>
      <c r="F1126" s="0" t="n">
        <v>97.1226402056442</v>
      </c>
      <c r="G1126" s="0" t="n">
        <v>98.8735491775151</v>
      </c>
      <c r="H1126" s="0" t="n">
        <v>114.611134721632</v>
      </c>
      <c r="I1126" s="0" t="n">
        <v>15.7375855441168</v>
      </c>
    </row>
    <row r="1127" customFormat="false" ht="13.8" hidden="false" customHeight="false" outlineLevel="0" collapsed="false">
      <c r="A1127" s="2" t="n">
        <v>41031</v>
      </c>
      <c r="B1127" s="0" t="n">
        <v>1402.31</v>
      </c>
      <c r="C1127" s="0" t="n">
        <v>266.61</v>
      </c>
      <c r="D1127" s="3" t="n">
        <f aca="false">B1127*100/B$2</f>
        <v>96.900826446281</v>
      </c>
      <c r="E1127" s="3" t="n">
        <f aca="false">C1127*100/C$2</f>
        <v>113.306417339567</v>
      </c>
      <c r="F1127" s="0" t="n">
        <v>96.9409049448575</v>
      </c>
      <c r="G1127" s="0" t="n">
        <v>98.812842292154</v>
      </c>
      <c r="H1127" s="0" t="n">
        <v>113.80790480238</v>
      </c>
      <c r="I1127" s="0" t="n">
        <v>14.9950625102259</v>
      </c>
    </row>
    <row r="1128" customFormat="false" ht="13.8" hidden="false" customHeight="false" outlineLevel="0" collapsed="false">
      <c r="A1128" s="2" t="n">
        <v>41032</v>
      </c>
      <c r="B1128" s="0" t="n">
        <v>1391.57</v>
      </c>
      <c r="C1128" s="0" t="n">
        <v>266.05</v>
      </c>
      <c r="D1128" s="3" t="n">
        <f aca="false">B1128*100/B$2</f>
        <v>96.1586832140192</v>
      </c>
      <c r="E1128" s="3" t="n">
        <f aca="false">C1128*100/C$2</f>
        <v>113.068423289418</v>
      </c>
      <c r="F1128" s="0" t="n">
        <v>96.242295254153</v>
      </c>
      <c r="G1128" s="0" t="n">
        <v>98.5794785617354</v>
      </c>
      <c r="H1128" s="0" t="n">
        <v>113.88865278368</v>
      </c>
      <c r="I1128" s="0" t="n">
        <v>15.309174221945</v>
      </c>
    </row>
    <row r="1129" customFormat="false" ht="13.8" hidden="false" customHeight="false" outlineLevel="0" collapsed="false">
      <c r="A1129" s="2" t="n">
        <v>41033</v>
      </c>
      <c r="B1129" s="0" t="n">
        <v>1369.1</v>
      </c>
      <c r="C1129" s="0" t="n">
        <v>264.4</v>
      </c>
      <c r="D1129" s="3" t="n">
        <f aca="false">B1129*100/B$2</f>
        <v>94.605986898477</v>
      </c>
      <c r="E1129" s="3" t="n">
        <f aca="false">C1129*100/C$2</f>
        <v>112.367190820229</v>
      </c>
      <c r="F1129" s="0" t="n">
        <v>96.5415019762846</v>
      </c>
      <c r="G1129" s="0" t="n">
        <v>98.679425639155</v>
      </c>
      <c r="H1129" s="0" t="n">
        <v>113.875903102422</v>
      </c>
      <c r="I1129" s="0" t="n">
        <v>15.1964774632674</v>
      </c>
    </row>
    <row r="1130" customFormat="false" ht="13.8" hidden="false" customHeight="false" outlineLevel="0" collapsed="false">
      <c r="A1130" s="2" t="n">
        <v>41036</v>
      </c>
      <c r="B1130" s="0" t="n">
        <v>1369.58</v>
      </c>
      <c r="C1130" s="0" t="n">
        <v>259.73</v>
      </c>
      <c r="D1130" s="3" t="n">
        <f aca="false">B1130*100/B$2</f>
        <v>94.6391553110921</v>
      </c>
      <c r="E1130" s="3" t="n">
        <f aca="false">C1130*100/C$2</f>
        <v>110.382490437739</v>
      </c>
      <c r="F1130" s="0" t="n">
        <v>97.8820586528096</v>
      </c>
      <c r="G1130" s="0" t="n">
        <v>99.1272254779406</v>
      </c>
      <c r="H1130" s="0" t="n">
        <v>113.646408839779</v>
      </c>
      <c r="I1130" s="0" t="n">
        <v>14.5191833618384</v>
      </c>
    </row>
    <row r="1131" customFormat="false" ht="13.8" hidden="false" customHeight="false" outlineLevel="0" collapsed="false">
      <c r="A1131" s="2" t="n">
        <v>41037</v>
      </c>
      <c r="B1131" s="0" t="n">
        <v>1363.72</v>
      </c>
      <c r="C1131" s="0" t="n">
        <v>261.12</v>
      </c>
      <c r="D1131" s="3" t="n">
        <f aca="false">B1131*100/B$2</f>
        <v>94.23422427375</v>
      </c>
      <c r="E1131" s="3" t="n">
        <f aca="false">C1131*100/C$2</f>
        <v>110.973225669358</v>
      </c>
      <c r="F1131" s="0" t="n">
        <v>97.606346222947</v>
      </c>
      <c r="G1131" s="0" t="n">
        <v>99.0351264389326</v>
      </c>
      <c r="H1131" s="0" t="n">
        <v>115.048873778156</v>
      </c>
      <c r="I1131" s="0" t="n">
        <v>16.0137473392229</v>
      </c>
    </row>
    <row r="1132" customFormat="false" ht="13.8" hidden="false" customHeight="false" outlineLevel="0" collapsed="false">
      <c r="A1132" s="2" t="n">
        <v>41038</v>
      </c>
      <c r="B1132" s="0" t="n">
        <v>1354.58</v>
      </c>
      <c r="C1132" s="0" t="n">
        <v>258.79</v>
      </c>
      <c r="D1132" s="3" t="n">
        <f aca="false">B1132*100/B$2</f>
        <v>93.6026424168717</v>
      </c>
      <c r="E1132" s="3" t="n">
        <f aca="false">C1132*100/C$2</f>
        <v>109.983000424989</v>
      </c>
      <c r="F1132" s="0" t="n">
        <v>97.1240222228365</v>
      </c>
      <c r="G1132" s="0" t="n">
        <v>98.8740108268335</v>
      </c>
      <c r="H1132" s="0" t="n">
        <v>114.594135146621</v>
      </c>
      <c r="I1132" s="0" t="n">
        <v>15.7201243197878</v>
      </c>
    </row>
    <row r="1133" customFormat="false" ht="13.8" hidden="false" customHeight="false" outlineLevel="0" collapsed="false">
      <c r="A1133" s="2" t="n">
        <v>41039</v>
      </c>
      <c r="B1133" s="0" t="n">
        <v>1357.99</v>
      </c>
      <c r="C1133" s="0" t="n">
        <v>257.89</v>
      </c>
      <c r="D1133" s="3" t="n">
        <f aca="false">B1133*100/B$2</f>
        <v>93.8382763481578</v>
      </c>
      <c r="E1133" s="3" t="n">
        <f aca="false">C1133*100/C$2</f>
        <v>109.60050998725</v>
      </c>
      <c r="F1133" s="0" t="n">
        <v>96.9678542801072</v>
      </c>
      <c r="G1133" s="0" t="n">
        <v>98.8218444538616</v>
      </c>
      <c r="H1133" s="0" t="n">
        <v>113.527411814705</v>
      </c>
      <c r="I1133" s="0" t="n">
        <v>14.7055673608431</v>
      </c>
    </row>
    <row r="1134" customFormat="false" ht="13.8" hidden="false" customHeight="false" outlineLevel="0" collapsed="false">
      <c r="A1134" s="2" t="n">
        <v>41040</v>
      </c>
      <c r="B1134" s="0" t="n">
        <v>1353.39</v>
      </c>
      <c r="C1134" s="0" t="n">
        <v>254</v>
      </c>
      <c r="D1134" s="3" t="n">
        <f aca="false">B1134*100/B$2</f>
        <v>93.5204123939302</v>
      </c>
      <c r="E1134" s="3" t="n">
        <f aca="false">C1134*100/C$2</f>
        <v>107.947301317467</v>
      </c>
      <c r="F1134" s="0" t="n">
        <v>97.3264877415075</v>
      </c>
      <c r="G1134" s="0" t="n">
        <v>98.9416424519697</v>
      </c>
      <c r="H1134" s="0" t="n">
        <v>113.293667658309</v>
      </c>
      <c r="I1134" s="0" t="n">
        <v>14.3520252063389</v>
      </c>
    </row>
    <row r="1135" customFormat="false" ht="13.8" hidden="false" customHeight="false" outlineLevel="0" collapsed="false">
      <c r="A1135" s="2" t="n">
        <v>41043</v>
      </c>
      <c r="B1135" s="0" t="n">
        <v>1338.35</v>
      </c>
      <c r="C1135" s="0" t="n">
        <v>254.11</v>
      </c>
      <c r="D1135" s="3" t="n">
        <f aca="false">B1135*100/B$2</f>
        <v>92.4811354653252</v>
      </c>
      <c r="E1135" s="3" t="n">
        <f aca="false">C1135*100/C$2</f>
        <v>107.994050148746</v>
      </c>
      <c r="F1135" s="0" t="n">
        <v>98.0568838276348</v>
      </c>
      <c r="G1135" s="0" t="n">
        <v>99.18562411671</v>
      </c>
      <c r="H1135" s="0" t="n">
        <v>114.317892052699</v>
      </c>
      <c r="I1135" s="0" t="n">
        <v>15.1322679359887</v>
      </c>
    </row>
    <row r="1136" customFormat="false" ht="13.8" hidden="false" customHeight="false" outlineLevel="0" collapsed="false">
      <c r="A1136" s="2" t="n">
        <v>41044</v>
      </c>
      <c r="B1136" s="0" t="n">
        <v>1330.66</v>
      </c>
      <c r="C1136" s="0" t="n">
        <v>252.32</v>
      </c>
      <c r="D1136" s="3" t="n">
        <f aca="false">B1136*100/B$2</f>
        <v>91.9497498548882</v>
      </c>
      <c r="E1136" s="3" t="n">
        <f aca="false">C1136*100/C$2</f>
        <v>107.233319167021</v>
      </c>
      <c r="F1136" s="0" t="n">
        <v>97.6657729622156</v>
      </c>
      <c r="G1136" s="0" t="n">
        <v>99.054977359621</v>
      </c>
      <c r="H1136" s="0" t="n">
        <v>115.79260518487</v>
      </c>
      <c r="I1136" s="0" t="n">
        <v>16.7376278252493</v>
      </c>
    </row>
    <row r="1137" customFormat="false" ht="13.8" hidden="false" customHeight="false" outlineLevel="0" collapsed="false">
      <c r="A1137" s="2" t="n">
        <v>41045</v>
      </c>
      <c r="B1137" s="0" t="n">
        <v>1324.8</v>
      </c>
      <c r="C1137" s="0" t="n">
        <v>243.93</v>
      </c>
      <c r="D1137" s="3" t="n">
        <f aca="false">B1137*100/B$2</f>
        <v>91.5448188175461</v>
      </c>
      <c r="E1137" s="3" t="n">
        <f aca="false">C1137*100/C$2</f>
        <v>103.667658308542</v>
      </c>
      <c r="F1137" s="0" t="n">
        <v>96.6693385665718</v>
      </c>
      <c r="G1137" s="0" t="n">
        <v>98.7221282011011</v>
      </c>
      <c r="H1137" s="0" t="n">
        <v>114.037399065023</v>
      </c>
      <c r="I1137" s="0" t="n">
        <v>15.3152708639223</v>
      </c>
    </row>
    <row r="1138" customFormat="false" ht="13.8" hidden="false" customHeight="false" outlineLevel="0" collapsed="false">
      <c r="A1138" s="2" t="n">
        <v>41046</v>
      </c>
      <c r="B1138" s="0" t="n">
        <v>1304.86</v>
      </c>
      <c r="C1138" s="0" t="n">
        <v>244.48</v>
      </c>
      <c r="D1138" s="3" t="n">
        <f aca="false">B1138*100/B$2</f>
        <v>90.1669476768291</v>
      </c>
      <c r="E1138" s="3" t="n">
        <f aca="false">C1138*100/C$2</f>
        <v>103.901402464938</v>
      </c>
      <c r="F1138" s="0" t="n">
        <v>96.6085298101108</v>
      </c>
      <c r="G1138" s="0" t="n">
        <v>98.7018156310943</v>
      </c>
      <c r="H1138" s="0" t="n">
        <v>114.730131746706</v>
      </c>
      <c r="I1138" s="0" t="n">
        <v>16.028316115612</v>
      </c>
    </row>
    <row r="1139" customFormat="false" ht="13.8" hidden="false" customHeight="false" outlineLevel="0" collapsed="false">
      <c r="A1139" s="2" t="n">
        <v>41047</v>
      </c>
      <c r="B1139" s="0" t="n">
        <v>1295.22</v>
      </c>
      <c r="C1139" s="0" t="n">
        <v>235.85</v>
      </c>
      <c r="D1139" s="3" t="n">
        <f aca="false">B1139*100/B$2</f>
        <v>89.5008153901435</v>
      </c>
      <c r="E1139" s="3" t="n">
        <f aca="false">C1139*100/C$2</f>
        <v>100.233744156396</v>
      </c>
      <c r="F1139" s="0" t="n">
        <v>96.6085298101108</v>
      </c>
      <c r="G1139" s="0" t="n">
        <v>98.7018156310943</v>
      </c>
      <c r="H1139" s="0" t="n">
        <v>114.734381640459</v>
      </c>
      <c r="I1139" s="0" t="n">
        <v>16.0325660093647</v>
      </c>
    </row>
    <row r="1140" customFormat="false" ht="13.8" hidden="false" customHeight="false" outlineLevel="0" collapsed="false">
      <c r="A1140" s="2" t="n">
        <v>41050</v>
      </c>
      <c r="B1140" s="0" t="n">
        <v>1315.99</v>
      </c>
      <c r="C1140" s="0" t="n">
        <v>238.62</v>
      </c>
      <c r="D1140" s="3" t="n">
        <f aca="false">B1140*100/B$2</f>
        <v>90.9360402443406</v>
      </c>
      <c r="E1140" s="3" t="n">
        <f aca="false">C1140*100/C$2</f>
        <v>101.410964725882</v>
      </c>
      <c r="F1140" s="0" t="n">
        <v>95.5112081594295</v>
      </c>
      <c r="G1140" s="0" t="n">
        <v>98.3352660723358</v>
      </c>
      <c r="H1140" s="0" t="n">
        <v>112.996175095623</v>
      </c>
      <c r="I1140" s="0" t="n">
        <v>14.6609090232868</v>
      </c>
    </row>
    <row r="1141" customFormat="false" ht="13.8" hidden="false" customHeight="false" outlineLevel="0" collapsed="false">
      <c r="A1141" s="2" t="n">
        <v>41051</v>
      </c>
      <c r="B1141" s="0" t="n">
        <v>1316.63</v>
      </c>
      <c r="C1141" s="0" t="n">
        <v>242.66</v>
      </c>
      <c r="D1141" s="3" t="n">
        <f aca="false">B1141*100/B$2</f>
        <v>90.980264794494</v>
      </c>
      <c r="E1141" s="3" t="n">
        <f aca="false">C1141*100/C$2</f>
        <v>103.127921801955</v>
      </c>
      <c r="F1141" s="0" t="n">
        <v>93.8797368639266</v>
      </c>
      <c r="G1141" s="0" t="n">
        <v>97.7902890520406</v>
      </c>
      <c r="H1141" s="0" t="n">
        <v>112.78368040799</v>
      </c>
      <c r="I1141" s="0" t="n">
        <v>14.9933913559492</v>
      </c>
    </row>
    <row r="1142" customFormat="false" ht="13.8" hidden="false" customHeight="false" outlineLevel="0" collapsed="false">
      <c r="A1142" s="2" t="n">
        <v>41052</v>
      </c>
      <c r="B1142" s="0" t="n">
        <v>1318.86</v>
      </c>
      <c r="C1142" s="0" t="n">
        <v>239.76</v>
      </c>
      <c r="D1142" s="3" t="n">
        <f aca="false">B1142*100/B$2</f>
        <v>91.1343597114348</v>
      </c>
      <c r="E1142" s="3" t="n">
        <f aca="false">C1142*100/C$2</f>
        <v>101.895452613685</v>
      </c>
      <c r="F1142" s="0" t="n">
        <v>94.5790375632273</v>
      </c>
      <c r="G1142" s="0" t="n">
        <v>98.0238836071184</v>
      </c>
      <c r="H1142" s="0" t="n">
        <v>112.78368040799</v>
      </c>
      <c r="I1142" s="0" t="n">
        <v>14.7597968008714</v>
      </c>
    </row>
    <row r="1143" customFormat="false" ht="13.8" hidden="false" customHeight="false" outlineLevel="0" collapsed="false">
      <c r="A1143" s="2" t="n">
        <v>41053</v>
      </c>
      <c r="B1143" s="0" t="n">
        <v>1320.68</v>
      </c>
      <c r="C1143" s="0" t="n">
        <v>240.51</v>
      </c>
      <c r="D1143" s="3" t="n">
        <f aca="false">B1143*100/B$2</f>
        <v>91.2601232759335</v>
      </c>
      <c r="E1143" s="3" t="n">
        <f aca="false">C1143*100/C$2</f>
        <v>102.214194645134</v>
      </c>
      <c r="F1143" s="0" t="n">
        <v>95.8822797755604</v>
      </c>
      <c r="G1143" s="0" t="n">
        <v>98.4592189143089</v>
      </c>
      <c r="H1143" s="0" t="n">
        <v>112.17594560136</v>
      </c>
      <c r="I1143" s="0" t="n">
        <v>13.716726687051</v>
      </c>
    </row>
    <row r="1144" customFormat="false" ht="13.8" hidden="false" customHeight="false" outlineLevel="0" collapsed="false">
      <c r="A1144" s="2" t="n">
        <v>41054</v>
      </c>
      <c r="B1144" s="0" t="n">
        <v>1317.82</v>
      </c>
      <c r="C1144" s="0" t="n">
        <v>241.6</v>
      </c>
      <c r="D1144" s="3" t="n">
        <f aca="false">B1144*100/B$2</f>
        <v>91.0624948174355</v>
      </c>
      <c r="E1144" s="3" t="n">
        <f aca="false">C1144*100/C$2</f>
        <v>102.677433064173</v>
      </c>
      <c r="F1144" s="0" t="n">
        <v>94.68614389563</v>
      </c>
      <c r="G1144" s="0" t="n">
        <v>98.0596614292895</v>
      </c>
      <c r="H1144" s="0" t="n">
        <v>113.412664683383</v>
      </c>
      <c r="I1144" s="0" t="n">
        <v>15.3530032540935</v>
      </c>
    </row>
    <row r="1145" customFormat="false" ht="13.8" hidden="false" customHeight="false" outlineLevel="0" collapsed="false">
      <c r="A1145" s="2" t="n">
        <v>41058</v>
      </c>
      <c r="B1145" s="0" t="n">
        <v>1332.42</v>
      </c>
      <c r="C1145" s="0" t="n">
        <v>245.26</v>
      </c>
      <c r="D1145" s="3" t="n">
        <f aca="false">B1145*100/B$2</f>
        <v>92.0713673678101</v>
      </c>
      <c r="E1145" s="3" t="n">
        <f aca="false">C1145*100/C$2</f>
        <v>104.232894177646</v>
      </c>
      <c r="F1145" s="0" t="n">
        <v>94.6384643024959</v>
      </c>
      <c r="G1145" s="0" t="n">
        <v>98.0437345278069</v>
      </c>
      <c r="H1145" s="0" t="n">
        <v>112.405439864003</v>
      </c>
      <c r="I1145" s="0" t="n">
        <v>14.3617053361965</v>
      </c>
    </row>
    <row r="1146" customFormat="false" ht="13.8" hidden="false" customHeight="false" outlineLevel="0" collapsed="false">
      <c r="A1146" s="2" t="n">
        <v>41059</v>
      </c>
      <c r="B1146" s="0" t="n">
        <v>1313.32</v>
      </c>
      <c r="C1146" s="0" t="n">
        <v>244.68</v>
      </c>
      <c r="D1146" s="3" t="n">
        <f aca="false">B1146*100/B$2</f>
        <v>90.7515409491694</v>
      </c>
      <c r="E1146" s="3" t="n">
        <f aca="false">C1146*100/C$2</f>
        <v>103.986400339992</v>
      </c>
      <c r="F1146" s="0" t="n">
        <v>96.1040935349236</v>
      </c>
      <c r="G1146" s="0" t="n">
        <v>98.5333136299018</v>
      </c>
      <c r="H1146" s="0" t="n">
        <v>111.908202294943</v>
      </c>
      <c r="I1146" s="0" t="n">
        <v>13.3748886650408</v>
      </c>
    </row>
    <row r="1147" customFormat="false" ht="13.8" hidden="false" customHeight="false" outlineLevel="0" collapsed="false">
      <c r="A1147" s="2" t="n">
        <v>41060</v>
      </c>
      <c r="B1147" s="0" t="n">
        <v>1310.33</v>
      </c>
      <c r="C1147" s="0" t="n">
        <v>244.05</v>
      </c>
      <c r="D1147" s="3" t="n">
        <f aca="false">B1147*100/B$2</f>
        <v>90.5449293789215</v>
      </c>
      <c r="E1147" s="3" t="n">
        <f aca="false">C1147*100/C$2</f>
        <v>103.718657033574</v>
      </c>
      <c r="F1147" s="0" t="n">
        <v>95.7143646866967</v>
      </c>
      <c r="G1147" s="0" t="n">
        <v>98.4031285221312</v>
      </c>
      <c r="H1147" s="0" t="n">
        <v>113.140671483213</v>
      </c>
      <c r="I1147" s="0" t="n">
        <v>14.7375429610818</v>
      </c>
    </row>
    <row r="1148" customFormat="false" ht="13.8" hidden="false" customHeight="false" outlineLevel="0" collapsed="false">
      <c r="A1148" s="2" t="n">
        <v>41061</v>
      </c>
      <c r="B1148" s="0" t="n">
        <v>1278.04</v>
      </c>
      <c r="C1148" s="0" t="n">
        <v>242.98</v>
      </c>
      <c r="D1148" s="3" t="n">
        <f aca="false">B1148*100/B$2</f>
        <v>88.313662621963</v>
      </c>
      <c r="E1148" s="3" t="n">
        <f aca="false">C1148*100/C$2</f>
        <v>103.26391840204</v>
      </c>
      <c r="F1148" s="0" t="n">
        <v>95.1463556206639</v>
      </c>
      <c r="G1148" s="0" t="n">
        <v>98.2133906522952</v>
      </c>
      <c r="H1148" s="0" t="n">
        <v>112.868678283043</v>
      </c>
      <c r="I1148" s="0" t="n">
        <v>14.6552876307477</v>
      </c>
    </row>
    <row r="1149" customFormat="false" ht="13.8" hidden="false" customHeight="false" outlineLevel="0" collapsed="false">
      <c r="A1149" s="2" t="n">
        <v>41064</v>
      </c>
      <c r="B1149" s="0" t="n">
        <v>1278.18</v>
      </c>
      <c r="C1149" s="0" t="n">
        <v>236.3</v>
      </c>
      <c r="D1149" s="3" t="n">
        <f aca="false">B1149*100/B$2</f>
        <v>88.3233367423091</v>
      </c>
      <c r="E1149" s="3" t="n">
        <f aca="false">C1149*100/C$2</f>
        <v>100.424989375266</v>
      </c>
      <c r="F1149" s="0" t="n">
        <v>95.2576080046436</v>
      </c>
      <c r="G1149" s="0" t="n">
        <v>98.2505534224212</v>
      </c>
      <c r="H1149" s="0" t="n">
        <v>111.27921801955</v>
      </c>
      <c r="I1149" s="0" t="n">
        <v>13.0286645971283</v>
      </c>
    </row>
    <row r="1150" customFormat="false" ht="13.8" hidden="false" customHeight="false" outlineLevel="0" collapsed="false">
      <c r="A1150" s="2" t="n">
        <v>41065</v>
      </c>
      <c r="B1150" s="0" t="n">
        <v>1285.5</v>
      </c>
      <c r="C1150" s="0" t="n">
        <v>238.79</v>
      </c>
      <c r="D1150" s="3" t="n">
        <f aca="false">B1150*100/B$2</f>
        <v>88.8291550346886</v>
      </c>
      <c r="E1150" s="3" t="n">
        <f aca="false">C1150*100/C$2</f>
        <v>101.483212919677</v>
      </c>
      <c r="F1150" s="0" t="n">
        <v>94.4567290417093</v>
      </c>
      <c r="G1150" s="0" t="n">
        <v>97.9830276424457</v>
      </c>
      <c r="H1150" s="0" t="n">
        <v>111.202719932002</v>
      </c>
      <c r="I1150" s="0" t="n">
        <v>13.219692289556</v>
      </c>
    </row>
    <row r="1151" customFormat="false" ht="13.8" hidden="false" customHeight="false" outlineLevel="0" collapsed="false">
      <c r="A1151" s="2" t="n">
        <v>41066</v>
      </c>
      <c r="B1151" s="0" t="n">
        <v>1315.13</v>
      </c>
      <c r="C1151" s="0" t="n">
        <v>238.79</v>
      </c>
      <c r="D1151" s="3" t="n">
        <f aca="false">B1151*100/B$2</f>
        <v>90.876613505072</v>
      </c>
      <c r="E1151" s="3" t="n">
        <f aca="false">C1151*100/C$2</f>
        <v>101.483212919677</v>
      </c>
      <c r="F1151" s="0" t="n">
        <v>94.8043063655712</v>
      </c>
      <c r="G1151" s="0" t="n">
        <v>98.0991324460072</v>
      </c>
      <c r="H1151" s="0" t="n">
        <v>110.820229494263</v>
      </c>
      <c r="I1151" s="0" t="n">
        <v>12.7210970482555</v>
      </c>
    </row>
    <row r="1152" customFormat="false" ht="13.8" hidden="false" customHeight="false" outlineLevel="0" collapsed="false">
      <c r="A1152" s="2" t="n">
        <v>41067</v>
      </c>
      <c r="B1152" s="0" t="n">
        <v>1314.99</v>
      </c>
      <c r="C1152" s="0" t="n">
        <v>245.51</v>
      </c>
      <c r="D1152" s="3" t="n">
        <f aca="false">B1152*100/B$2</f>
        <v>90.8669393847259</v>
      </c>
      <c r="E1152" s="3" t="n">
        <f aca="false">C1152*100/C$2</f>
        <v>104.339141521462</v>
      </c>
      <c r="F1152" s="0" t="n">
        <v>96.0978744575582</v>
      </c>
      <c r="G1152" s="0" t="n">
        <v>98.5312362079693</v>
      </c>
      <c r="H1152" s="0" t="n">
        <v>110.845728856779</v>
      </c>
      <c r="I1152" s="0" t="n">
        <v>12.3144926488093</v>
      </c>
    </row>
    <row r="1153" customFormat="false" ht="13.8" hidden="false" customHeight="false" outlineLevel="0" collapsed="false">
      <c r="A1153" s="2" t="n">
        <v>41068</v>
      </c>
      <c r="B1153" s="0" t="n">
        <v>1325.66</v>
      </c>
      <c r="C1153" s="0" t="n">
        <v>243.69</v>
      </c>
      <c r="D1153" s="3" t="n">
        <f aca="false">B1153*100/B$2</f>
        <v>91.6042455568147</v>
      </c>
      <c r="E1153" s="3" t="n">
        <f aca="false">C1153*100/C$2</f>
        <v>103.565660858479</v>
      </c>
      <c r="F1153" s="0" t="n">
        <v>96.7398214433787</v>
      </c>
      <c r="G1153" s="0" t="n">
        <v>98.7456723163362</v>
      </c>
      <c r="H1153" s="0" t="n">
        <v>111.138971525712</v>
      </c>
      <c r="I1153" s="0" t="n">
        <v>12.3932992093757</v>
      </c>
    </row>
    <row r="1154" customFormat="false" ht="13.8" hidden="false" customHeight="false" outlineLevel="0" collapsed="false">
      <c r="A1154" s="2" t="n">
        <v>41071</v>
      </c>
      <c r="B1154" s="0" t="n">
        <v>1308.93</v>
      </c>
      <c r="C1154" s="0" t="n">
        <v>248.3</v>
      </c>
      <c r="D1154" s="3" t="n">
        <f aca="false">B1154*100/B$2</f>
        <v>90.4481881754609</v>
      </c>
      <c r="E1154" s="3" t="n">
        <f aca="false">C1154*100/C$2</f>
        <v>105.524861878453</v>
      </c>
      <c r="F1154" s="0" t="n">
        <v>96.9733823488764</v>
      </c>
      <c r="G1154" s="0" t="n">
        <v>98.8236910511349</v>
      </c>
      <c r="H1154" s="0" t="n">
        <v>111.954951126222</v>
      </c>
      <c r="I1154" s="0" t="n">
        <v>13.1312600750869</v>
      </c>
    </row>
    <row r="1155" customFormat="false" ht="13.8" hidden="false" customHeight="false" outlineLevel="0" collapsed="false">
      <c r="A1155" s="2" t="n">
        <v>41072</v>
      </c>
      <c r="B1155" s="0" t="n">
        <v>1324.18</v>
      </c>
      <c r="C1155" s="0" t="n">
        <v>246.43</v>
      </c>
      <c r="D1155" s="3" t="n">
        <f aca="false">B1155*100/B$2</f>
        <v>91.501976284585</v>
      </c>
      <c r="E1155" s="3" t="n">
        <f aca="false">C1155*100/C$2</f>
        <v>104.730131746706</v>
      </c>
      <c r="F1155" s="0" t="n">
        <v>96.5967826639763</v>
      </c>
      <c r="G1155" s="0" t="n">
        <v>98.6978916118884</v>
      </c>
      <c r="H1155" s="0" t="n">
        <v>112.345941351466</v>
      </c>
      <c r="I1155" s="0" t="n">
        <v>13.6480497395778</v>
      </c>
    </row>
    <row r="1156" customFormat="false" ht="13.8" hidden="false" customHeight="false" outlineLevel="0" collapsed="false">
      <c r="A1156" s="2" t="n">
        <v>41073</v>
      </c>
      <c r="B1156" s="0" t="n">
        <v>1314.88</v>
      </c>
      <c r="C1156" s="0" t="n">
        <v>247.08</v>
      </c>
      <c r="D1156" s="3" t="n">
        <f aca="false">B1156*100/B$2</f>
        <v>90.8593382901683</v>
      </c>
      <c r="E1156" s="3" t="n">
        <f aca="false">C1156*100/C$2</f>
        <v>105.006374840629</v>
      </c>
      <c r="F1156" s="0" t="n">
        <v>97.1433704635286</v>
      </c>
      <c r="G1156" s="0" t="n">
        <v>98.8804739172902</v>
      </c>
      <c r="H1156" s="0" t="n">
        <v>112.345941351466</v>
      </c>
      <c r="I1156" s="0" t="n">
        <v>13.465467434176</v>
      </c>
    </row>
    <row r="1157" customFormat="false" ht="13.8" hidden="false" customHeight="false" outlineLevel="0" collapsed="false">
      <c r="A1157" s="2" t="n">
        <v>41074</v>
      </c>
      <c r="B1157" s="0" t="n">
        <v>1329.1</v>
      </c>
      <c r="C1157" s="0" t="n">
        <v>248.62</v>
      </c>
      <c r="D1157" s="3" t="n">
        <f aca="false">B1157*100/B$2</f>
        <v>91.8419525138893</v>
      </c>
      <c r="E1157" s="3" t="n">
        <f aca="false">C1157*100/C$2</f>
        <v>105.660858478538</v>
      </c>
      <c r="F1157" s="0" t="n">
        <v>96.900826446281</v>
      </c>
      <c r="G1157" s="0" t="n">
        <v>98.7994544619223</v>
      </c>
      <c r="H1157" s="0" t="n">
        <v>113.306417339567</v>
      </c>
      <c r="I1157" s="0" t="n">
        <v>14.5069628776442</v>
      </c>
    </row>
    <row r="1158" customFormat="false" ht="13.8" hidden="false" customHeight="false" outlineLevel="0" collapsed="false">
      <c r="A1158" s="2" t="n">
        <v>41075</v>
      </c>
      <c r="B1158" s="0" t="n">
        <v>1342.84</v>
      </c>
      <c r="C1158" s="0" t="n">
        <v>246.57</v>
      </c>
      <c r="D1158" s="3" t="n">
        <f aca="false">B1158*100/B$2</f>
        <v>92.7913983249952</v>
      </c>
      <c r="E1158" s="3" t="n">
        <f aca="false">C1158*100/C$2</f>
        <v>104.789630259244</v>
      </c>
      <c r="F1158" s="0" t="n">
        <v>96.1586832140192</v>
      </c>
      <c r="G1158" s="0" t="n">
        <v>98.5515487779761</v>
      </c>
      <c r="H1158" s="0" t="n">
        <v>113.068423289418</v>
      </c>
      <c r="I1158" s="0" t="n">
        <v>14.5168745114417</v>
      </c>
    </row>
    <row r="1159" customFormat="false" ht="13.8" hidden="false" customHeight="false" outlineLevel="0" collapsed="false">
      <c r="A1159" s="2" t="n">
        <v>41078</v>
      </c>
      <c r="B1159" s="0" t="n">
        <v>1344.78</v>
      </c>
      <c r="C1159" s="0" t="n">
        <v>251.37</v>
      </c>
      <c r="D1159" s="3" t="n">
        <f aca="false">B1159*100/B$2</f>
        <v>92.9254539926477</v>
      </c>
      <c r="E1159" s="3" t="n">
        <f aca="false">C1159*100/C$2</f>
        <v>106.829579260518</v>
      </c>
      <c r="F1159" s="0" t="n">
        <v>94.605986898477</v>
      </c>
      <c r="G1159" s="0" t="n">
        <v>98.032885768826</v>
      </c>
      <c r="H1159" s="0" t="n">
        <v>112.367190820229</v>
      </c>
      <c r="I1159" s="0" t="n">
        <v>14.3343050514035</v>
      </c>
    </row>
    <row r="1160" customFormat="false" ht="13.8" hidden="false" customHeight="false" outlineLevel="0" collapsed="false">
      <c r="A1160" s="2" t="n">
        <v>41079</v>
      </c>
      <c r="B1160" s="0" t="n">
        <v>1357.98</v>
      </c>
      <c r="C1160" s="0" t="n">
        <v>251.31</v>
      </c>
      <c r="D1160" s="3" t="n">
        <f aca="false">B1160*100/B$2</f>
        <v>93.8375853395616</v>
      </c>
      <c r="E1160" s="3" t="n">
        <f aca="false">C1160*100/C$2</f>
        <v>106.804079898003</v>
      </c>
      <c r="F1160" s="0" t="n">
        <v>94.6391553110921</v>
      </c>
      <c r="G1160" s="0" t="n">
        <v>98.0439653524661</v>
      </c>
      <c r="H1160" s="0" t="n">
        <v>110.382490437739</v>
      </c>
      <c r="I1160" s="0" t="n">
        <v>12.338525085273</v>
      </c>
    </row>
    <row r="1161" customFormat="false" ht="13.8" hidden="false" customHeight="false" outlineLevel="0" collapsed="false">
      <c r="A1161" s="2" t="n">
        <v>41080</v>
      </c>
      <c r="B1161" s="0" t="n">
        <v>1355.69</v>
      </c>
      <c r="C1161" s="0" t="n">
        <v>252.92</v>
      </c>
      <c r="D1161" s="3" t="n">
        <f aca="false">B1161*100/B$2</f>
        <v>93.679344371044</v>
      </c>
      <c r="E1161" s="3" t="n">
        <f aca="false">C1161*100/C$2</f>
        <v>107.48831279218</v>
      </c>
      <c r="F1161" s="0" t="n">
        <v>94.23422427375</v>
      </c>
      <c r="G1161" s="0" t="n">
        <v>97.9087021021937</v>
      </c>
      <c r="H1161" s="0" t="n">
        <v>110.973225669358</v>
      </c>
      <c r="I1161" s="0" t="n">
        <v>13.0645235671646</v>
      </c>
    </row>
    <row r="1162" customFormat="false" ht="13.8" hidden="false" customHeight="false" outlineLevel="0" collapsed="false">
      <c r="A1162" s="2" t="n">
        <v>41081</v>
      </c>
      <c r="B1162" s="0" t="n">
        <v>1325.51</v>
      </c>
      <c r="C1162" s="0" t="n">
        <v>250.46</v>
      </c>
      <c r="D1162" s="3" t="n">
        <f aca="false">B1162*100/B$2</f>
        <v>91.5938804278725</v>
      </c>
      <c r="E1162" s="3" t="n">
        <f aca="false">C1162*100/C$2</f>
        <v>106.442838929027</v>
      </c>
      <c r="F1162" s="0" t="n">
        <v>93.6026424168717</v>
      </c>
      <c r="G1162" s="0" t="n">
        <v>97.6977283637143</v>
      </c>
      <c r="H1162" s="0" t="n">
        <v>109.983000424989</v>
      </c>
      <c r="I1162" s="0" t="n">
        <v>12.2852720612751</v>
      </c>
    </row>
    <row r="1163" customFormat="false" ht="13.8" hidden="false" customHeight="false" outlineLevel="0" collapsed="false">
      <c r="A1163" s="2" t="n">
        <v>41082</v>
      </c>
      <c r="B1163" s="0" t="n">
        <v>1335.02</v>
      </c>
      <c r="C1163" s="0" t="n">
        <v>244.15</v>
      </c>
      <c r="D1163" s="3" t="n">
        <f aca="false">B1163*100/B$2</f>
        <v>92.2510296028083</v>
      </c>
      <c r="E1163" s="3" t="n">
        <f aca="false">C1163*100/C$2</f>
        <v>103.761155971101</v>
      </c>
      <c r="F1163" s="0" t="n">
        <v>93.8382763481578</v>
      </c>
      <c r="G1163" s="0" t="n">
        <v>97.7764395724905</v>
      </c>
      <c r="H1163" s="0" t="n">
        <v>109.60050998725</v>
      </c>
      <c r="I1163" s="0" t="n">
        <v>11.8240704147598</v>
      </c>
    </row>
    <row r="1164" customFormat="false" ht="13.8" hidden="false" customHeight="false" outlineLevel="0" collapsed="false">
      <c r="A1164" s="2" t="n">
        <v>41085</v>
      </c>
      <c r="B1164" s="0" t="n">
        <v>1313.72</v>
      </c>
      <c r="C1164" s="0" t="n">
        <v>240.75</v>
      </c>
      <c r="D1164" s="3" t="n">
        <f aca="false">B1164*100/B$2</f>
        <v>90.7791812930153</v>
      </c>
      <c r="E1164" s="3" t="n">
        <f aca="false">C1164*100/C$2</f>
        <v>102.316192095198</v>
      </c>
      <c r="F1164" s="0" t="n">
        <v>93.5204123939302</v>
      </c>
      <c r="G1164" s="0" t="n">
        <v>97.6702602292733</v>
      </c>
      <c r="H1164" s="0" t="n">
        <v>107.947301317467</v>
      </c>
      <c r="I1164" s="0" t="n">
        <v>10.2770410881937</v>
      </c>
    </row>
    <row r="1165" customFormat="false" ht="13.8" hidden="false" customHeight="false" outlineLevel="0" collapsed="false">
      <c r="A1165" s="2" t="n">
        <v>41086</v>
      </c>
      <c r="B1165" s="0" t="n">
        <v>1319.99</v>
      </c>
      <c r="C1165" s="0" t="n">
        <v>239.68</v>
      </c>
      <c r="D1165" s="3" t="n">
        <f aca="false">B1165*100/B$2</f>
        <v>91.2124436827994</v>
      </c>
      <c r="E1165" s="3" t="n">
        <f aca="false">C1165*100/C$2</f>
        <v>101.861453463663</v>
      </c>
      <c r="F1165" s="0" t="n">
        <v>92.4811354653252</v>
      </c>
      <c r="G1165" s="0" t="n">
        <v>97.323099941885</v>
      </c>
      <c r="H1165" s="0" t="n">
        <v>107.994050148746</v>
      </c>
      <c r="I1165" s="0" t="n">
        <v>10.6709502068613</v>
      </c>
    </row>
    <row r="1166" customFormat="false" ht="13.8" hidden="false" customHeight="false" outlineLevel="0" collapsed="false">
      <c r="A1166" s="2" t="n">
        <v>41087</v>
      </c>
      <c r="B1166" s="0" t="n">
        <v>1331.85</v>
      </c>
      <c r="C1166" s="0" t="n">
        <v>239.85</v>
      </c>
      <c r="D1166" s="3" t="n">
        <f aca="false">B1166*100/B$2</f>
        <v>92.0319798778297</v>
      </c>
      <c r="E1166" s="3" t="n">
        <f aca="false">C1166*100/C$2</f>
        <v>101.933701657459</v>
      </c>
      <c r="F1166" s="0" t="n">
        <v>91.9497498548882</v>
      </c>
      <c r="G1166" s="0" t="n">
        <v>97.1455957789849</v>
      </c>
      <c r="H1166" s="0" t="n">
        <v>107.233319167021</v>
      </c>
      <c r="I1166" s="0" t="n">
        <v>10.0877233880359</v>
      </c>
    </row>
    <row r="1167" customFormat="false" ht="13.8" hidden="false" customHeight="false" outlineLevel="0" collapsed="false">
      <c r="A1167" s="2" t="n">
        <v>41088</v>
      </c>
      <c r="B1167" s="0" t="n">
        <v>1329.04</v>
      </c>
      <c r="C1167" s="0" t="n">
        <v>239.98</v>
      </c>
      <c r="D1167" s="3" t="n">
        <f aca="false">B1167*100/B$2</f>
        <v>91.8378064623124</v>
      </c>
      <c r="E1167" s="3" t="n">
        <f aca="false">C1167*100/C$2</f>
        <v>101.988950276243</v>
      </c>
      <c r="F1167" s="0" t="n">
        <v>91.5448188175461</v>
      </c>
      <c r="G1167" s="0" t="n">
        <v>97.0103325287126</v>
      </c>
      <c r="H1167" s="0" t="n">
        <v>103.667658308542</v>
      </c>
      <c r="I1167" s="0" t="n">
        <v>6.65732577982971</v>
      </c>
    </row>
    <row r="1168" customFormat="false" ht="13.8" hidden="false" customHeight="false" outlineLevel="0" collapsed="false">
      <c r="A1168" s="2" t="n">
        <v>41089</v>
      </c>
      <c r="B1168" s="0" t="n">
        <v>1362.16</v>
      </c>
      <c r="C1168" s="0" t="n">
        <v>244.9</v>
      </c>
      <c r="D1168" s="3" t="n">
        <f aca="false">B1168*100/B$2</f>
        <v>94.1264269327511</v>
      </c>
      <c r="E1168" s="3" t="n">
        <f aca="false">C1168*100/C$2</f>
        <v>104.07989800255</v>
      </c>
      <c r="F1168" s="0" t="n">
        <v>90.1669476768291</v>
      </c>
      <c r="G1168" s="0" t="n">
        <v>96.550068158332</v>
      </c>
      <c r="H1168" s="0" t="n">
        <v>103.901402464938</v>
      </c>
      <c r="I1168" s="0" t="n">
        <v>7.35133430660642</v>
      </c>
    </row>
    <row r="1169" customFormat="false" ht="13.8" hidden="false" customHeight="false" outlineLevel="0" collapsed="false">
      <c r="A1169" s="2" t="n">
        <v>41092</v>
      </c>
      <c r="B1169" s="0" t="n">
        <v>1365.51</v>
      </c>
      <c r="C1169" s="0" t="n">
        <v>244.46</v>
      </c>
      <c r="D1169" s="3" t="n">
        <f aca="false">B1169*100/B$2</f>
        <v>94.3579148124603</v>
      </c>
      <c r="E1169" s="3" t="n">
        <f aca="false">C1169*100/C$2</f>
        <v>103.892902677433</v>
      </c>
      <c r="F1169" s="0" t="n">
        <v>89.5008153901435</v>
      </c>
      <c r="G1169" s="0" t="n">
        <v>96.3275531868942</v>
      </c>
      <c r="H1169" s="0" t="n">
        <v>100.233744156396</v>
      </c>
      <c r="I1169" s="0" t="n">
        <v>3.90619096950191</v>
      </c>
    </row>
    <row r="1170" customFormat="false" ht="13.8" hidden="false" customHeight="false" outlineLevel="0" collapsed="false">
      <c r="A1170" s="2" t="n">
        <v>41093</v>
      </c>
      <c r="B1170" s="0" t="n">
        <v>1374.02</v>
      </c>
      <c r="C1170" s="0" t="n">
        <v>246.8</v>
      </c>
      <c r="D1170" s="3" t="n">
        <f aca="false">B1170*100/B$2</f>
        <v>94.9459631277813</v>
      </c>
      <c r="E1170" s="3" t="n">
        <f aca="false">C1170*100/C$2</f>
        <v>104.887377815555</v>
      </c>
      <c r="F1170" s="0" t="n">
        <v>90.9360402443406</v>
      </c>
      <c r="G1170" s="0" t="n">
        <v>96.8069760039857</v>
      </c>
      <c r="H1170" s="0" t="n">
        <v>101.410964725882</v>
      </c>
      <c r="I1170" s="0" t="n">
        <v>4.60398872189612</v>
      </c>
    </row>
    <row r="1171" customFormat="false" ht="13.8" hidden="false" customHeight="false" outlineLevel="0" collapsed="false">
      <c r="A1171" s="2" t="n">
        <v>41094</v>
      </c>
      <c r="B1171" s="0" t="n">
        <v>1374.02</v>
      </c>
      <c r="C1171" s="0" t="n">
        <v>247.76</v>
      </c>
      <c r="D1171" s="3" t="n">
        <f aca="false">B1171*100/B$2</f>
        <v>94.9459631277813</v>
      </c>
      <c r="E1171" s="3" t="n">
        <f aca="false">C1171*100/C$2</f>
        <v>105.29536761581</v>
      </c>
      <c r="F1171" s="0" t="n">
        <v>90.980264794494</v>
      </c>
      <c r="G1171" s="0" t="n">
        <v>96.8217487821725</v>
      </c>
      <c r="H1171" s="0" t="n">
        <v>103.127921801955</v>
      </c>
      <c r="I1171" s="0" t="n">
        <v>6.30617301978246</v>
      </c>
    </row>
    <row r="1172" customFormat="false" ht="13.8" hidden="false" customHeight="false" outlineLevel="0" collapsed="false">
      <c r="A1172" s="2" t="n">
        <v>41095</v>
      </c>
      <c r="B1172" s="0" t="n">
        <v>1367.58</v>
      </c>
      <c r="C1172" s="0" t="n">
        <v>247.67</v>
      </c>
      <c r="D1172" s="3" t="n">
        <f aca="false">B1172*100/B$2</f>
        <v>94.5009535918627</v>
      </c>
      <c r="E1172" s="3" t="n">
        <f aca="false">C1172*100/C$2</f>
        <v>105.257118572036</v>
      </c>
      <c r="F1172" s="0" t="n">
        <v>91.1343597114348</v>
      </c>
      <c r="G1172" s="0" t="n">
        <v>96.8732226811669</v>
      </c>
      <c r="H1172" s="0" t="n">
        <v>101.895452613685</v>
      </c>
      <c r="I1172" s="0" t="n">
        <v>5.02222993251776</v>
      </c>
    </row>
    <row r="1173" customFormat="false" ht="13.8" hidden="false" customHeight="false" outlineLevel="0" collapsed="false">
      <c r="A1173" s="2" t="n">
        <v>41096</v>
      </c>
      <c r="B1173" s="0" t="n">
        <v>1354.68</v>
      </c>
      <c r="C1173" s="0" t="n">
        <v>245.07</v>
      </c>
      <c r="D1173" s="3" t="n">
        <f aca="false">B1173*100/B$2</f>
        <v>93.6095525028331</v>
      </c>
      <c r="E1173" s="3" t="n">
        <f aca="false">C1173*100/C$2</f>
        <v>104.152146196345</v>
      </c>
      <c r="F1173" s="0" t="n">
        <v>91.2601232759335</v>
      </c>
      <c r="G1173" s="0" t="n">
        <v>96.9152327691354</v>
      </c>
      <c r="H1173" s="0" t="n">
        <v>102.214194645134</v>
      </c>
      <c r="I1173" s="0" t="n">
        <v>5.29896187599844</v>
      </c>
    </row>
    <row r="1174" customFormat="false" ht="13.8" hidden="false" customHeight="false" outlineLevel="0" collapsed="false">
      <c r="A1174" s="2" t="n">
        <v>41099</v>
      </c>
      <c r="B1174" s="0" t="n">
        <v>1352.46</v>
      </c>
      <c r="C1174" s="0" t="n">
        <v>241.73</v>
      </c>
      <c r="D1174" s="3" t="n">
        <f aca="false">B1174*100/B$2</f>
        <v>93.4561485944885</v>
      </c>
      <c r="E1174" s="3" t="n">
        <f aca="false">C1174*100/C$2</f>
        <v>102.732681682958</v>
      </c>
      <c r="F1174" s="0" t="n">
        <v>91.0624948174355</v>
      </c>
      <c r="G1174" s="0" t="n">
        <v>96.8492169166134</v>
      </c>
      <c r="H1174" s="0" t="n">
        <v>102.677433064173</v>
      </c>
      <c r="I1174" s="0" t="n">
        <v>5.82821614755994</v>
      </c>
    </row>
    <row r="1175" customFormat="false" ht="13.8" hidden="false" customHeight="false" outlineLevel="0" collapsed="false">
      <c r="A1175" s="2" t="n">
        <v>41100</v>
      </c>
      <c r="B1175" s="0" t="n">
        <v>1341.47</v>
      </c>
      <c r="C1175" s="0" t="n">
        <v>240.88</v>
      </c>
      <c r="D1175" s="3" t="n">
        <f aca="false">B1175*100/B$2</f>
        <v>92.696730147323</v>
      </c>
      <c r="E1175" s="3" t="n">
        <f aca="false">C1175*100/C$2</f>
        <v>102.371440713982</v>
      </c>
      <c r="F1175" s="0" t="n">
        <v>92.0713673678101</v>
      </c>
      <c r="G1175" s="0" t="n">
        <v>97.1862209189984</v>
      </c>
      <c r="H1175" s="0" t="n">
        <v>104.232894177646</v>
      </c>
      <c r="I1175" s="0" t="n">
        <v>7.0466732586471</v>
      </c>
    </row>
    <row r="1176" customFormat="false" ht="13.8" hidden="false" customHeight="false" outlineLevel="0" collapsed="false">
      <c r="A1176" s="2" t="n">
        <v>41101</v>
      </c>
      <c r="B1176" s="0" t="n">
        <v>1341.45</v>
      </c>
      <c r="C1176" s="0" t="n">
        <v>240.34</v>
      </c>
      <c r="D1176" s="3" t="n">
        <f aca="false">B1176*100/B$2</f>
        <v>92.6953481301307</v>
      </c>
      <c r="E1176" s="3" t="n">
        <f aca="false">C1176*100/C$2</f>
        <v>102.141946451339</v>
      </c>
      <c r="F1176" s="0" t="n">
        <v>90.7515409491694</v>
      </c>
      <c r="G1176" s="0" t="n">
        <v>96.7453458199879</v>
      </c>
      <c r="H1176" s="0" t="n">
        <v>103.986400339992</v>
      </c>
      <c r="I1176" s="0" t="n">
        <v>7.24105452000357</v>
      </c>
    </row>
    <row r="1177" customFormat="false" ht="13.8" hidden="false" customHeight="false" outlineLevel="0" collapsed="false">
      <c r="A1177" s="2" t="n">
        <v>41102</v>
      </c>
      <c r="B1177" s="0" t="n">
        <v>1334.76</v>
      </c>
      <c r="C1177" s="0" t="n">
        <v>234.66</v>
      </c>
      <c r="D1177" s="3" t="n">
        <f aca="false">B1177*100/B$2</f>
        <v>92.2330633793084</v>
      </c>
      <c r="E1177" s="3" t="n">
        <f aca="false">C1177*100/C$2</f>
        <v>99.72800679983</v>
      </c>
      <c r="F1177" s="0" t="n">
        <v>90.5449293789215</v>
      </c>
      <c r="G1177" s="0" t="n">
        <v>96.6763292468968</v>
      </c>
      <c r="H1177" s="0" t="n">
        <v>103.718657033574</v>
      </c>
      <c r="I1177" s="0" t="n">
        <v>7.0423277866774</v>
      </c>
    </row>
    <row r="1178" customFormat="false" ht="13.8" hidden="false" customHeight="false" outlineLevel="0" collapsed="false">
      <c r="A1178" s="2" t="n">
        <v>41103</v>
      </c>
      <c r="B1178" s="0" t="n">
        <v>1356.78</v>
      </c>
      <c r="C1178" s="0" t="n">
        <v>238.77</v>
      </c>
      <c r="D1178" s="3" t="n">
        <f aca="false">B1178*100/B$2</f>
        <v>93.754664308024</v>
      </c>
      <c r="E1178" s="3" t="n">
        <f aca="false">C1178*100/C$2</f>
        <v>101.474713132172</v>
      </c>
      <c r="F1178" s="0" t="n">
        <v>88.313662621963</v>
      </c>
      <c r="G1178" s="0" t="n">
        <v>95.9309964224439</v>
      </c>
      <c r="H1178" s="0" t="n">
        <v>103.26391840204</v>
      </c>
      <c r="I1178" s="0" t="n">
        <v>7.33292197959607</v>
      </c>
    </row>
    <row r="1179" customFormat="false" ht="13.8" hidden="false" customHeight="false" outlineLevel="0" collapsed="false">
      <c r="A1179" s="2" t="n">
        <v>41106</v>
      </c>
      <c r="B1179" s="0" t="n">
        <v>1353.64</v>
      </c>
      <c r="C1179" s="0" t="n">
        <v>239.39</v>
      </c>
      <c r="D1179" s="3" t="n">
        <f aca="false">B1179*100/B$2</f>
        <v>93.5376876088339</v>
      </c>
      <c r="E1179" s="3" t="n">
        <f aca="false">C1179*100/C$2</f>
        <v>101.738206544836</v>
      </c>
      <c r="F1179" s="0" t="n">
        <v>88.3233367423091</v>
      </c>
      <c r="G1179" s="0" t="n">
        <v>95.9342279676722</v>
      </c>
      <c r="H1179" s="0" t="n">
        <v>100.424989375266</v>
      </c>
      <c r="I1179" s="0" t="n">
        <v>4.49076140759338</v>
      </c>
    </row>
    <row r="1180" customFormat="false" ht="13.8" hidden="false" customHeight="false" outlineLevel="0" collapsed="false">
      <c r="A1180" s="2" t="n">
        <v>41107</v>
      </c>
      <c r="B1180" s="0" t="n">
        <v>1363.67</v>
      </c>
      <c r="C1180" s="0" t="n">
        <v>240.19</v>
      </c>
      <c r="D1180" s="3" t="n">
        <f aca="false">B1180*100/B$2</f>
        <v>94.2307692307692</v>
      </c>
      <c r="E1180" s="3" t="n">
        <f aca="false">C1180*100/C$2</f>
        <v>102.078198045049</v>
      </c>
      <c r="F1180" s="0" t="n">
        <v>88.8291550346886</v>
      </c>
      <c r="G1180" s="0" t="n">
        <v>96.1031916181831</v>
      </c>
      <c r="H1180" s="0" t="n">
        <v>101.483212919677</v>
      </c>
      <c r="I1180" s="0" t="n">
        <v>5.38002130149393</v>
      </c>
    </row>
    <row r="1181" customFormat="false" ht="13.8" hidden="false" customHeight="false" outlineLevel="0" collapsed="false">
      <c r="A1181" s="2" t="n">
        <v>41108</v>
      </c>
      <c r="B1181" s="0" t="n">
        <v>1372.78</v>
      </c>
      <c r="C1181" s="0" t="n">
        <v>236.42</v>
      </c>
      <c r="D1181" s="3" t="n">
        <f aca="false">B1181*100/B$2</f>
        <v>94.8602780618591</v>
      </c>
      <c r="E1181" s="3" t="n">
        <f aca="false">C1181*100/C$2</f>
        <v>100.475988100297</v>
      </c>
      <c r="F1181" s="0" t="n">
        <v>90.876613505072</v>
      </c>
      <c r="G1181" s="0" t="n">
        <v>96.7871250832973</v>
      </c>
      <c r="H1181" s="0" t="n">
        <v>101.483212919677</v>
      </c>
      <c r="I1181" s="0" t="n">
        <v>4.6960878363797</v>
      </c>
    </row>
    <row r="1182" customFormat="false" ht="13.8" hidden="false" customHeight="false" outlineLevel="0" collapsed="false">
      <c r="A1182" s="2" t="n">
        <v>41109</v>
      </c>
      <c r="B1182" s="0" t="n">
        <v>1376.51</v>
      </c>
      <c r="C1182" s="0" t="n">
        <v>240.44</v>
      </c>
      <c r="D1182" s="3" t="n">
        <f aca="false">B1182*100/B$2</f>
        <v>95.1180242682219</v>
      </c>
      <c r="E1182" s="3" t="n">
        <f aca="false">C1182*100/C$2</f>
        <v>102.184445388865</v>
      </c>
      <c r="F1182" s="0" t="n">
        <v>90.8669393847259</v>
      </c>
      <c r="G1182" s="0" t="n">
        <v>96.783893538069</v>
      </c>
      <c r="H1182" s="0" t="n">
        <v>104.339141521462</v>
      </c>
      <c r="I1182" s="0" t="n">
        <v>7.555247983393</v>
      </c>
    </row>
    <row r="1183" customFormat="false" ht="13.8" hidden="false" customHeight="false" outlineLevel="0" collapsed="false">
      <c r="A1183" s="2" t="n">
        <v>41110</v>
      </c>
      <c r="B1183" s="0" t="n">
        <v>1362.66</v>
      </c>
      <c r="C1183" s="0" t="n">
        <v>240.35</v>
      </c>
      <c r="D1183" s="3" t="n">
        <f aca="false">B1183*100/B$2</f>
        <v>94.1609773625584</v>
      </c>
      <c r="E1183" s="3" t="n">
        <f aca="false">C1183*100/C$2</f>
        <v>102.146196345091</v>
      </c>
      <c r="F1183" s="0" t="n">
        <v>91.6042455568147</v>
      </c>
      <c r="G1183" s="0" t="n">
        <v>97.030183449401</v>
      </c>
      <c r="H1183" s="0" t="n">
        <v>103.565660858479</v>
      </c>
      <c r="I1183" s="0" t="n">
        <v>6.53547740907753</v>
      </c>
    </row>
    <row r="1184" customFormat="false" ht="13.8" hidden="false" customHeight="false" outlineLevel="0" collapsed="false">
      <c r="A1184" s="2" t="n">
        <v>41113</v>
      </c>
      <c r="B1184" s="0" t="n">
        <v>1350.52</v>
      </c>
      <c r="C1184" s="0" t="n">
        <v>235.75</v>
      </c>
      <c r="D1184" s="3" t="n">
        <f aca="false">B1184*100/B$2</f>
        <v>93.322092926836</v>
      </c>
      <c r="E1184" s="3" t="n">
        <f aca="false">C1184*100/C$2</f>
        <v>100.19124521887</v>
      </c>
      <c r="F1184" s="0" t="n">
        <v>90.4481881754609</v>
      </c>
      <c r="G1184" s="0" t="n">
        <v>96.6440137946133</v>
      </c>
      <c r="H1184" s="0" t="n">
        <v>105.524861878453</v>
      </c>
      <c r="I1184" s="0" t="n">
        <v>8.88084808383978</v>
      </c>
    </row>
    <row r="1185" customFormat="false" ht="13.8" hidden="false" customHeight="false" outlineLevel="0" collapsed="false">
      <c r="A1185" s="2" t="n">
        <v>41114</v>
      </c>
      <c r="B1185" s="0" t="n">
        <v>1338.31</v>
      </c>
      <c r="C1185" s="0" t="n">
        <v>236.65</v>
      </c>
      <c r="D1185" s="3" t="n">
        <f aca="false">B1185*100/B$2</f>
        <v>92.4783714309406</v>
      </c>
      <c r="E1185" s="3" t="n">
        <f aca="false">C1185*100/C$2</f>
        <v>100.573735656609</v>
      </c>
      <c r="F1185" s="0" t="n">
        <v>91.501976284585</v>
      </c>
      <c r="G1185" s="0" t="n">
        <v>96.9960213998442</v>
      </c>
      <c r="H1185" s="0" t="n">
        <v>104.730131746706</v>
      </c>
      <c r="I1185" s="0" t="n">
        <v>7.73411034686217</v>
      </c>
    </row>
    <row r="1186" customFormat="false" ht="13.8" hidden="false" customHeight="false" outlineLevel="0" collapsed="false">
      <c r="A1186" s="2" t="n">
        <v>41115</v>
      </c>
      <c r="B1186" s="0" t="n">
        <v>1337.89</v>
      </c>
      <c r="C1186" s="0" t="n">
        <v>233.49</v>
      </c>
      <c r="D1186" s="3" t="n">
        <f aca="false">B1186*100/B$2</f>
        <v>92.4493490699024</v>
      </c>
      <c r="E1186" s="3" t="n">
        <f aca="false">C1186*100/C$2</f>
        <v>99.2307692307692</v>
      </c>
      <c r="F1186" s="0" t="n">
        <v>90.8593382901683</v>
      </c>
      <c r="G1186" s="0" t="n">
        <v>96.7813544668181</v>
      </c>
      <c r="H1186" s="0" t="n">
        <v>105.006374840629</v>
      </c>
      <c r="I1186" s="0" t="n">
        <v>8.22502037381088</v>
      </c>
    </row>
    <row r="1187" customFormat="false" ht="13.8" hidden="false" customHeight="false" outlineLevel="0" collapsed="false">
      <c r="A1187" s="2" t="n">
        <v>41116</v>
      </c>
      <c r="B1187" s="0" t="n">
        <v>1360.02</v>
      </c>
      <c r="C1187" s="0" t="n">
        <v>235.33</v>
      </c>
      <c r="D1187" s="3" t="n">
        <f aca="false">B1187*100/B$2</f>
        <v>93.9785510931756</v>
      </c>
      <c r="E1187" s="3" t="n">
        <f aca="false">C1187*100/C$2</f>
        <v>100.012749681258</v>
      </c>
      <c r="F1187" s="0" t="n">
        <v>91.8419525138893</v>
      </c>
      <c r="G1187" s="0" t="n">
        <v>97.1095871321547</v>
      </c>
      <c r="H1187" s="0" t="n">
        <v>105.660858478538</v>
      </c>
      <c r="I1187" s="0" t="n">
        <v>8.5512713463833</v>
      </c>
    </row>
    <row r="1188" customFormat="false" ht="13.8" hidden="false" customHeight="false" outlineLevel="0" collapsed="false">
      <c r="A1188" s="2" t="n">
        <v>41117</v>
      </c>
      <c r="B1188" s="0" t="n">
        <v>1385.97</v>
      </c>
      <c r="C1188" s="0" t="n">
        <v>242.23</v>
      </c>
      <c r="D1188" s="3" t="n">
        <f aca="false">B1188*100/B$2</f>
        <v>95.7717184001769</v>
      </c>
      <c r="E1188" s="3" t="n">
        <f aca="false">C1188*100/C$2</f>
        <v>102.945176370591</v>
      </c>
      <c r="F1188" s="0" t="n">
        <v>92.7913983249952</v>
      </c>
      <c r="G1188" s="0" t="n">
        <v>97.4267402138513</v>
      </c>
      <c r="H1188" s="0" t="n">
        <v>104.789630259244</v>
      </c>
      <c r="I1188" s="0" t="n">
        <v>7.36289004539221</v>
      </c>
    </row>
    <row r="1189" customFormat="false" ht="13.8" hidden="false" customHeight="false" outlineLevel="0" collapsed="false">
      <c r="A1189" s="2" t="n">
        <v>41120</v>
      </c>
      <c r="B1189" s="0" t="n">
        <v>1385.3</v>
      </c>
      <c r="C1189" s="0" t="n">
        <v>244.58</v>
      </c>
      <c r="D1189" s="3" t="n">
        <f aca="false">B1189*100/B$2</f>
        <v>95.7254208242351</v>
      </c>
      <c r="E1189" s="3" t="n">
        <f aca="false">C1189*100/C$2</f>
        <v>103.943901402465</v>
      </c>
      <c r="F1189" s="0" t="n">
        <v>92.9254539926477</v>
      </c>
      <c r="G1189" s="0" t="n">
        <v>97.4715201977299</v>
      </c>
      <c r="H1189" s="0" t="n">
        <v>106.829579260518</v>
      </c>
      <c r="I1189" s="0" t="n">
        <v>9.35805906278863</v>
      </c>
    </row>
    <row r="1190" customFormat="false" ht="13.8" hidden="false" customHeight="false" outlineLevel="0" collapsed="false">
      <c r="A1190" s="2" t="n">
        <v>41121</v>
      </c>
      <c r="B1190" s="0" t="n">
        <v>1379.32</v>
      </c>
      <c r="C1190" s="0" t="n">
        <v>250.08</v>
      </c>
      <c r="D1190" s="3" t="n">
        <f aca="false">B1190*100/B$2</f>
        <v>95.3121976837392</v>
      </c>
      <c r="E1190" s="3" t="n">
        <f aca="false">C1190*100/C$2</f>
        <v>106.281342966426</v>
      </c>
      <c r="F1190" s="0" t="n">
        <v>93.8375853395616</v>
      </c>
      <c r="G1190" s="0" t="n">
        <v>97.7762087478314</v>
      </c>
      <c r="H1190" s="0" t="n">
        <v>106.804079898003</v>
      </c>
      <c r="I1190" s="0" t="n">
        <v>9.02787115017117</v>
      </c>
    </row>
    <row r="1191" customFormat="false" ht="13.8" hidden="false" customHeight="false" outlineLevel="0" collapsed="false">
      <c r="A1191" s="2" t="n">
        <v>41122</v>
      </c>
      <c r="B1191" s="0" t="n">
        <v>1375.14</v>
      </c>
      <c r="C1191" s="0" t="n">
        <v>249.6</v>
      </c>
      <c r="D1191" s="3" t="n">
        <f aca="false">B1191*100/B$2</f>
        <v>95.0233560905498</v>
      </c>
      <c r="E1191" s="3" t="n">
        <f aca="false">C1191*100/C$2</f>
        <v>106.077348066298</v>
      </c>
      <c r="F1191" s="0" t="n">
        <v>93.679344371044</v>
      </c>
      <c r="G1191" s="0" t="n">
        <v>97.7233499008819</v>
      </c>
      <c r="H1191" s="0" t="n">
        <v>107.48831279218</v>
      </c>
      <c r="I1191" s="0" t="n">
        <v>9.76496289129825</v>
      </c>
    </row>
    <row r="1192" customFormat="false" ht="13.8" hidden="false" customHeight="false" outlineLevel="0" collapsed="false">
      <c r="A1192" s="2" t="n">
        <v>41123</v>
      </c>
      <c r="B1192" s="0" t="n">
        <v>1365</v>
      </c>
      <c r="C1192" s="0" t="n">
        <v>247.9</v>
      </c>
      <c r="D1192" s="3" t="n">
        <f aca="false">B1192*100/B$2</f>
        <v>94.3226733740568</v>
      </c>
      <c r="E1192" s="3" t="n">
        <f aca="false">C1192*100/C$2</f>
        <v>105.354866128347</v>
      </c>
      <c r="F1192" s="0" t="n">
        <v>91.5938804278725</v>
      </c>
      <c r="G1192" s="0" t="n">
        <v>97.0267210795135</v>
      </c>
      <c r="H1192" s="0" t="n">
        <v>106.442838929027</v>
      </c>
      <c r="I1192" s="0" t="n">
        <v>9.41611784951327</v>
      </c>
    </row>
    <row r="1193" customFormat="false" ht="13.8" hidden="false" customHeight="false" outlineLevel="0" collapsed="false">
      <c r="A1193" s="2" t="n">
        <v>41124</v>
      </c>
      <c r="B1193" s="0" t="n">
        <v>1390.99</v>
      </c>
      <c r="C1193" s="0" t="n">
        <v>244.81</v>
      </c>
      <c r="D1193" s="3" t="n">
        <f aca="false">B1193*100/B$2</f>
        <v>96.1186047154427</v>
      </c>
      <c r="E1193" s="3" t="n">
        <f aca="false">C1193*100/C$2</f>
        <v>104.041648958776</v>
      </c>
      <c r="F1193" s="0" t="n">
        <v>92.2510296028083</v>
      </c>
      <c r="G1193" s="0" t="n">
        <v>97.2462353303821</v>
      </c>
      <c r="H1193" s="0" t="n">
        <v>103.761155971101</v>
      </c>
      <c r="I1193" s="0" t="n">
        <v>6.51492064071864</v>
      </c>
    </row>
    <row r="1194" customFormat="false" ht="13.8" hidden="false" customHeight="false" outlineLevel="0" collapsed="false">
      <c r="A1194" s="2" t="n">
        <v>41127</v>
      </c>
      <c r="B1194" s="0" t="n">
        <v>1394.23</v>
      </c>
      <c r="C1194" s="0" t="n">
        <v>250.36</v>
      </c>
      <c r="D1194" s="3" t="n">
        <f aca="false">B1194*100/B$2</f>
        <v>96.3424915005943</v>
      </c>
      <c r="E1194" s="3" t="n">
        <f aca="false">C1194*100/C$2</f>
        <v>106.4003399915</v>
      </c>
      <c r="F1194" s="0" t="n">
        <v>90.7791812930153</v>
      </c>
      <c r="G1194" s="0" t="n">
        <v>96.7545788063547</v>
      </c>
      <c r="H1194" s="0" t="n">
        <v>102.316192095198</v>
      </c>
      <c r="I1194" s="0" t="n">
        <v>5.56161328884298</v>
      </c>
    </row>
    <row r="1195" customFormat="false" ht="13.8" hidden="false" customHeight="false" outlineLevel="0" collapsed="false">
      <c r="A1195" s="2" t="n">
        <v>41128</v>
      </c>
      <c r="B1195" s="0" t="n">
        <v>1401.35</v>
      </c>
      <c r="C1195" s="0" t="n">
        <v>250.39</v>
      </c>
      <c r="D1195" s="3" t="n">
        <f aca="false">B1195*100/B$2</f>
        <v>96.8344896210509</v>
      </c>
      <c r="E1195" s="3" t="n">
        <f aca="false">C1195*100/C$2</f>
        <v>106.413089672758</v>
      </c>
      <c r="F1195" s="0" t="n">
        <v>91.2124436827994</v>
      </c>
      <c r="G1195" s="0" t="n">
        <v>96.8993058676529</v>
      </c>
      <c r="H1195" s="0" t="n">
        <v>101.861453463663</v>
      </c>
      <c r="I1195" s="0" t="n">
        <v>4.96214759601055</v>
      </c>
    </row>
    <row r="1196" customFormat="false" ht="13.8" hidden="false" customHeight="false" outlineLevel="0" collapsed="false">
      <c r="A1196" s="2" t="n">
        <v>41129</v>
      </c>
      <c r="B1196" s="0" t="n">
        <v>1402.22</v>
      </c>
      <c r="C1196" s="0" t="n">
        <v>252.84</v>
      </c>
      <c r="D1196" s="3" t="n">
        <f aca="false">B1196*100/B$2</f>
        <v>96.8946073689157</v>
      </c>
      <c r="E1196" s="3" t="n">
        <f aca="false">C1196*100/C$2</f>
        <v>107.454313642159</v>
      </c>
      <c r="F1196" s="0" t="n">
        <v>92.0319798778297</v>
      </c>
      <c r="G1196" s="0" t="n">
        <v>97.1730639134259</v>
      </c>
      <c r="H1196" s="0" t="n">
        <v>101.933701657459</v>
      </c>
      <c r="I1196" s="0" t="n">
        <v>4.76063774403268</v>
      </c>
    </row>
    <row r="1197" customFormat="false" ht="13.8" hidden="false" customHeight="false" outlineLevel="0" collapsed="false">
      <c r="A1197" s="2" t="n">
        <v>41130</v>
      </c>
      <c r="B1197" s="0" t="n">
        <v>1402.8</v>
      </c>
      <c r="C1197" s="0" t="n">
        <v>258.08</v>
      </c>
      <c r="D1197" s="3" t="n">
        <f aca="false">B1197*100/B$2</f>
        <v>96.9346858674922</v>
      </c>
      <c r="E1197" s="3" t="n">
        <f aca="false">C1197*100/C$2</f>
        <v>109.681257968551</v>
      </c>
      <c r="F1197" s="0" t="n">
        <v>91.8378064623124</v>
      </c>
      <c r="G1197" s="0" t="n">
        <v>97.1082021841997</v>
      </c>
      <c r="H1197" s="0" t="n">
        <v>101.988950276243</v>
      </c>
      <c r="I1197" s="0" t="n">
        <v>4.88074809204336</v>
      </c>
    </row>
    <row r="1198" customFormat="false" ht="13.8" hidden="false" customHeight="false" outlineLevel="0" collapsed="false">
      <c r="A1198" s="2" t="n">
        <v>41131</v>
      </c>
      <c r="B1198" s="0" t="n">
        <v>1405.87</v>
      </c>
      <c r="C1198" s="0" t="n">
        <v>258.91</v>
      </c>
      <c r="D1198" s="3" t="n">
        <f aca="false">B1198*100/B$2</f>
        <v>97.1468255065093</v>
      </c>
      <c r="E1198" s="3" t="n">
        <f aca="false">C1198*100/C$2</f>
        <v>110.033999150021</v>
      </c>
      <c r="F1198" s="0" t="n">
        <v>94.1264269327511</v>
      </c>
      <c r="G1198" s="0" t="n">
        <v>97.8726934553635</v>
      </c>
      <c r="H1198" s="0" t="n">
        <v>104.07989800255</v>
      </c>
      <c r="I1198" s="0" t="n">
        <v>6.20720454718641</v>
      </c>
    </row>
    <row r="1199" customFormat="false" ht="13.8" hidden="false" customHeight="false" outlineLevel="0" collapsed="false">
      <c r="A1199" s="2" t="n">
        <v>41134</v>
      </c>
      <c r="B1199" s="0" t="n">
        <v>1404.11</v>
      </c>
      <c r="C1199" s="0" t="n">
        <v>256.65</v>
      </c>
      <c r="D1199" s="3" t="n">
        <f aca="false">B1199*100/B$2</f>
        <v>97.0252079935874</v>
      </c>
      <c r="E1199" s="3" t="n">
        <f aca="false">C1199*100/C$2</f>
        <v>109.073523161921</v>
      </c>
      <c r="F1199" s="0" t="n">
        <v>94.3579148124603</v>
      </c>
      <c r="G1199" s="0" t="n">
        <v>97.9500197161847</v>
      </c>
      <c r="H1199" s="0" t="n">
        <v>103.892902677433</v>
      </c>
      <c r="I1199" s="0" t="n">
        <v>5.94288296124832</v>
      </c>
    </row>
    <row r="1200" customFormat="false" ht="13.8" hidden="false" customHeight="false" outlineLevel="0" collapsed="false">
      <c r="A1200" s="2" t="n">
        <v>41135</v>
      </c>
      <c r="B1200" s="0" t="n">
        <v>1403.93</v>
      </c>
      <c r="C1200" s="0" t="n">
        <v>260.11</v>
      </c>
      <c r="D1200" s="3" t="n">
        <f aca="false">B1200*100/B$2</f>
        <v>97.0127698388568</v>
      </c>
      <c r="E1200" s="3" t="n">
        <f aca="false">C1200*100/C$2</f>
        <v>110.54398640034</v>
      </c>
      <c r="F1200" s="0" t="n">
        <v>94.9459631277813</v>
      </c>
      <c r="G1200" s="0" t="n">
        <v>98.1464515011365</v>
      </c>
      <c r="H1200" s="0" t="n">
        <v>104.887377815555</v>
      </c>
      <c r="I1200" s="0" t="n">
        <v>6.74092631441806</v>
      </c>
    </row>
    <row r="1201" customFormat="false" ht="13.8" hidden="false" customHeight="false" outlineLevel="0" collapsed="false">
      <c r="A1201" s="2" t="n">
        <v>41136</v>
      </c>
      <c r="B1201" s="0" t="n">
        <v>1405.53</v>
      </c>
      <c r="C1201" s="0" t="n">
        <v>260.11</v>
      </c>
      <c r="D1201" s="3" t="n">
        <f aca="false">B1201*100/B$2</f>
        <v>97.1233312142403</v>
      </c>
      <c r="E1201" s="3" t="n">
        <f aca="false">C1201*100/C$2</f>
        <v>110.54398640034</v>
      </c>
      <c r="F1201" s="0" t="n">
        <v>94.9459631277813</v>
      </c>
      <c r="G1201" s="0" t="n">
        <v>98.1464515011365</v>
      </c>
      <c r="H1201" s="0" t="n">
        <v>105.29536761581</v>
      </c>
      <c r="I1201" s="0" t="n">
        <v>7.14891611467306</v>
      </c>
    </row>
    <row r="1202" customFormat="false" ht="13.8" hidden="false" customHeight="false" outlineLevel="0" collapsed="false">
      <c r="A1202" s="2" t="n">
        <v>41137</v>
      </c>
      <c r="B1202" s="0" t="n">
        <v>1415.51</v>
      </c>
      <c r="C1202" s="0" t="n">
        <v>260.08</v>
      </c>
      <c r="D1202" s="3" t="n">
        <f aca="false">B1202*100/B$2</f>
        <v>97.8129577931949</v>
      </c>
      <c r="E1202" s="3" t="n">
        <f aca="false">C1202*100/C$2</f>
        <v>110.531236719082</v>
      </c>
      <c r="F1202" s="0" t="n">
        <v>94.5009535918627</v>
      </c>
      <c r="G1202" s="0" t="n">
        <v>97.9978004206325</v>
      </c>
      <c r="H1202" s="0" t="n">
        <v>105.257118572036</v>
      </c>
      <c r="I1202" s="0" t="n">
        <v>7.25931815140322</v>
      </c>
    </row>
    <row r="1203" customFormat="false" ht="13.8" hidden="false" customHeight="false" outlineLevel="0" collapsed="false">
      <c r="A1203" s="2" t="n">
        <v>41138</v>
      </c>
      <c r="B1203" s="0" t="n">
        <v>1418.16</v>
      </c>
      <c r="C1203" s="0" t="n">
        <v>258.2</v>
      </c>
      <c r="D1203" s="3" t="n">
        <f aca="false">B1203*100/B$2</f>
        <v>97.9960750711739</v>
      </c>
      <c r="E1203" s="3" t="n">
        <f aca="false">C1203*100/C$2</f>
        <v>109.732256693583</v>
      </c>
      <c r="F1203" s="0" t="n">
        <v>93.6095525028331</v>
      </c>
      <c r="G1203" s="0" t="n">
        <v>97.700036610306</v>
      </c>
      <c r="H1203" s="0" t="n">
        <v>104.152146196345</v>
      </c>
      <c r="I1203" s="0" t="n">
        <v>6.45210958603909</v>
      </c>
    </row>
    <row r="1204" customFormat="false" ht="13.8" hidden="false" customHeight="false" outlineLevel="0" collapsed="false">
      <c r="A1204" s="2" t="n">
        <v>41141</v>
      </c>
      <c r="B1204" s="0" t="n">
        <v>1418.13</v>
      </c>
      <c r="C1204" s="0" t="n">
        <v>258.03</v>
      </c>
      <c r="D1204" s="3" t="n">
        <f aca="false">B1204*100/B$2</f>
        <v>97.9940020453854</v>
      </c>
      <c r="E1204" s="3" t="n">
        <f aca="false">C1204*100/C$2</f>
        <v>109.660008499787</v>
      </c>
      <c r="F1204" s="0" t="n">
        <v>93.4561485944885</v>
      </c>
      <c r="G1204" s="0" t="n">
        <v>97.6487935359707</v>
      </c>
      <c r="H1204" s="0" t="n">
        <v>102.732681682958</v>
      </c>
      <c r="I1204" s="0" t="n">
        <v>5.08388814698718</v>
      </c>
    </row>
    <row r="1205" customFormat="false" ht="13.8" hidden="false" customHeight="false" outlineLevel="0" collapsed="false">
      <c r="A1205" s="2" t="n">
        <v>41142</v>
      </c>
      <c r="B1205" s="0" t="n">
        <v>1413.17</v>
      </c>
      <c r="C1205" s="0" t="n">
        <v>257.5</v>
      </c>
      <c r="D1205" s="3" t="n">
        <f aca="false">B1205*100/B$2</f>
        <v>97.6512617816966</v>
      </c>
      <c r="E1205" s="3" t="n">
        <f aca="false">C1205*100/C$2</f>
        <v>109.434764130897</v>
      </c>
      <c r="F1205" s="0" t="n">
        <v>92.696730147323</v>
      </c>
      <c r="G1205" s="0" t="n">
        <v>97.3951172355453</v>
      </c>
      <c r="H1205" s="0" t="n">
        <v>102.371440713982</v>
      </c>
      <c r="I1205" s="0" t="n">
        <v>4.97632347843683</v>
      </c>
    </row>
    <row r="1206" customFormat="false" ht="13.8" hidden="false" customHeight="false" outlineLevel="0" collapsed="false">
      <c r="A1206" s="2" t="n">
        <v>41143</v>
      </c>
      <c r="B1206" s="0" t="n">
        <v>1413.49</v>
      </c>
      <c r="C1206" s="0" t="n">
        <v>256.21</v>
      </c>
      <c r="D1206" s="3" t="n">
        <f aca="false">B1206*100/B$2</f>
        <v>97.6733740567733</v>
      </c>
      <c r="E1206" s="3" t="n">
        <f aca="false">C1206*100/C$2</f>
        <v>108.886527836804</v>
      </c>
      <c r="F1206" s="0" t="n">
        <v>92.6953481301307</v>
      </c>
      <c r="G1206" s="0" t="n">
        <v>97.394655586227</v>
      </c>
      <c r="H1206" s="0" t="n">
        <v>102.141946451339</v>
      </c>
      <c r="I1206" s="0" t="n">
        <v>4.74729086511174</v>
      </c>
    </row>
    <row r="1207" customFormat="false" ht="13.8" hidden="false" customHeight="false" outlineLevel="0" collapsed="false">
      <c r="A1207" s="2" t="n">
        <v>41144</v>
      </c>
      <c r="B1207" s="0" t="n">
        <v>1402.08</v>
      </c>
      <c r="C1207" s="0" t="n">
        <v>257.28</v>
      </c>
      <c r="D1207" s="3" t="n">
        <f aca="false">B1207*100/B$2</f>
        <v>96.8849332485696</v>
      </c>
      <c r="E1207" s="3" t="n">
        <f aca="false">C1207*100/C$2</f>
        <v>109.341266468338</v>
      </c>
      <c r="F1207" s="0" t="n">
        <v>92.2330633793084</v>
      </c>
      <c r="G1207" s="0" t="n">
        <v>97.2402338892437</v>
      </c>
      <c r="H1207" s="0" t="n">
        <v>99.72800679983</v>
      </c>
      <c r="I1207" s="0" t="n">
        <v>2.48777291058629</v>
      </c>
    </row>
    <row r="1208" customFormat="false" ht="13.8" hidden="false" customHeight="false" outlineLevel="0" collapsed="false">
      <c r="A1208" s="2" t="n">
        <v>41145</v>
      </c>
      <c r="B1208" s="0" t="n">
        <v>1411.13</v>
      </c>
      <c r="C1208" s="0" t="n">
        <v>253.73</v>
      </c>
      <c r="D1208" s="3" t="n">
        <f aca="false">B1208*100/B$2</f>
        <v>97.5102960280826</v>
      </c>
      <c r="E1208" s="3" t="n">
        <f aca="false">C1208*100/C$2</f>
        <v>107.832554186145</v>
      </c>
      <c r="F1208" s="0" t="n">
        <v>93.754664308024</v>
      </c>
      <c r="G1208" s="0" t="n">
        <v>97.7485097887312</v>
      </c>
      <c r="H1208" s="0" t="n">
        <v>101.474713132172</v>
      </c>
      <c r="I1208" s="0" t="n">
        <v>3.72620334344045</v>
      </c>
    </row>
    <row r="1209" customFormat="false" ht="13.8" hidden="false" customHeight="false" outlineLevel="0" collapsed="false">
      <c r="A1209" s="2" t="n">
        <v>41148</v>
      </c>
      <c r="B1209" s="0" t="n">
        <v>1410.44</v>
      </c>
      <c r="C1209" s="0" t="n">
        <v>252.77</v>
      </c>
      <c r="D1209" s="3" t="n">
        <f aca="false">B1209*100/B$2</f>
        <v>97.4626164349484</v>
      </c>
      <c r="E1209" s="3" t="n">
        <f aca="false">C1209*100/C$2</f>
        <v>107.42456438589</v>
      </c>
      <c r="F1209" s="0" t="n">
        <v>93.5376876088339</v>
      </c>
      <c r="G1209" s="0" t="n">
        <v>97.6760308457525</v>
      </c>
      <c r="H1209" s="0" t="n">
        <v>101.738206544836</v>
      </c>
      <c r="I1209" s="0" t="n">
        <v>4.06217569908384</v>
      </c>
    </row>
    <row r="1210" customFormat="false" ht="13.8" hidden="false" customHeight="false" outlineLevel="0" collapsed="false">
      <c r="A1210" s="2" t="n">
        <v>41149</v>
      </c>
      <c r="B1210" s="0" t="n">
        <v>1409.3</v>
      </c>
      <c r="C1210" s="0" t="n">
        <v>252.57</v>
      </c>
      <c r="D1210" s="3" t="n">
        <f aca="false">B1210*100/B$2</f>
        <v>97.3838414549877</v>
      </c>
      <c r="E1210" s="3" t="n">
        <f aca="false">C1210*100/C$2</f>
        <v>107.339566510837</v>
      </c>
      <c r="F1210" s="0" t="n">
        <v>94.2307692307692</v>
      </c>
      <c r="G1210" s="0" t="n">
        <v>97.9075479788979</v>
      </c>
      <c r="H1210" s="0" t="n">
        <v>102.078198045049</v>
      </c>
      <c r="I1210" s="0" t="n">
        <v>4.170650066151</v>
      </c>
    </row>
    <row r="1211" customFormat="false" ht="13.8" hidden="false" customHeight="false" outlineLevel="0" collapsed="false">
      <c r="A1211" s="2" t="n">
        <v>41150</v>
      </c>
      <c r="B1211" s="0" t="n">
        <v>1410.49</v>
      </c>
      <c r="C1211" s="0" t="n">
        <v>254.22</v>
      </c>
      <c r="D1211" s="3" t="n">
        <f aca="false">B1211*100/B$2</f>
        <v>97.4660714779292</v>
      </c>
      <c r="E1211" s="3" t="n">
        <f aca="false">C1211*100/C$2</f>
        <v>108.040798980026</v>
      </c>
      <c r="F1211" s="0" t="n">
        <v>94.8602780618591</v>
      </c>
      <c r="G1211" s="0" t="n">
        <v>98.1178292433997</v>
      </c>
      <c r="H1211" s="0" t="n">
        <v>100.475988100297</v>
      </c>
      <c r="I1211" s="0" t="n">
        <v>2.35815885689775</v>
      </c>
    </row>
    <row r="1212" customFormat="false" ht="13.8" hidden="false" customHeight="false" outlineLevel="0" collapsed="false">
      <c r="A1212" s="2" t="n">
        <v>41151</v>
      </c>
      <c r="B1212" s="0" t="n">
        <v>1399.48</v>
      </c>
      <c r="C1212" s="0" t="n">
        <v>250.96</v>
      </c>
      <c r="D1212" s="3" t="n">
        <f aca="false">B1212*100/B$2</f>
        <v>96.7052710135714</v>
      </c>
      <c r="E1212" s="3" t="n">
        <f aca="false">C1212*100/C$2</f>
        <v>106.65533361666</v>
      </c>
      <c r="F1212" s="0" t="n">
        <v>95.1180242682219</v>
      </c>
      <c r="G1212" s="0" t="n">
        <v>98.2039268412693</v>
      </c>
      <c r="H1212" s="0" t="n">
        <v>102.184445388865</v>
      </c>
      <c r="I1212" s="0" t="n">
        <v>3.98051854759595</v>
      </c>
    </row>
    <row r="1213" customFormat="false" ht="13.8" hidden="false" customHeight="false" outlineLevel="0" collapsed="false">
      <c r="A1213" s="2" t="n">
        <v>41152</v>
      </c>
      <c r="B1213" s="0" t="n">
        <v>1406.58</v>
      </c>
      <c r="C1213" s="0" t="n">
        <v>250.56</v>
      </c>
      <c r="D1213" s="3" t="n">
        <f aca="false">B1213*100/B$2</f>
        <v>97.1958871168357</v>
      </c>
      <c r="E1213" s="3" t="n">
        <f aca="false">C1213*100/C$2</f>
        <v>106.485337866553</v>
      </c>
      <c r="F1213" s="0" t="n">
        <v>94.1609773625584</v>
      </c>
      <c r="G1213" s="0" t="n">
        <v>97.8842346883219</v>
      </c>
      <c r="H1213" s="0" t="n">
        <v>102.146196345091</v>
      </c>
      <c r="I1213" s="0" t="n">
        <v>4.26196165676946</v>
      </c>
    </row>
    <row r="1214" customFormat="false" ht="13.8" hidden="false" customHeight="false" outlineLevel="0" collapsed="false">
      <c r="A1214" s="2" t="n">
        <v>41155</v>
      </c>
      <c r="B1214" s="0" t="n">
        <v>1406.58</v>
      </c>
      <c r="C1214" s="0" t="n">
        <v>251.23</v>
      </c>
      <c r="D1214" s="3" t="n">
        <f aca="false">B1214*100/B$2</f>
        <v>97.1958871168357</v>
      </c>
      <c r="E1214" s="3" t="n">
        <f aca="false">C1214*100/C$2</f>
        <v>106.770080747981</v>
      </c>
      <c r="F1214" s="0" t="n">
        <v>93.322092926836</v>
      </c>
      <c r="G1214" s="0" t="n">
        <v>97.6040135520922</v>
      </c>
      <c r="H1214" s="0" t="n">
        <v>100.19124521887</v>
      </c>
      <c r="I1214" s="0" t="n">
        <v>2.58723166677734</v>
      </c>
    </row>
    <row r="1215" customFormat="false" ht="13.8" hidden="false" customHeight="false" outlineLevel="0" collapsed="false">
      <c r="A1215" s="2" t="n">
        <v>41156</v>
      </c>
      <c r="B1215" s="0" t="n">
        <v>1404.94</v>
      </c>
      <c r="C1215" s="0" t="n">
        <v>250.56</v>
      </c>
      <c r="D1215" s="3" t="n">
        <f aca="false">B1215*100/B$2</f>
        <v>97.0825617070676</v>
      </c>
      <c r="E1215" s="3" t="n">
        <f aca="false">C1215*100/C$2</f>
        <v>106.485337866553</v>
      </c>
      <c r="F1215" s="0" t="n">
        <v>92.4783714309406</v>
      </c>
      <c r="G1215" s="0" t="n">
        <v>97.3221766432483</v>
      </c>
      <c r="H1215" s="0" t="n">
        <v>100.573735656609</v>
      </c>
      <c r="I1215" s="0" t="n">
        <v>3.25155901336029</v>
      </c>
    </row>
    <row r="1216" customFormat="false" ht="13.8" hidden="false" customHeight="false" outlineLevel="0" collapsed="false">
      <c r="A1216" s="2" t="n">
        <v>41157</v>
      </c>
      <c r="B1216" s="0" t="n">
        <v>1403.44</v>
      </c>
      <c r="C1216" s="0" t="n">
        <v>245.75</v>
      </c>
      <c r="D1216" s="3" t="n">
        <f aca="false">B1216*100/B$2</f>
        <v>96.9789104176456</v>
      </c>
      <c r="E1216" s="3" t="n">
        <f aca="false">C1216*100/C$2</f>
        <v>104.441138971526</v>
      </c>
      <c r="F1216" s="0" t="n">
        <v>92.4493490699024</v>
      </c>
      <c r="G1216" s="0" t="n">
        <v>97.3124820075632</v>
      </c>
      <c r="H1216" s="0" t="n">
        <v>99.2307692307692</v>
      </c>
      <c r="I1216" s="0" t="n">
        <v>1.91828722320599</v>
      </c>
    </row>
    <row r="1217" customFormat="false" ht="13.8" hidden="false" customHeight="false" outlineLevel="0" collapsed="false">
      <c r="A1217" s="2" t="n">
        <v>41158</v>
      </c>
      <c r="B1217" s="0" t="n">
        <v>1432.12</v>
      </c>
      <c r="C1217" s="0" t="n">
        <v>246.79</v>
      </c>
      <c r="D1217" s="3" t="n">
        <f aca="false">B1217*100/B$2</f>
        <v>98.960723071395</v>
      </c>
      <c r="E1217" s="3" t="n">
        <f aca="false">C1217*100/C$2</f>
        <v>104.883127921802</v>
      </c>
      <c r="F1217" s="0" t="n">
        <v>93.9785510931756</v>
      </c>
      <c r="G1217" s="0" t="n">
        <v>97.8232969783016</v>
      </c>
      <c r="H1217" s="0" t="n">
        <v>100.012749681258</v>
      </c>
      <c r="I1217" s="0" t="n">
        <v>2.18945270295634</v>
      </c>
    </row>
    <row r="1218" customFormat="false" ht="13.8" hidden="false" customHeight="false" outlineLevel="0" collapsed="false">
      <c r="A1218" s="2" t="n">
        <v>41159</v>
      </c>
      <c r="B1218" s="0" t="n">
        <v>1437.92</v>
      </c>
      <c r="C1218" s="0" t="n">
        <v>254.02</v>
      </c>
      <c r="D1218" s="3" t="n">
        <f aca="false">B1218*100/B$2</f>
        <v>99.3615080571602</v>
      </c>
      <c r="E1218" s="3" t="n">
        <f aca="false">C1218*100/C$2</f>
        <v>107.955801104972</v>
      </c>
      <c r="F1218" s="0" t="n">
        <v>95.7717184001769</v>
      </c>
      <c r="G1218" s="0" t="n">
        <v>98.4222869688421</v>
      </c>
      <c r="H1218" s="0" t="n">
        <v>102.945176370591</v>
      </c>
      <c r="I1218" s="0" t="n">
        <v>4.52288940174864</v>
      </c>
    </row>
    <row r="1219" customFormat="false" ht="13.8" hidden="false" customHeight="false" outlineLevel="0" collapsed="false">
      <c r="A1219" s="2" t="n">
        <v>41162</v>
      </c>
      <c r="B1219" s="0" t="n">
        <v>1429.08</v>
      </c>
      <c r="C1219" s="0" t="n">
        <v>253.38</v>
      </c>
      <c r="D1219" s="3" t="n">
        <f aca="false">B1219*100/B$2</f>
        <v>98.7506564581663</v>
      </c>
      <c r="E1219" s="3" t="n">
        <f aca="false">C1219*100/C$2</f>
        <v>107.683807904802</v>
      </c>
      <c r="F1219" s="0" t="n">
        <v>95.7254208242351</v>
      </c>
      <c r="G1219" s="0" t="n">
        <v>98.4068217166778</v>
      </c>
      <c r="H1219" s="0" t="n">
        <v>103.943901402465</v>
      </c>
      <c r="I1219" s="0" t="n">
        <v>5.53707968578709</v>
      </c>
    </row>
    <row r="1220" customFormat="false" ht="13.8" hidden="false" customHeight="false" outlineLevel="0" collapsed="false">
      <c r="A1220" s="2" t="n">
        <v>41163</v>
      </c>
      <c r="B1220" s="0" t="n">
        <v>1433.56</v>
      </c>
      <c r="C1220" s="0" t="n">
        <v>252.73</v>
      </c>
      <c r="D1220" s="3" t="n">
        <f aca="false">B1220*100/B$2</f>
        <v>99.0602283092402</v>
      </c>
      <c r="E1220" s="3" t="n">
        <f aca="false">C1220*100/C$2</f>
        <v>107.40756481088</v>
      </c>
      <c r="F1220" s="0" t="n">
        <v>95.3121976837392</v>
      </c>
      <c r="G1220" s="0" t="n">
        <v>98.2687885704955</v>
      </c>
      <c r="H1220" s="0" t="n">
        <v>106.281342966426</v>
      </c>
      <c r="I1220" s="0" t="n">
        <v>8.01255439593035</v>
      </c>
    </row>
    <row r="1221" customFormat="false" ht="13.8" hidden="false" customHeight="false" outlineLevel="0" collapsed="false">
      <c r="A1221" s="2" t="n">
        <v>41164</v>
      </c>
      <c r="B1221" s="0" t="n">
        <v>1436.56</v>
      </c>
      <c r="C1221" s="0" t="n">
        <v>256.95</v>
      </c>
      <c r="D1221" s="3" t="n">
        <f aca="false">B1221*100/B$2</f>
        <v>99.2675308880842</v>
      </c>
      <c r="E1221" s="3" t="n">
        <f aca="false">C1221*100/C$2</f>
        <v>109.201019974501</v>
      </c>
      <c r="F1221" s="0" t="n">
        <v>95.0233560905498</v>
      </c>
      <c r="G1221" s="0" t="n">
        <v>98.1723038629633</v>
      </c>
      <c r="H1221" s="0" t="n">
        <v>106.077348066298</v>
      </c>
      <c r="I1221" s="0" t="n">
        <v>7.90504420333501</v>
      </c>
    </row>
    <row r="1222" customFormat="false" ht="13.8" hidden="false" customHeight="false" outlineLevel="0" collapsed="false">
      <c r="A1222" s="2" t="n">
        <v>41165</v>
      </c>
      <c r="B1222" s="0" t="n">
        <v>1459.99</v>
      </c>
      <c r="C1222" s="0" t="n">
        <v>256.87</v>
      </c>
      <c r="D1222" s="3" t="n">
        <f aca="false">B1222*100/B$2</f>
        <v>100.886564028857</v>
      </c>
      <c r="E1222" s="3" t="n">
        <f aca="false">C1222*100/C$2</f>
        <v>109.167020824479</v>
      </c>
      <c r="F1222" s="0" t="n">
        <v>94.3226733740568</v>
      </c>
      <c r="G1222" s="0" t="n">
        <v>97.9382476585672</v>
      </c>
      <c r="H1222" s="0" t="n">
        <v>105.354866128347</v>
      </c>
      <c r="I1222" s="0" t="n">
        <v>7.41661846977961</v>
      </c>
    </row>
    <row r="1223" customFormat="false" ht="13.8" hidden="false" customHeight="false" outlineLevel="0" collapsed="false">
      <c r="A1223" s="2" t="n">
        <v>41166</v>
      </c>
      <c r="B1223" s="0" t="n">
        <v>1465.77</v>
      </c>
      <c r="C1223" s="0" t="n">
        <v>265.02</v>
      </c>
      <c r="D1223" s="3" t="n">
        <f aca="false">B1223*100/B$2</f>
        <v>101.285966997429</v>
      </c>
      <c r="E1223" s="3" t="n">
        <f aca="false">C1223*100/C$2</f>
        <v>112.630684232894</v>
      </c>
      <c r="F1223" s="0" t="n">
        <v>96.1186047154427</v>
      </c>
      <c r="G1223" s="0" t="n">
        <v>98.5381609477443</v>
      </c>
      <c r="H1223" s="0" t="n">
        <v>104.041648958776</v>
      </c>
      <c r="I1223" s="0" t="n">
        <v>5.50348801103169</v>
      </c>
    </row>
    <row r="1224" customFormat="false" ht="13.8" hidden="false" customHeight="false" outlineLevel="0" collapsed="false">
      <c r="A1224" s="2" t="n">
        <v>41169</v>
      </c>
      <c r="B1224" s="0" t="n">
        <v>1461.19</v>
      </c>
      <c r="C1224" s="0" t="n">
        <v>263.97</v>
      </c>
      <c r="D1224" s="3" t="n">
        <f aca="false">B1224*100/B$2</f>
        <v>100.969485060394</v>
      </c>
      <c r="E1224" s="3" t="n">
        <f aca="false">C1224*100/C$2</f>
        <v>112.184445388865</v>
      </c>
      <c r="F1224" s="0" t="n">
        <v>96.3424915005943</v>
      </c>
      <c r="G1224" s="0" t="n">
        <v>98.6129481373147</v>
      </c>
      <c r="H1224" s="0" t="n">
        <v>106.4003399915</v>
      </c>
      <c r="I1224" s="0" t="n">
        <v>7.7873918541855</v>
      </c>
    </row>
    <row r="1225" customFormat="false" ht="13.8" hidden="false" customHeight="false" outlineLevel="0" collapsed="false">
      <c r="A1225" s="2" t="n">
        <v>41170</v>
      </c>
      <c r="B1225" s="0" t="n">
        <v>1459.32</v>
      </c>
      <c r="C1225" s="0" t="n">
        <v>264.25</v>
      </c>
      <c r="D1225" s="3" t="n">
        <f aca="false">B1225*100/B$2</f>
        <v>100.840266452915</v>
      </c>
      <c r="E1225" s="3" t="n">
        <f aca="false">C1225*100/C$2</f>
        <v>112.30344241394</v>
      </c>
      <c r="F1225" s="0" t="n">
        <v>96.8344896210509</v>
      </c>
      <c r="G1225" s="0" t="n">
        <v>98.7772952946422</v>
      </c>
      <c r="H1225" s="0" t="n">
        <v>106.413089672758</v>
      </c>
      <c r="I1225" s="0" t="n">
        <v>7.635794378116</v>
      </c>
    </row>
    <row r="1226" customFormat="false" ht="13.8" hidden="false" customHeight="false" outlineLevel="0" collapsed="false">
      <c r="A1226" s="2" t="n">
        <v>41171</v>
      </c>
      <c r="B1226" s="0" t="n">
        <v>1461.05</v>
      </c>
      <c r="C1226" s="0" t="n">
        <v>264.44</v>
      </c>
      <c r="D1226" s="3" t="n">
        <f aca="false">B1226*100/B$2</f>
        <v>100.959810940048</v>
      </c>
      <c r="E1226" s="3" t="n">
        <f aca="false">C1226*100/C$2</f>
        <v>112.38419039524</v>
      </c>
      <c r="F1226" s="0" t="n">
        <v>96.8946073689157</v>
      </c>
      <c r="G1226" s="0" t="n">
        <v>98.7973770399898</v>
      </c>
      <c r="H1226" s="0" t="n">
        <v>107.454313642159</v>
      </c>
      <c r="I1226" s="0" t="n">
        <v>8.65693660216915</v>
      </c>
    </row>
    <row r="1227" customFormat="false" ht="13.8" hidden="false" customHeight="false" outlineLevel="0" collapsed="false">
      <c r="A1227" s="2" t="n">
        <v>41172</v>
      </c>
      <c r="B1227" s="0" t="n">
        <v>1460.26</v>
      </c>
      <c r="C1227" s="0" t="n">
        <v>261.87</v>
      </c>
      <c r="D1227" s="3" t="n">
        <f aca="false">B1227*100/B$2</f>
        <v>100.905221260953</v>
      </c>
      <c r="E1227" s="3" t="n">
        <f aca="false">C1227*100/C$2</f>
        <v>111.291967700807</v>
      </c>
      <c r="F1227" s="0" t="n">
        <v>96.9346858674922</v>
      </c>
      <c r="G1227" s="0" t="n">
        <v>98.8107648702215</v>
      </c>
      <c r="H1227" s="0" t="n">
        <v>109.681257968551</v>
      </c>
      <c r="I1227" s="0" t="n">
        <v>10.8704930983293</v>
      </c>
    </row>
    <row r="1228" customFormat="false" ht="13.8" hidden="false" customHeight="false" outlineLevel="0" collapsed="false">
      <c r="A1228" s="2" t="n">
        <v>41173</v>
      </c>
      <c r="B1228" s="0" t="n">
        <v>1460.15</v>
      </c>
      <c r="C1228" s="0" t="n">
        <v>263.41</v>
      </c>
      <c r="D1228" s="3" t="n">
        <f aca="false">B1228*100/B$2</f>
        <v>100.897620166395</v>
      </c>
      <c r="E1228" s="3" t="n">
        <f aca="false">C1228*100/C$2</f>
        <v>111.946451338717</v>
      </c>
      <c r="F1228" s="0" t="n">
        <v>97.1468255065093</v>
      </c>
      <c r="G1228" s="0" t="n">
        <v>98.881628040586</v>
      </c>
      <c r="H1228" s="0" t="n">
        <v>110.033999150021</v>
      </c>
      <c r="I1228" s="0" t="n">
        <v>11.1523711094352</v>
      </c>
    </row>
    <row r="1229" customFormat="false" ht="13.8" hidden="false" customHeight="false" outlineLevel="0" collapsed="false">
      <c r="A1229" s="2" t="n">
        <v>41176</v>
      </c>
      <c r="B1229" s="0" t="n">
        <v>1456.89</v>
      </c>
      <c r="C1229" s="0" t="n">
        <v>263.56</v>
      </c>
      <c r="D1229" s="3" t="n">
        <f aca="false">B1229*100/B$2</f>
        <v>100.672351364051</v>
      </c>
      <c r="E1229" s="3" t="n">
        <f aca="false">C1229*100/C$2</f>
        <v>112.010199745006</v>
      </c>
      <c r="F1229" s="0" t="n">
        <v>97.0252079935874</v>
      </c>
      <c r="G1229" s="0" t="n">
        <v>98.8410029005725</v>
      </c>
      <c r="H1229" s="0" t="n">
        <v>109.073523161921</v>
      </c>
      <c r="I1229" s="0" t="n">
        <v>10.2325202613484</v>
      </c>
    </row>
    <row r="1230" customFormat="false" ht="13.8" hidden="false" customHeight="false" outlineLevel="0" collapsed="false">
      <c r="A1230" s="2" t="n">
        <v>41177</v>
      </c>
      <c r="B1230" s="0" t="n">
        <v>1441.59</v>
      </c>
      <c r="C1230" s="0" t="n">
        <v>262.03</v>
      </c>
      <c r="D1230" s="3" t="n">
        <f aca="false">B1230*100/B$2</f>
        <v>99.6151082119462</v>
      </c>
      <c r="E1230" s="3" t="n">
        <f aca="false">C1230*100/C$2</f>
        <v>111.35996600085</v>
      </c>
      <c r="F1230" s="0" t="n">
        <v>97.0127698388568</v>
      </c>
      <c r="G1230" s="0" t="n">
        <v>98.8368480567075</v>
      </c>
      <c r="H1230" s="0" t="n">
        <v>110.54398640034</v>
      </c>
      <c r="I1230" s="0" t="n">
        <v>11.7071383436325</v>
      </c>
    </row>
    <row r="1231" customFormat="false" ht="13.8" hidden="false" customHeight="false" outlineLevel="0" collapsed="false">
      <c r="A1231" s="2" t="n">
        <v>41178</v>
      </c>
      <c r="B1231" s="0" t="n">
        <v>1433.32</v>
      </c>
      <c r="C1231" s="0" t="n">
        <v>260.42</v>
      </c>
      <c r="D1231" s="3" t="n">
        <f aca="false">B1231*100/B$2</f>
        <v>99.0436441029326</v>
      </c>
      <c r="E1231" s="3" t="n">
        <f aca="false">C1231*100/C$2</f>
        <v>110.675733106672</v>
      </c>
      <c r="F1231" s="0" t="n">
        <v>97.1233312142403</v>
      </c>
      <c r="G1231" s="0" t="n">
        <v>98.8737800021743</v>
      </c>
      <c r="H1231" s="0" t="n">
        <v>110.54398640034</v>
      </c>
      <c r="I1231" s="0" t="n">
        <v>11.6702063981657</v>
      </c>
    </row>
    <row r="1232" customFormat="false" ht="13.8" hidden="false" customHeight="false" outlineLevel="0" collapsed="false">
      <c r="A1232" s="2" t="n">
        <v>41179</v>
      </c>
      <c r="B1232" s="0" t="n">
        <v>1447.15</v>
      </c>
      <c r="C1232" s="0" t="n">
        <v>261.62</v>
      </c>
      <c r="D1232" s="3" t="n">
        <f aca="false">B1232*100/B$2</f>
        <v>99.9993089914038</v>
      </c>
      <c r="E1232" s="3" t="n">
        <f aca="false">C1232*100/C$2</f>
        <v>111.185720356991</v>
      </c>
      <c r="F1232" s="0" t="n">
        <v>97.8129577931949</v>
      </c>
      <c r="G1232" s="0" t="n">
        <v>99.1041430120238</v>
      </c>
      <c r="H1232" s="0" t="n">
        <v>110.531236719082</v>
      </c>
      <c r="I1232" s="0" t="n">
        <v>11.4270937070582</v>
      </c>
    </row>
    <row r="1233" customFormat="false" ht="13.8" hidden="false" customHeight="false" outlineLevel="0" collapsed="false">
      <c r="A1233" s="2" t="n">
        <v>41180</v>
      </c>
      <c r="B1233" s="0" t="n">
        <v>1440.67</v>
      </c>
      <c r="C1233" s="0" t="n">
        <v>262.49</v>
      </c>
      <c r="D1233" s="3" t="n">
        <f aca="false">B1233*100/B$2</f>
        <v>99.5515354211006</v>
      </c>
      <c r="E1233" s="3" t="n">
        <f aca="false">C1233*100/C$2</f>
        <v>111.555461113472</v>
      </c>
      <c r="F1233" s="0" t="n">
        <v>97.9960750711739</v>
      </c>
      <c r="G1233" s="0" t="n">
        <v>99.1653115467033</v>
      </c>
      <c r="H1233" s="0" t="n">
        <v>109.732256693583</v>
      </c>
      <c r="I1233" s="0" t="n">
        <v>10.5669451468794</v>
      </c>
    </row>
    <row r="1234" customFormat="false" ht="13.8" hidden="false" customHeight="false" outlineLevel="0" collapsed="false">
      <c r="A1234" s="2" t="n">
        <v>41183</v>
      </c>
      <c r="B1234" s="0" t="n">
        <v>1444.49</v>
      </c>
      <c r="C1234" s="0" t="n">
        <v>262.49</v>
      </c>
      <c r="D1234" s="3" t="n">
        <f aca="false">B1234*100/B$2</f>
        <v>99.8155007048288</v>
      </c>
      <c r="E1234" s="3" t="n">
        <f aca="false">C1234*100/C$2</f>
        <v>111.555461113472</v>
      </c>
      <c r="F1234" s="0" t="n">
        <v>97.9940020453854</v>
      </c>
      <c r="G1234" s="0" t="n">
        <v>99.1646190727258</v>
      </c>
      <c r="H1234" s="0" t="n">
        <v>109.660008499787</v>
      </c>
      <c r="I1234" s="0" t="n">
        <v>10.4953894270617</v>
      </c>
    </row>
    <row r="1235" customFormat="false" ht="13.8" hidden="false" customHeight="false" outlineLevel="0" collapsed="false">
      <c r="A1235" s="2" t="n">
        <v>41184</v>
      </c>
      <c r="B1235" s="0" t="n">
        <v>1445.75</v>
      </c>
      <c r="C1235" s="0" t="n">
        <v>262.48</v>
      </c>
      <c r="D1235" s="3" t="n">
        <f aca="false">B1235*100/B$2</f>
        <v>99.9025677879433</v>
      </c>
      <c r="E1235" s="3" t="n">
        <f aca="false">C1235*100/C$2</f>
        <v>111.55121121972</v>
      </c>
      <c r="F1235" s="0" t="n">
        <v>97.6512617816966</v>
      </c>
      <c r="G1235" s="0" t="n">
        <v>99.0501300417785</v>
      </c>
      <c r="H1235" s="0" t="n">
        <v>109.434764130897</v>
      </c>
      <c r="I1235" s="0" t="n">
        <v>10.3846340891182</v>
      </c>
    </row>
    <row r="1236" customFormat="false" ht="13.8" hidden="false" customHeight="false" outlineLevel="0" collapsed="false">
      <c r="A1236" s="2" t="n">
        <v>41185</v>
      </c>
      <c r="B1236" s="0" t="n">
        <v>1450.99</v>
      </c>
      <c r="C1236" s="0" t="n">
        <v>262.48</v>
      </c>
      <c r="D1236" s="3" t="n">
        <f aca="false">B1236*100/B$2</f>
        <v>100.264656292324</v>
      </c>
      <c r="E1236" s="3" t="n">
        <f aca="false">C1236*100/C$2</f>
        <v>111.55121121972</v>
      </c>
      <c r="F1236" s="0" t="n">
        <v>97.6733740567733</v>
      </c>
      <c r="G1236" s="0" t="n">
        <v>99.0575164308719</v>
      </c>
      <c r="H1236" s="0" t="n">
        <v>108.886527836804</v>
      </c>
      <c r="I1236" s="0" t="n">
        <v>9.82901140593216</v>
      </c>
    </row>
    <row r="1237" customFormat="false" ht="13.8" hidden="false" customHeight="false" outlineLevel="0" collapsed="false">
      <c r="A1237" s="2" t="n">
        <v>41186</v>
      </c>
      <c r="B1237" s="0" t="n">
        <v>1461.4</v>
      </c>
      <c r="C1237" s="0" t="n">
        <v>261.92</v>
      </c>
      <c r="D1237" s="3" t="n">
        <f aca="false">B1237*100/B$2</f>
        <v>100.983996240913</v>
      </c>
      <c r="E1237" s="3" t="n">
        <f aca="false">C1237*100/C$2</f>
        <v>111.313217169571</v>
      </c>
      <c r="F1237" s="0" t="n">
        <v>96.8849332485696</v>
      </c>
      <c r="G1237" s="0" t="n">
        <v>98.7941454947614</v>
      </c>
      <c r="H1237" s="0" t="n">
        <v>109.341266468338</v>
      </c>
      <c r="I1237" s="0" t="n">
        <v>10.5471209735769</v>
      </c>
    </row>
    <row r="1238" customFormat="false" ht="13.8" hidden="false" customHeight="false" outlineLevel="0" collapsed="false">
      <c r="A1238" s="2" t="n">
        <v>41187</v>
      </c>
      <c r="B1238" s="0" t="n">
        <v>1460.93</v>
      </c>
      <c r="C1238" s="0" t="n">
        <v>262.07</v>
      </c>
      <c r="D1238" s="3" t="n">
        <f aca="false">B1238*100/B$2</f>
        <v>100.951518836894</v>
      </c>
      <c r="E1238" s="3" t="n">
        <f aca="false">C1238*100/C$2</f>
        <v>111.376965575861</v>
      </c>
      <c r="F1238" s="0" t="n">
        <v>97.5102960280826</v>
      </c>
      <c r="G1238" s="0" t="n">
        <v>99.0030418113083</v>
      </c>
      <c r="H1238" s="0" t="n">
        <v>107.832554186145</v>
      </c>
      <c r="I1238" s="0" t="n">
        <v>8.82951237483705</v>
      </c>
    </row>
    <row r="1239" customFormat="false" ht="13.8" hidden="false" customHeight="false" outlineLevel="0" collapsed="false">
      <c r="A1239" s="2" t="n">
        <v>41190</v>
      </c>
      <c r="B1239" s="0" t="n">
        <v>1455.88</v>
      </c>
      <c r="C1239" s="0" t="n">
        <v>260.11</v>
      </c>
      <c r="D1239" s="3" t="n">
        <f aca="false">B1239*100/B$2</f>
        <v>100.60255949584</v>
      </c>
      <c r="E1239" s="3" t="n">
        <f aca="false">C1239*100/C$2</f>
        <v>110.54398640034</v>
      </c>
      <c r="F1239" s="0" t="n">
        <v>97.4626164349484</v>
      </c>
      <c r="G1239" s="0" t="n">
        <v>98.9871149098257</v>
      </c>
      <c r="H1239" s="0" t="n">
        <v>107.42456438589</v>
      </c>
      <c r="I1239" s="0" t="n">
        <v>8.43744947606463</v>
      </c>
    </row>
    <row r="1240" customFormat="false" ht="13.8" hidden="false" customHeight="false" outlineLevel="0" collapsed="false">
      <c r="A1240" s="2" t="n">
        <v>41191</v>
      </c>
      <c r="B1240" s="0" t="n">
        <v>1441.48</v>
      </c>
      <c r="C1240" s="0" t="n">
        <v>259.66</v>
      </c>
      <c r="D1240" s="3" t="n">
        <f aca="false">B1240*100/B$2</f>
        <v>99.6075071173885</v>
      </c>
      <c r="E1240" s="3" t="n">
        <f aca="false">C1240*100/C$2</f>
        <v>110.35274118147</v>
      </c>
      <c r="F1240" s="0" t="n">
        <v>97.3838414549877</v>
      </c>
      <c r="G1240" s="0" t="n">
        <v>98.9608008986806</v>
      </c>
      <c r="H1240" s="0" t="n">
        <v>107.339566510837</v>
      </c>
      <c r="I1240" s="0" t="n">
        <v>8.37876561215664</v>
      </c>
    </row>
    <row r="1241" customFormat="false" ht="13.8" hidden="false" customHeight="false" outlineLevel="0" collapsed="false">
      <c r="A1241" s="2" t="n">
        <v>41192</v>
      </c>
      <c r="B1241" s="0" t="n">
        <v>1432.56</v>
      </c>
      <c r="C1241" s="0" t="n">
        <v>255.15</v>
      </c>
      <c r="D1241" s="3" t="n">
        <f aca="false">B1241*100/B$2</f>
        <v>98.9911274496255</v>
      </c>
      <c r="E1241" s="3" t="n">
        <f aca="false">C1241*100/C$2</f>
        <v>108.436039099023</v>
      </c>
      <c r="F1241" s="0" t="n">
        <v>97.4660714779292</v>
      </c>
      <c r="G1241" s="0" t="n">
        <v>98.9882690331216</v>
      </c>
      <c r="H1241" s="0" t="n">
        <v>108.040798980026</v>
      </c>
      <c r="I1241" s="0" t="n">
        <v>9.05252994690395</v>
      </c>
    </row>
    <row r="1242" customFormat="false" ht="13.8" hidden="false" customHeight="false" outlineLevel="0" collapsed="false">
      <c r="A1242" s="2" t="n">
        <v>41193</v>
      </c>
      <c r="B1242" s="0" t="n">
        <v>1432.84</v>
      </c>
      <c r="C1242" s="0" t="n">
        <v>252.84</v>
      </c>
      <c r="D1242" s="3" t="n">
        <f aca="false">B1242*100/B$2</f>
        <v>99.0104756903176</v>
      </c>
      <c r="E1242" s="3" t="n">
        <f aca="false">C1242*100/C$2</f>
        <v>107.454313642159</v>
      </c>
      <c r="F1242" s="0" t="n">
        <v>96.7052710135714</v>
      </c>
      <c r="G1242" s="0" t="n">
        <v>98.7341310833778</v>
      </c>
      <c r="H1242" s="0" t="n">
        <v>106.65533361666</v>
      </c>
      <c r="I1242" s="0" t="n">
        <v>7.92120253328177</v>
      </c>
    </row>
    <row r="1243" customFormat="false" ht="13.8" hidden="false" customHeight="false" outlineLevel="0" collapsed="false">
      <c r="A1243" s="2" t="n">
        <v>41194</v>
      </c>
      <c r="B1243" s="0" t="n">
        <v>1428.59</v>
      </c>
      <c r="C1243" s="0" t="n">
        <v>252.44</v>
      </c>
      <c r="D1243" s="3" t="n">
        <f aca="false">B1243*100/B$2</f>
        <v>98.7167970369551</v>
      </c>
      <c r="E1243" s="3" t="n">
        <f aca="false">C1243*100/C$2</f>
        <v>107.284317892053</v>
      </c>
      <c r="F1243" s="0" t="n">
        <v>97.1958871168357</v>
      </c>
      <c r="G1243" s="0" t="n">
        <v>98.8980165913869</v>
      </c>
      <c r="H1243" s="0" t="n">
        <v>106.485337866553</v>
      </c>
      <c r="I1243" s="0" t="n">
        <v>7.58732127516639</v>
      </c>
    </row>
    <row r="1244" customFormat="false" ht="13.8" hidden="false" customHeight="false" outlineLevel="0" collapsed="false">
      <c r="A1244" s="2" t="n">
        <v>41197</v>
      </c>
      <c r="B1244" s="0" t="n">
        <v>1440.13</v>
      </c>
      <c r="C1244" s="0" t="n">
        <v>251.44</v>
      </c>
      <c r="D1244" s="3" t="n">
        <f aca="false">B1244*100/B$2</f>
        <v>99.5142209569087</v>
      </c>
      <c r="E1244" s="3" t="n">
        <f aca="false">C1244*100/C$2</f>
        <v>106.859328516787</v>
      </c>
      <c r="F1244" s="0" t="n">
        <v>97.1958871168357</v>
      </c>
      <c r="G1244" s="0" t="n">
        <v>98.8980165913869</v>
      </c>
      <c r="H1244" s="0" t="n">
        <v>106.770080747981</v>
      </c>
      <c r="I1244" s="0" t="n">
        <v>7.87206415659435</v>
      </c>
    </row>
    <row r="1245" customFormat="false" ht="13.8" hidden="false" customHeight="false" outlineLevel="0" collapsed="false">
      <c r="A1245" s="2" t="n">
        <v>41198</v>
      </c>
      <c r="B1245" s="0" t="n">
        <v>1454.92</v>
      </c>
      <c r="C1245" s="0" t="n">
        <v>253.98</v>
      </c>
      <c r="D1245" s="3" t="n">
        <f aca="false">B1245*100/B$2</f>
        <v>100.53622267061</v>
      </c>
      <c r="E1245" s="3" t="n">
        <f aca="false">C1245*100/C$2</f>
        <v>107.938801529962</v>
      </c>
      <c r="F1245" s="0" t="n">
        <v>97.0825617070676</v>
      </c>
      <c r="G1245" s="0" t="n">
        <v>98.8601613472834</v>
      </c>
      <c r="H1245" s="0" t="n">
        <v>106.485337866553</v>
      </c>
      <c r="I1245" s="0" t="n">
        <v>7.62517651926991</v>
      </c>
    </row>
    <row r="1246" customFormat="false" ht="13.8" hidden="false" customHeight="false" outlineLevel="0" collapsed="false">
      <c r="A1246" s="2" t="n">
        <v>41199</v>
      </c>
      <c r="B1246" s="0" t="n">
        <v>1460.91</v>
      </c>
      <c r="C1246" s="0" t="n">
        <v>256.06</v>
      </c>
      <c r="D1246" s="3" t="n">
        <f aca="false">B1246*100/B$2</f>
        <v>100.950136819702</v>
      </c>
      <c r="E1246" s="3" t="n">
        <f aca="false">C1246*100/C$2</f>
        <v>108.822779430514</v>
      </c>
      <c r="F1246" s="0" t="n">
        <v>96.9789104176456</v>
      </c>
      <c r="G1246" s="0" t="n">
        <v>98.8255376484083</v>
      </c>
      <c r="H1246" s="0" t="n">
        <v>104.441138971526</v>
      </c>
      <c r="I1246" s="0" t="n">
        <v>5.61560132311746</v>
      </c>
    </row>
    <row r="1247" customFormat="false" ht="13.8" hidden="false" customHeight="false" outlineLevel="0" collapsed="false">
      <c r="A1247" s="2" t="n">
        <v>41200</v>
      </c>
      <c r="B1247" s="0" t="n">
        <v>1457.34</v>
      </c>
      <c r="C1247" s="0" t="n">
        <v>257.27</v>
      </c>
      <c r="D1247" s="3" t="n">
        <f aca="false">B1247*100/B$2</f>
        <v>100.703446750878</v>
      </c>
      <c r="E1247" s="3" t="n">
        <f aca="false">C1247*100/C$2</f>
        <v>109.337016574586</v>
      </c>
      <c r="F1247" s="0" t="n">
        <v>98.960723071395</v>
      </c>
      <c r="G1247" s="0" t="n">
        <v>99.4875427709015</v>
      </c>
      <c r="H1247" s="0" t="n">
        <v>104.883127921802</v>
      </c>
      <c r="I1247" s="0" t="n">
        <v>5.3955851509004</v>
      </c>
    </row>
    <row r="1248" customFormat="false" ht="13.8" hidden="false" customHeight="false" outlineLevel="0" collapsed="false">
      <c r="A1248" s="2" t="n">
        <v>41201</v>
      </c>
      <c r="B1248" s="0" t="n">
        <v>1433.19</v>
      </c>
      <c r="C1248" s="0" t="n">
        <v>254.79</v>
      </c>
      <c r="D1248" s="3" t="n">
        <f aca="false">B1248*100/B$2</f>
        <v>99.0346609911827</v>
      </c>
      <c r="E1248" s="3" t="n">
        <f aca="false">C1248*100/C$2</f>
        <v>108.283042923927</v>
      </c>
      <c r="F1248" s="0" t="n">
        <v>99.3615080571602</v>
      </c>
      <c r="G1248" s="0" t="n">
        <v>99.6214210732189</v>
      </c>
      <c r="H1248" s="0" t="n">
        <v>107.955801104972</v>
      </c>
      <c r="I1248" s="0" t="n">
        <v>8.3343800317535</v>
      </c>
    </row>
    <row r="1249" customFormat="false" ht="13.8" hidden="false" customHeight="false" outlineLevel="0" collapsed="false">
      <c r="A1249" s="2" t="n">
        <v>41204</v>
      </c>
      <c r="B1249" s="0" t="n">
        <v>1433.82</v>
      </c>
      <c r="C1249" s="0" t="n">
        <v>254.22</v>
      </c>
      <c r="D1249" s="3" t="n">
        <f aca="false">B1249*100/B$2</f>
        <v>99.07819453274</v>
      </c>
      <c r="E1249" s="3" t="n">
        <f aca="false">C1249*100/C$2</f>
        <v>108.040798980026</v>
      </c>
      <c r="F1249" s="0" t="n">
        <v>98.7506564581663</v>
      </c>
      <c r="G1249" s="0" t="n">
        <v>99.4173720745145</v>
      </c>
      <c r="H1249" s="0" t="n">
        <v>107.683807904802</v>
      </c>
      <c r="I1249" s="0" t="n">
        <v>8.26643583028786</v>
      </c>
    </row>
    <row r="1250" customFormat="false" ht="13.8" hidden="false" customHeight="false" outlineLevel="0" collapsed="false">
      <c r="A1250" s="2" t="n">
        <v>41205</v>
      </c>
      <c r="B1250" s="0" t="n">
        <v>1413.11</v>
      </c>
      <c r="C1250" s="0" t="n">
        <v>251.86</v>
      </c>
      <c r="D1250" s="3" t="n">
        <f aca="false">B1250*100/B$2</f>
        <v>97.6471157301197</v>
      </c>
      <c r="E1250" s="3" t="n">
        <f aca="false">C1250*100/C$2</f>
        <v>107.037824054399</v>
      </c>
      <c r="F1250" s="0" t="n">
        <v>99.0602283092402</v>
      </c>
      <c r="G1250" s="0" t="n">
        <v>99.5207815218217</v>
      </c>
      <c r="H1250" s="0" t="n">
        <v>107.40756481088</v>
      </c>
      <c r="I1250" s="0" t="n">
        <v>7.88678328905802</v>
      </c>
    </row>
    <row r="1251" customFormat="false" ht="13.8" hidden="false" customHeight="false" outlineLevel="0" collapsed="false">
      <c r="A1251" s="2" t="n">
        <v>41206</v>
      </c>
      <c r="B1251" s="0" t="n">
        <v>1408.75</v>
      </c>
      <c r="C1251" s="0" t="n">
        <v>249.8</v>
      </c>
      <c r="D1251" s="3" t="n">
        <f aca="false">B1251*100/B$2</f>
        <v>97.3458359821996</v>
      </c>
      <c r="E1251" s="3" t="n">
        <f aca="false">C1251*100/C$2</f>
        <v>106.162345941351</v>
      </c>
      <c r="F1251" s="0" t="n">
        <v>99.2675308880842</v>
      </c>
      <c r="G1251" s="0" t="n">
        <v>99.590028919572</v>
      </c>
      <c r="H1251" s="0" t="n">
        <v>109.201019974501</v>
      </c>
      <c r="I1251" s="0" t="n">
        <v>9.6109910549286</v>
      </c>
    </row>
    <row r="1252" customFormat="false" ht="13.8" hidden="false" customHeight="false" outlineLevel="0" collapsed="false">
      <c r="A1252" s="2" t="n">
        <v>41207</v>
      </c>
      <c r="B1252" s="0" t="n">
        <v>1412.97</v>
      </c>
      <c r="C1252" s="0" t="n">
        <v>251.72</v>
      </c>
      <c r="D1252" s="3" t="n">
        <f aca="false">B1252*100/B$2</f>
        <v>97.6374416097736</v>
      </c>
      <c r="E1252" s="3" t="n">
        <f aca="false">C1252*100/C$2</f>
        <v>106.978325541861</v>
      </c>
      <c r="F1252" s="0" t="n">
        <v>100.886564028857</v>
      </c>
      <c r="G1252" s="0" t="n">
        <v>100.130851096002</v>
      </c>
      <c r="H1252" s="0" t="n">
        <v>109.167020824479</v>
      </c>
      <c r="I1252" s="0" t="n">
        <v>9.03616972847715</v>
      </c>
    </row>
    <row r="1253" customFormat="false" ht="13.8" hidden="false" customHeight="false" outlineLevel="0" collapsed="false">
      <c r="A1253" s="2" t="n">
        <v>41208</v>
      </c>
      <c r="B1253" s="0" t="n">
        <v>1411.94</v>
      </c>
      <c r="C1253" s="0" t="n">
        <v>247.18</v>
      </c>
      <c r="D1253" s="3" t="n">
        <f aca="false">B1253*100/B$2</f>
        <v>97.5662677243705</v>
      </c>
      <c r="E1253" s="3" t="n">
        <f aca="false">C1253*100/C$2</f>
        <v>105.048873778156</v>
      </c>
      <c r="F1253" s="0" t="n">
        <v>101.285966997429</v>
      </c>
      <c r="G1253" s="0" t="n">
        <v>100.264267749001</v>
      </c>
      <c r="H1253" s="0" t="n">
        <v>112.630684232894</v>
      </c>
      <c r="I1253" s="0" t="n">
        <v>12.3664164838929</v>
      </c>
    </row>
    <row r="1254" customFormat="false" ht="13.8" hidden="false" customHeight="false" outlineLevel="0" collapsed="false">
      <c r="A1254" s="2" t="n">
        <v>41211</v>
      </c>
      <c r="B1254" s="0" t="n">
        <v>1411.94</v>
      </c>
      <c r="C1254" s="0" t="n">
        <v>247.66</v>
      </c>
      <c r="D1254" s="3" t="n">
        <f aca="false">B1254*100/B$2</f>
        <v>97.5662677243705</v>
      </c>
      <c r="E1254" s="3" t="n">
        <f aca="false">C1254*100/C$2</f>
        <v>105.252868678283</v>
      </c>
      <c r="F1254" s="0" t="n">
        <v>100.969485060394</v>
      </c>
      <c r="G1254" s="0" t="n">
        <v>100.158550055102</v>
      </c>
      <c r="H1254" s="0" t="n">
        <v>112.184445388865</v>
      </c>
      <c r="I1254" s="0" t="n">
        <v>12.0258953337629</v>
      </c>
    </row>
    <row r="1255" customFormat="false" ht="13.8" hidden="false" customHeight="false" outlineLevel="0" collapsed="false">
      <c r="A1255" s="2" t="n">
        <v>41212</v>
      </c>
      <c r="B1255" s="0" t="n">
        <v>1411.94</v>
      </c>
      <c r="C1255" s="0" t="n">
        <v>248.52</v>
      </c>
      <c r="D1255" s="3" t="n">
        <f aca="false">B1255*100/B$2</f>
        <v>97.5662677243705</v>
      </c>
      <c r="E1255" s="3" t="n">
        <f aca="false">C1255*100/C$2</f>
        <v>105.618359541011</v>
      </c>
      <c r="F1255" s="0" t="n">
        <v>100.840266452915</v>
      </c>
      <c r="G1255" s="0" t="n">
        <v>100.115385843838</v>
      </c>
      <c r="H1255" s="0" t="n">
        <v>112.30344241394</v>
      </c>
      <c r="I1255" s="0" t="n">
        <v>12.1880565701017</v>
      </c>
    </row>
    <row r="1256" customFormat="false" ht="13.8" hidden="false" customHeight="false" outlineLevel="0" collapsed="false">
      <c r="A1256" s="2" t="n">
        <v>41213</v>
      </c>
      <c r="B1256" s="0" t="n">
        <v>1412.16</v>
      </c>
      <c r="C1256" s="0" t="n">
        <v>250.18</v>
      </c>
      <c r="D1256" s="3" t="n">
        <f aca="false">B1256*100/B$2</f>
        <v>97.5814699134857</v>
      </c>
      <c r="E1256" s="3" t="n">
        <f aca="false">C1256*100/C$2</f>
        <v>106.323841903952</v>
      </c>
      <c r="F1256" s="0" t="n">
        <v>100.959810940048</v>
      </c>
      <c r="G1256" s="0" t="n">
        <v>100.155318509874</v>
      </c>
      <c r="H1256" s="0" t="n">
        <v>112.38419039524</v>
      </c>
      <c r="I1256" s="0" t="n">
        <v>12.2288718853661</v>
      </c>
    </row>
    <row r="1257" customFormat="false" ht="13.8" hidden="false" customHeight="false" outlineLevel="0" collapsed="false">
      <c r="A1257" s="2" t="n">
        <v>41214</v>
      </c>
      <c r="B1257" s="0" t="n">
        <v>1427.59</v>
      </c>
      <c r="C1257" s="0" t="n">
        <v>247.83</v>
      </c>
      <c r="D1257" s="3" t="n">
        <f aca="false">B1257*100/B$2</f>
        <v>98.6476961773404</v>
      </c>
      <c r="E1257" s="3" t="n">
        <f aca="false">C1257*100/C$2</f>
        <v>105.325116872078</v>
      </c>
      <c r="F1257" s="0" t="n">
        <v>100.905221260953</v>
      </c>
      <c r="G1257" s="0" t="n">
        <v>100.1370833618</v>
      </c>
      <c r="H1257" s="0" t="n">
        <v>111.291967700807</v>
      </c>
      <c r="I1257" s="0" t="n">
        <v>11.1548843390077</v>
      </c>
    </row>
    <row r="1258" customFormat="false" ht="13.8" hidden="false" customHeight="false" outlineLevel="0" collapsed="false">
      <c r="A1258" s="2" t="n">
        <v>41215</v>
      </c>
      <c r="B1258" s="0" t="n">
        <v>1414.2</v>
      </c>
      <c r="C1258" s="0" t="n">
        <v>251.04</v>
      </c>
      <c r="D1258" s="3" t="n">
        <f aca="false">B1258*100/B$2</f>
        <v>97.7224356670997</v>
      </c>
      <c r="E1258" s="3" t="n">
        <f aca="false">C1258*100/C$2</f>
        <v>106.689332766681</v>
      </c>
      <c r="F1258" s="0" t="n">
        <v>100.897620166395</v>
      </c>
      <c r="G1258" s="0" t="n">
        <v>100.134544290549</v>
      </c>
      <c r="H1258" s="0" t="n">
        <v>111.946451338717</v>
      </c>
      <c r="I1258" s="0" t="n">
        <v>11.8119070481676</v>
      </c>
    </row>
    <row r="1259" customFormat="false" ht="13.8" hidden="false" customHeight="false" outlineLevel="0" collapsed="false">
      <c r="A1259" s="2" t="n">
        <v>41218</v>
      </c>
      <c r="B1259" s="0" t="n">
        <v>1417.26</v>
      </c>
      <c r="C1259" s="0" t="n">
        <v>249.5</v>
      </c>
      <c r="D1259" s="3" t="n">
        <f aca="false">B1259*100/B$2</f>
        <v>97.9338842975207</v>
      </c>
      <c r="E1259" s="3" t="n">
        <f aca="false">C1259*100/C$2</f>
        <v>106.034849128772</v>
      </c>
      <c r="F1259" s="0" t="n">
        <v>100.672351364051</v>
      </c>
      <c r="G1259" s="0" t="n">
        <v>100.05929545166</v>
      </c>
      <c r="H1259" s="0" t="n">
        <v>112.010199745006</v>
      </c>
      <c r="I1259" s="0" t="n">
        <v>11.9509042933462</v>
      </c>
    </row>
    <row r="1260" customFormat="false" ht="13.8" hidden="false" customHeight="false" outlineLevel="0" collapsed="false">
      <c r="A1260" s="2" t="n">
        <v>41219</v>
      </c>
      <c r="B1260" s="0" t="n">
        <v>1428.39</v>
      </c>
      <c r="C1260" s="0" t="n">
        <v>252.3</v>
      </c>
      <c r="D1260" s="3" t="n">
        <f aca="false">B1260*100/B$2</f>
        <v>98.7029768650322</v>
      </c>
      <c r="E1260" s="3" t="n">
        <f aca="false">C1260*100/C$2</f>
        <v>107.224819379516</v>
      </c>
      <c r="F1260" s="0" t="n">
        <v>99.6151082119462</v>
      </c>
      <c r="G1260" s="0" t="n">
        <v>99.7061337231335</v>
      </c>
      <c r="H1260" s="0" t="n">
        <v>111.35996600085</v>
      </c>
      <c r="I1260" s="0" t="n">
        <v>11.6538322777165</v>
      </c>
    </row>
    <row r="1261" customFormat="false" ht="13.8" hidden="false" customHeight="false" outlineLevel="0" collapsed="false">
      <c r="A1261" s="2" t="n">
        <v>41220</v>
      </c>
      <c r="B1261" s="0" t="n">
        <v>1394.53</v>
      </c>
      <c r="C1261" s="0" t="n">
        <v>253.7</v>
      </c>
      <c r="D1261" s="3" t="n">
        <f aca="false">B1261*100/B$2</f>
        <v>96.3632217584787</v>
      </c>
      <c r="E1261" s="3" t="n">
        <f aca="false">C1261*100/C$2</f>
        <v>107.819804504887</v>
      </c>
      <c r="F1261" s="0" t="n">
        <v>99.0436441029326</v>
      </c>
      <c r="G1261" s="0" t="n">
        <v>99.5152417300017</v>
      </c>
      <c r="H1261" s="0" t="n">
        <v>110.675733106672</v>
      </c>
      <c r="I1261" s="0" t="n">
        <v>11.1604913766707</v>
      </c>
    </row>
    <row r="1262" customFormat="false" ht="13.8" hidden="false" customHeight="false" outlineLevel="0" collapsed="false">
      <c r="A1262" s="2" t="n">
        <v>41221</v>
      </c>
      <c r="B1262" s="0" t="n">
        <v>1377.51</v>
      </c>
      <c r="C1262" s="0" t="n">
        <v>250.13</v>
      </c>
      <c r="D1262" s="3" t="n">
        <f aca="false">B1262*100/B$2</f>
        <v>95.1871251278366</v>
      </c>
      <c r="E1262" s="3" t="n">
        <f aca="false">C1262*100/C$2</f>
        <v>106.302592435189</v>
      </c>
      <c r="F1262" s="0" t="n">
        <v>99.9993089914038</v>
      </c>
      <c r="G1262" s="0" t="n">
        <v>99.8344722336308</v>
      </c>
      <c r="H1262" s="0" t="n">
        <v>111.185720356991</v>
      </c>
      <c r="I1262" s="0" t="n">
        <v>11.3512481233603</v>
      </c>
    </row>
    <row r="1263" customFormat="false" ht="13.8" hidden="false" customHeight="false" outlineLevel="0" collapsed="false">
      <c r="A1263" s="2" t="n">
        <v>41222</v>
      </c>
      <c r="B1263" s="0" t="n">
        <v>1379.85</v>
      </c>
      <c r="C1263" s="0" t="n">
        <v>248.69</v>
      </c>
      <c r="D1263" s="3" t="n">
        <f aca="false">B1263*100/B$2</f>
        <v>95.348821139335</v>
      </c>
      <c r="E1263" s="3" t="n">
        <f aca="false">C1263*100/C$2</f>
        <v>105.690607734807</v>
      </c>
      <c r="F1263" s="0" t="n">
        <v>99.5515354211006</v>
      </c>
      <c r="G1263" s="0" t="n">
        <v>99.68489785449</v>
      </c>
      <c r="H1263" s="0" t="n">
        <v>111.555461113472</v>
      </c>
      <c r="I1263" s="0" t="n">
        <v>11.8705632589822</v>
      </c>
    </row>
    <row r="1264" customFormat="false" ht="13.8" hidden="false" customHeight="false" outlineLevel="0" collapsed="false">
      <c r="A1264" s="2" t="n">
        <v>41225</v>
      </c>
      <c r="B1264" s="0" t="n">
        <v>1380.03</v>
      </c>
      <c r="C1264" s="0" t="n">
        <v>248.18</v>
      </c>
      <c r="D1264" s="3" t="n">
        <f aca="false">B1264*100/B$2</f>
        <v>95.3612592940656</v>
      </c>
      <c r="E1264" s="3" t="n">
        <f aca="false">C1264*100/C$2</f>
        <v>105.473863153421</v>
      </c>
      <c r="F1264" s="0" t="n">
        <v>99.8155007048288</v>
      </c>
      <c r="G1264" s="0" t="n">
        <v>99.7730728742921</v>
      </c>
      <c r="H1264" s="0" t="n">
        <v>111.555461113472</v>
      </c>
      <c r="I1264" s="0" t="n">
        <v>11.78238823918</v>
      </c>
    </row>
    <row r="1265" customFormat="false" ht="13.8" hidden="false" customHeight="false" outlineLevel="0" collapsed="false">
      <c r="A1265" s="2" t="n">
        <v>41226</v>
      </c>
      <c r="B1265" s="0" t="n">
        <v>1374.53</v>
      </c>
      <c r="C1265" s="0" t="n">
        <v>246.9</v>
      </c>
      <c r="D1265" s="3" t="n">
        <f aca="false">B1265*100/B$2</f>
        <v>94.9812045661848</v>
      </c>
      <c r="E1265" s="3" t="n">
        <f aca="false">C1265*100/C$2</f>
        <v>104.929876753081</v>
      </c>
      <c r="F1265" s="0" t="n">
        <v>99.9025677879433</v>
      </c>
      <c r="G1265" s="0" t="n">
        <v>99.8021567813473</v>
      </c>
      <c r="H1265" s="0" t="n">
        <v>111.55121121972</v>
      </c>
      <c r="I1265" s="0" t="n">
        <v>11.7490544383722</v>
      </c>
    </row>
    <row r="1266" customFormat="false" ht="13.8" hidden="false" customHeight="false" outlineLevel="0" collapsed="false">
      <c r="A1266" s="2" t="n">
        <v>41227</v>
      </c>
      <c r="B1266" s="0" t="n">
        <v>1355.49</v>
      </c>
      <c r="C1266" s="0" t="n">
        <v>247.8</v>
      </c>
      <c r="D1266" s="3" t="n">
        <f aca="false">B1266*100/B$2</f>
        <v>93.665524199121</v>
      </c>
      <c r="E1266" s="3" t="n">
        <f aca="false">C1266*100/C$2</f>
        <v>105.31236719082</v>
      </c>
      <c r="F1266" s="0" t="n">
        <v>100.264656292324</v>
      </c>
      <c r="G1266" s="0" t="n">
        <v>99.9231089027512</v>
      </c>
      <c r="H1266" s="0" t="n">
        <v>111.55121121972</v>
      </c>
      <c r="I1266" s="0" t="n">
        <v>11.6281023169683</v>
      </c>
    </row>
    <row r="1267" customFormat="false" ht="13.8" hidden="false" customHeight="false" outlineLevel="0" collapsed="false">
      <c r="A1267" s="2" t="n">
        <v>41228</v>
      </c>
      <c r="B1267" s="0" t="n">
        <v>1353.33</v>
      </c>
      <c r="C1267" s="0" t="n">
        <v>244.64</v>
      </c>
      <c r="D1267" s="3" t="n">
        <f aca="false">B1267*100/B$2</f>
        <v>93.5162663423533</v>
      </c>
      <c r="E1267" s="3" t="n">
        <f aca="false">C1267*100/C$2</f>
        <v>103.969400764981</v>
      </c>
      <c r="F1267" s="0" t="n">
        <v>100.983996240913</v>
      </c>
      <c r="G1267" s="0" t="n">
        <v>100.163397372945</v>
      </c>
      <c r="H1267" s="0" t="n">
        <v>111.313217169571</v>
      </c>
      <c r="I1267" s="0" t="n">
        <v>11.1498197966259</v>
      </c>
    </row>
    <row r="1268" customFormat="false" ht="13.8" hidden="false" customHeight="false" outlineLevel="0" collapsed="false">
      <c r="A1268" s="2" t="n">
        <v>41229</v>
      </c>
      <c r="B1268" s="0" t="n">
        <v>1359.88</v>
      </c>
      <c r="C1268" s="0" t="n">
        <v>243.45</v>
      </c>
      <c r="D1268" s="3" t="n">
        <f aca="false">B1268*100/B$2</f>
        <v>93.9688769728295</v>
      </c>
      <c r="E1268" s="3" t="n">
        <f aca="false">C1268*100/C$2</f>
        <v>103.463663408415</v>
      </c>
      <c r="F1268" s="0" t="n">
        <v>100.951518836894</v>
      </c>
      <c r="G1268" s="0" t="n">
        <v>100.152548613964</v>
      </c>
      <c r="H1268" s="0" t="n">
        <v>111.376965575861</v>
      </c>
      <c r="I1268" s="0" t="n">
        <v>11.2244169618966</v>
      </c>
    </row>
    <row r="1269" customFormat="false" ht="13.8" hidden="false" customHeight="false" outlineLevel="0" collapsed="false">
      <c r="A1269" s="2" t="n">
        <v>41232</v>
      </c>
      <c r="B1269" s="0" t="n">
        <v>1386.89</v>
      </c>
      <c r="C1269" s="0" t="n">
        <v>245.82</v>
      </c>
      <c r="D1269" s="3" t="n">
        <f aca="false">B1269*100/B$2</f>
        <v>95.8352911910224</v>
      </c>
      <c r="E1269" s="3" t="n">
        <f aca="false">C1269*100/C$2</f>
        <v>104.470888227794</v>
      </c>
      <c r="F1269" s="0" t="n">
        <v>100.60255949584</v>
      </c>
      <c r="G1269" s="0" t="n">
        <v>100.035982161084</v>
      </c>
      <c r="H1269" s="0" t="n">
        <v>110.54398640034</v>
      </c>
      <c r="I1269" s="0" t="n">
        <v>10.5080042392557</v>
      </c>
    </row>
    <row r="1270" customFormat="false" ht="13.8" hidden="false" customHeight="false" outlineLevel="0" collapsed="false">
      <c r="A1270" s="2" t="n">
        <v>41233</v>
      </c>
      <c r="B1270" s="0" t="n">
        <v>1387.81</v>
      </c>
      <c r="C1270" s="0" t="n">
        <v>247.72</v>
      </c>
      <c r="D1270" s="3" t="n">
        <f aca="false">B1270*100/B$2</f>
        <v>95.8988639818679</v>
      </c>
      <c r="E1270" s="3" t="n">
        <f aca="false">C1270*100/C$2</f>
        <v>105.278368040799</v>
      </c>
      <c r="F1270" s="0" t="n">
        <v>99.6075071173885</v>
      </c>
      <c r="G1270" s="0" t="n">
        <v>99.7035946518826</v>
      </c>
      <c r="H1270" s="0" t="n">
        <v>110.35274118147</v>
      </c>
      <c r="I1270" s="0" t="n">
        <v>10.6491465295879</v>
      </c>
    </row>
    <row r="1271" customFormat="false" ht="13.8" hidden="false" customHeight="false" outlineLevel="0" collapsed="false">
      <c r="A1271" s="2" t="n">
        <v>41234</v>
      </c>
      <c r="B1271" s="0" t="n">
        <v>1391.03</v>
      </c>
      <c r="C1271" s="0" t="n">
        <v>247.02</v>
      </c>
      <c r="D1271" s="3" t="n">
        <f aca="false">B1271*100/B$2</f>
        <v>96.1213687498272</v>
      </c>
      <c r="E1271" s="3" t="n">
        <f aca="false">C1271*100/C$2</f>
        <v>104.980875478113</v>
      </c>
      <c r="F1271" s="0" t="n">
        <v>98.9911274496255</v>
      </c>
      <c r="G1271" s="0" t="n">
        <v>99.4976990559049</v>
      </c>
      <c r="H1271" s="0" t="n">
        <v>108.436039099023</v>
      </c>
      <c r="I1271" s="0" t="n">
        <v>8.93834004311761</v>
      </c>
    </row>
    <row r="1272" customFormat="false" ht="13.8" hidden="false" customHeight="false" outlineLevel="0" collapsed="false">
      <c r="A1272" s="2" t="n">
        <v>41235</v>
      </c>
      <c r="B1272" s="0" t="n">
        <v>1391.03</v>
      </c>
      <c r="C1272" s="0" t="n">
        <v>249.51</v>
      </c>
      <c r="D1272" s="3" t="n">
        <f aca="false">B1272*100/B$2</f>
        <v>96.1213687498272</v>
      </c>
      <c r="E1272" s="3" t="n">
        <f aca="false">C1272*100/C$2</f>
        <v>106.039099022524</v>
      </c>
      <c r="F1272" s="0" t="n">
        <v>99.0104756903176</v>
      </c>
      <c r="G1272" s="0" t="n">
        <v>99.5041621463616</v>
      </c>
      <c r="H1272" s="0" t="n">
        <v>107.454313642159</v>
      </c>
      <c r="I1272" s="0" t="n">
        <v>7.95015149579733</v>
      </c>
    </row>
    <row r="1273" customFormat="false" ht="13.8" hidden="false" customHeight="false" outlineLevel="0" collapsed="false">
      <c r="A1273" s="2" t="n">
        <v>41236</v>
      </c>
      <c r="B1273" s="0" t="n">
        <v>1409.15</v>
      </c>
      <c r="C1273" s="0" t="n">
        <v>251.44</v>
      </c>
      <c r="D1273" s="3" t="n">
        <f aca="false">B1273*100/B$2</f>
        <v>97.3734763260455</v>
      </c>
      <c r="E1273" s="3" t="n">
        <f aca="false">C1273*100/C$2</f>
        <v>106.859328516787</v>
      </c>
      <c r="F1273" s="0" t="n">
        <v>98.7167970369551</v>
      </c>
      <c r="G1273" s="0" t="n">
        <v>99.4060616662153</v>
      </c>
      <c r="H1273" s="0" t="n">
        <v>107.284317892053</v>
      </c>
      <c r="I1273" s="0" t="n">
        <v>7.8782562258374</v>
      </c>
    </row>
    <row r="1274" customFormat="false" ht="13.8" hidden="false" customHeight="false" outlineLevel="0" collapsed="false">
      <c r="A1274" s="2" t="n">
        <v>41239</v>
      </c>
      <c r="B1274" s="0" t="n">
        <v>1406.29</v>
      </c>
      <c r="C1274" s="0" t="n">
        <v>250.73</v>
      </c>
      <c r="D1274" s="3" t="n">
        <f aca="false">B1274*100/B$2</f>
        <v>97.1758478675475</v>
      </c>
      <c r="E1274" s="3" t="n">
        <f aca="false">C1274*100/C$2</f>
        <v>106.557586060348</v>
      </c>
      <c r="F1274" s="0" t="n">
        <v>99.5142209569087</v>
      </c>
      <c r="G1274" s="0" t="n">
        <v>99.672433322895</v>
      </c>
      <c r="H1274" s="0" t="n">
        <v>106.859328516787</v>
      </c>
      <c r="I1274" s="0" t="n">
        <v>7.18689519389211</v>
      </c>
    </row>
    <row r="1275" customFormat="false" ht="13.8" hidden="false" customHeight="false" outlineLevel="0" collapsed="false">
      <c r="A1275" s="2" t="n">
        <v>41240</v>
      </c>
      <c r="B1275" s="0" t="n">
        <v>1398.94</v>
      </c>
      <c r="C1275" s="0" t="n">
        <v>253.41</v>
      </c>
      <c r="D1275" s="3" t="n">
        <f aca="false">B1275*100/B$2</f>
        <v>96.6679565493795</v>
      </c>
      <c r="E1275" s="3" t="n">
        <f aca="false">C1275*100/C$2</f>
        <v>107.69655758606</v>
      </c>
      <c r="F1275" s="0" t="n">
        <v>100.53622267061</v>
      </c>
      <c r="G1275" s="0" t="n">
        <v>100.013822993804</v>
      </c>
      <c r="H1275" s="0" t="n">
        <v>107.938801529962</v>
      </c>
      <c r="I1275" s="0" t="n">
        <v>7.9249785361576</v>
      </c>
    </row>
    <row r="1276" customFormat="false" ht="13.8" hidden="false" customHeight="false" outlineLevel="0" collapsed="false">
      <c r="A1276" s="2" t="n">
        <v>41241</v>
      </c>
      <c r="B1276" s="0" t="n">
        <v>1409.93</v>
      </c>
      <c r="C1276" s="0" t="n">
        <v>251.72</v>
      </c>
      <c r="D1276" s="3" t="n">
        <f aca="false">B1276*100/B$2</f>
        <v>97.427374996545</v>
      </c>
      <c r="E1276" s="3" t="n">
        <f aca="false">C1276*100/C$2</f>
        <v>106.978325541861</v>
      </c>
      <c r="F1276" s="0" t="n">
        <v>100.950136819702</v>
      </c>
      <c r="G1276" s="0" t="n">
        <v>100.152086964646</v>
      </c>
      <c r="H1276" s="0" t="n">
        <v>108.822779430514</v>
      </c>
      <c r="I1276" s="0" t="n">
        <v>8.67069246586857</v>
      </c>
    </row>
    <row r="1277" customFormat="false" ht="13.8" hidden="false" customHeight="false" outlineLevel="0" collapsed="false">
      <c r="A1277" s="2" t="n">
        <v>41242</v>
      </c>
      <c r="B1277" s="0" t="n">
        <v>1415.95</v>
      </c>
      <c r="C1277" s="0" t="n">
        <v>254.73</v>
      </c>
      <c r="D1277" s="3" t="n">
        <f aca="false">B1277*100/B$2</f>
        <v>97.8433621714254</v>
      </c>
      <c r="E1277" s="3" t="n">
        <f aca="false">C1277*100/C$2</f>
        <v>108.257543561411</v>
      </c>
      <c r="F1277" s="0" t="n">
        <v>100.703446750878</v>
      </c>
      <c r="G1277" s="0" t="n">
        <v>100.069682561323</v>
      </c>
      <c r="H1277" s="0" t="n">
        <v>109.337016574586</v>
      </c>
      <c r="I1277" s="0" t="n">
        <v>9.26733401326287</v>
      </c>
    </row>
    <row r="1278" customFormat="false" ht="13.8" hidden="false" customHeight="false" outlineLevel="0" collapsed="false">
      <c r="A1278" s="2" t="n">
        <v>41243</v>
      </c>
      <c r="B1278" s="0" t="n">
        <v>1416.18</v>
      </c>
      <c r="C1278" s="0" t="n">
        <v>254.25</v>
      </c>
      <c r="D1278" s="3" t="n">
        <f aca="false">B1278*100/B$2</f>
        <v>97.8592553691368</v>
      </c>
      <c r="E1278" s="3" t="n">
        <f aca="false">C1278*100/C$2</f>
        <v>108.053548661283</v>
      </c>
      <c r="F1278" s="0" t="n">
        <v>99.0346609911827</v>
      </c>
      <c r="G1278" s="0" t="n">
        <v>99.5122410094325</v>
      </c>
      <c r="H1278" s="0" t="n">
        <v>108.283042923927</v>
      </c>
      <c r="I1278" s="0" t="n">
        <v>8.77080191449441</v>
      </c>
    </row>
    <row r="1279" customFormat="false" ht="13.8" hidden="false" customHeight="false" outlineLevel="0" collapsed="false">
      <c r="A1279" s="2" t="n">
        <v>41246</v>
      </c>
      <c r="B1279" s="0" t="n">
        <v>1409.46</v>
      </c>
      <c r="C1279" s="0" t="n">
        <v>255.57</v>
      </c>
      <c r="D1279" s="3" t="n">
        <f aca="false">B1279*100/B$2</f>
        <v>97.394897592526</v>
      </c>
      <c r="E1279" s="3" t="n">
        <f aca="false">C1279*100/C$2</f>
        <v>108.614534636634</v>
      </c>
      <c r="F1279" s="0" t="n">
        <v>99.07819453274</v>
      </c>
      <c r="G1279" s="0" t="n">
        <v>99.5267829629601</v>
      </c>
      <c r="H1279" s="0" t="n">
        <v>108.040798980026</v>
      </c>
      <c r="I1279" s="0" t="n">
        <v>8.51401601706544</v>
      </c>
    </row>
    <row r="1280" customFormat="false" ht="13.8" hidden="false" customHeight="false" outlineLevel="0" collapsed="false">
      <c r="A1280" s="2" t="n">
        <v>41247</v>
      </c>
      <c r="B1280" s="0" t="n">
        <v>1407.05</v>
      </c>
      <c r="C1280" s="0" t="n">
        <v>254.83</v>
      </c>
      <c r="D1280" s="3" t="n">
        <f aca="false">B1280*100/B$2</f>
        <v>97.2283645208546</v>
      </c>
      <c r="E1280" s="3" t="n">
        <f aca="false">C1280*100/C$2</f>
        <v>108.300042498938</v>
      </c>
      <c r="F1280" s="0" t="n">
        <v>97.6471157301197</v>
      </c>
      <c r="G1280" s="0" t="n">
        <v>99.0487450938235</v>
      </c>
      <c r="H1280" s="0" t="n">
        <v>107.037824054399</v>
      </c>
      <c r="I1280" s="0" t="n">
        <v>7.98907896057511</v>
      </c>
    </row>
    <row r="1281" customFormat="false" ht="13.8" hidden="false" customHeight="false" outlineLevel="0" collapsed="false">
      <c r="A1281" s="2" t="n">
        <v>41248</v>
      </c>
      <c r="B1281" s="0" t="n">
        <v>1409.28</v>
      </c>
      <c r="C1281" s="0" t="n">
        <v>256.63</v>
      </c>
      <c r="D1281" s="3" t="n">
        <f aca="false">B1281*100/B$2</f>
        <v>97.3824594377954</v>
      </c>
      <c r="E1281" s="3" t="n">
        <f aca="false">C1281*100/C$2</f>
        <v>109.065023374416</v>
      </c>
      <c r="F1281" s="0" t="n">
        <v>97.3458359821996</v>
      </c>
      <c r="G1281" s="0" t="n">
        <v>98.9481055424264</v>
      </c>
      <c r="H1281" s="0" t="n">
        <v>106.162345941351</v>
      </c>
      <c r="I1281" s="0" t="n">
        <v>7.2142403989251</v>
      </c>
    </row>
    <row r="1282" customFormat="false" ht="13.8" hidden="false" customHeight="false" outlineLevel="0" collapsed="false">
      <c r="A1282" s="2" t="n">
        <v>41249</v>
      </c>
      <c r="B1282" s="0" t="n">
        <v>1413.94</v>
      </c>
      <c r="C1282" s="0" t="n">
        <v>257.27</v>
      </c>
      <c r="D1282" s="3" t="n">
        <f aca="false">B1282*100/B$2</f>
        <v>97.7044694435999</v>
      </c>
      <c r="E1282" s="3" t="n">
        <f aca="false">C1282*100/C$2</f>
        <v>109.337016574586</v>
      </c>
      <c r="F1282" s="0" t="n">
        <v>97.6374416097736</v>
      </c>
      <c r="G1282" s="0" t="n">
        <v>99.0455135485952</v>
      </c>
      <c r="H1282" s="0" t="n">
        <v>106.978325541861</v>
      </c>
      <c r="I1282" s="0" t="n">
        <v>7.93281199326627</v>
      </c>
    </row>
    <row r="1283" customFormat="false" ht="13.8" hidden="false" customHeight="false" outlineLevel="0" collapsed="false">
      <c r="A1283" s="2" t="n">
        <v>41250</v>
      </c>
      <c r="B1283" s="0" t="n">
        <v>1418.07</v>
      </c>
      <c r="C1283" s="0" t="n">
        <v>258.78</v>
      </c>
      <c r="D1283" s="3" t="n">
        <f aca="false">B1283*100/B$2</f>
        <v>97.9898559938086</v>
      </c>
      <c r="E1283" s="3" t="n">
        <f aca="false">C1283*100/C$2</f>
        <v>109.978750531237</v>
      </c>
      <c r="F1283" s="0" t="n">
        <v>97.5662677243705</v>
      </c>
      <c r="G1283" s="0" t="n">
        <v>99.0217386087009</v>
      </c>
      <c r="H1283" s="0" t="n">
        <v>105.048873778156</v>
      </c>
      <c r="I1283" s="0" t="n">
        <v>6.02713516945465</v>
      </c>
    </row>
    <row r="1284" customFormat="false" ht="13.8" hidden="false" customHeight="false" outlineLevel="0" collapsed="false">
      <c r="A1284" s="2" t="n">
        <v>41253</v>
      </c>
      <c r="B1284" s="0" t="n">
        <v>1418.55</v>
      </c>
      <c r="C1284" s="0" t="n">
        <v>259.03</v>
      </c>
      <c r="D1284" s="3" t="n">
        <f aca="false">B1284*100/B$2</f>
        <v>98.0230244064236</v>
      </c>
      <c r="E1284" s="3" t="n">
        <f aca="false">C1284*100/C$2</f>
        <v>110.084997875053</v>
      </c>
      <c r="F1284" s="0" t="n">
        <v>97.5662677243705</v>
      </c>
      <c r="G1284" s="0" t="n">
        <v>99.0217386087009</v>
      </c>
      <c r="H1284" s="0" t="n">
        <v>105.252868678283</v>
      </c>
      <c r="I1284" s="0" t="n">
        <v>6.23113006958215</v>
      </c>
    </row>
    <row r="1285" customFormat="false" ht="13.8" hidden="false" customHeight="false" outlineLevel="0" collapsed="false">
      <c r="A1285" s="2" t="n">
        <v>41254</v>
      </c>
      <c r="B1285" s="0" t="n">
        <v>1427.84</v>
      </c>
      <c r="C1285" s="0" t="n">
        <v>260.12</v>
      </c>
      <c r="D1285" s="3" t="n">
        <f aca="false">B1285*100/B$2</f>
        <v>98.6649713922441</v>
      </c>
      <c r="E1285" s="3" t="n">
        <f aca="false">C1285*100/C$2</f>
        <v>110.548236294093</v>
      </c>
      <c r="F1285" s="0" t="n">
        <v>97.5662677243705</v>
      </c>
      <c r="G1285" s="0" t="n">
        <v>99.0217386087009</v>
      </c>
      <c r="H1285" s="0" t="n">
        <v>105.618359541011</v>
      </c>
      <c r="I1285" s="0" t="n">
        <v>6.59662093231059</v>
      </c>
    </row>
    <row r="1286" customFormat="false" ht="13.8" hidden="false" customHeight="false" outlineLevel="0" collapsed="false">
      <c r="A1286" s="2" t="n">
        <v>41255</v>
      </c>
      <c r="B1286" s="0" t="n">
        <v>1428.48</v>
      </c>
      <c r="C1286" s="0" t="n">
        <v>261.67</v>
      </c>
      <c r="D1286" s="3" t="n">
        <f aca="false">B1286*100/B$2</f>
        <v>98.7091959423975</v>
      </c>
      <c r="E1286" s="3" t="n">
        <f aca="false">C1286*100/C$2</f>
        <v>111.206969825754</v>
      </c>
      <c r="F1286" s="0" t="n">
        <v>97.5814699134857</v>
      </c>
      <c r="G1286" s="0" t="n">
        <v>99.0268167512026</v>
      </c>
      <c r="H1286" s="0" t="n">
        <v>106.323841903952</v>
      </c>
      <c r="I1286" s="0" t="n">
        <v>7.29702515274983</v>
      </c>
    </row>
    <row r="1287" customFormat="false" ht="13.8" hidden="false" customHeight="false" outlineLevel="0" collapsed="false">
      <c r="A1287" s="2" t="n">
        <v>41256</v>
      </c>
      <c r="B1287" s="0" t="n">
        <v>1419.45</v>
      </c>
      <c r="C1287" s="0" t="n">
        <v>265.79</v>
      </c>
      <c r="D1287" s="3" t="n">
        <f aca="false">B1287*100/B$2</f>
        <v>98.0852151800768</v>
      </c>
      <c r="E1287" s="3" t="n">
        <f aca="false">C1287*100/C$2</f>
        <v>112.957926051849</v>
      </c>
      <c r="F1287" s="0" t="n">
        <v>98.6476961773404</v>
      </c>
      <c r="G1287" s="0" t="n">
        <v>99.3829792002985</v>
      </c>
      <c r="H1287" s="0" t="n">
        <v>105.325116872078</v>
      </c>
      <c r="I1287" s="0" t="n">
        <v>5.94213767177969</v>
      </c>
    </row>
    <row r="1288" customFormat="false" ht="13.8" hidden="false" customHeight="false" outlineLevel="0" collapsed="false">
      <c r="A1288" s="2" t="n">
        <v>41257</v>
      </c>
      <c r="B1288" s="0" t="n">
        <v>1413.58</v>
      </c>
      <c r="C1288" s="0" t="n">
        <v>264.56</v>
      </c>
      <c r="D1288" s="3" t="n">
        <f aca="false">B1288*100/B$2</f>
        <v>97.6795931341386</v>
      </c>
      <c r="E1288" s="3" t="n">
        <f aca="false">C1288*100/C$2</f>
        <v>112.435189120272</v>
      </c>
      <c r="F1288" s="0" t="n">
        <v>97.7224356670997</v>
      </c>
      <c r="G1288" s="0" t="n">
        <v>99.0739049816728</v>
      </c>
      <c r="H1288" s="0" t="n">
        <v>106.689332766681</v>
      </c>
      <c r="I1288" s="0" t="n">
        <v>7.61542778500802</v>
      </c>
    </row>
    <row r="1289" customFormat="false" ht="13.8" hidden="false" customHeight="false" outlineLevel="0" collapsed="false">
      <c r="A1289" s="2" t="n">
        <v>41260</v>
      </c>
      <c r="B1289" s="0" t="n">
        <v>1430.36</v>
      </c>
      <c r="C1289" s="0" t="n">
        <v>262.76</v>
      </c>
      <c r="D1289" s="3" t="n">
        <f aca="false">B1289*100/B$2</f>
        <v>98.8391055584731</v>
      </c>
      <c r="E1289" s="3" t="n">
        <f aca="false">C1289*100/C$2</f>
        <v>111.670208244794</v>
      </c>
      <c r="F1289" s="0" t="n">
        <v>97.9338842975207</v>
      </c>
      <c r="G1289" s="0" t="n">
        <v>99.1445373273782</v>
      </c>
      <c r="H1289" s="0" t="n">
        <v>106.034849128772</v>
      </c>
      <c r="I1289" s="0" t="n">
        <v>6.89031180139362</v>
      </c>
    </row>
    <row r="1290" customFormat="false" ht="13.8" hidden="false" customHeight="false" outlineLevel="0" collapsed="false">
      <c r="A1290" s="2" t="n">
        <v>41261</v>
      </c>
      <c r="B1290" s="0" t="n">
        <v>1446.79</v>
      </c>
      <c r="C1290" s="0" t="n">
        <v>264.23</v>
      </c>
      <c r="D1290" s="3" t="n">
        <f aca="false">B1290*100/B$2</f>
        <v>99.9744326819426</v>
      </c>
      <c r="E1290" s="3" t="n">
        <f aca="false">C1290*100/C$2</f>
        <v>112.294942626434</v>
      </c>
      <c r="F1290" s="0" t="n">
        <v>98.7029768650322</v>
      </c>
      <c r="G1290" s="0" t="n">
        <v>99.4014451730319</v>
      </c>
      <c r="H1290" s="0" t="n">
        <v>107.224819379516</v>
      </c>
      <c r="I1290" s="0" t="n">
        <v>7.82337420648358</v>
      </c>
    </row>
    <row r="1291" customFormat="false" ht="13.8" hidden="false" customHeight="false" outlineLevel="0" collapsed="false">
      <c r="A1291" s="2" t="n">
        <v>41262</v>
      </c>
      <c r="B1291" s="0" t="n">
        <v>1435.81</v>
      </c>
      <c r="C1291" s="0" t="n">
        <v>264.23</v>
      </c>
      <c r="D1291" s="3" t="n">
        <f aca="false">B1291*100/B$2</f>
        <v>99.2157052433732</v>
      </c>
      <c r="E1291" s="3" t="n">
        <f aca="false">C1291*100/C$2</f>
        <v>112.294942626434</v>
      </c>
      <c r="F1291" s="0" t="n">
        <v>96.3632217584787</v>
      </c>
      <c r="G1291" s="0" t="n">
        <v>98.6198728770897</v>
      </c>
      <c r="H1291" s="0" t="n">
        <v>107.819804504887</v>
      </c>
      <c r="I1291" s="0" t="n">
        <v>9.19993162779764</v>
      </c>
    </row>
    <row r="1292" customFormat="false" ht="13.8" hidden="false" customHeight="false" outlineLevel="0" collapsed="false">
      <c r="A1292" s="2" t="n">
        <v>41263</v>
      </c>
      <c r="B1292" s="0" t="n">
        <v>1443.69</v>
      </c>
      <c r="C1292" s="0" t="n">
        <v>264.78</v>
      </c>
      <c r="D1292" s="3" t="n">
        <f aca="false">B1292*100/B$2</f>
        <v>99.760220017137</v>
      </c>
      <c r="E1292" s="3" t="n">
        <f aca="false">C1292*100/C$2</f>
        <v>112.52868678283</v>
      </c>
      <c r="F1292" s="0" t="n">
        <v>95.1871251278366</v>
      </c>
      <c r="G1292" s="0" t="n">
        <v>98.2270093071861</v>
      </c>
      <c r="H1292" s="0" t="n">
        <v>106.302592435189</v>
      </c>
      <c r="I1292" s="0" t="n">
        <v>8.075583128003</v>
      </c>
    </row>
    <row r="1293" customFormat="false" ht="13.8" hidden="false" customHeight="false" outlineLevel="0" collapsed="false">
      <c r="A1293" s="2" t="n">
        <v>41264</v>
      </c>
      <c r="B1293" s="0" t="n">
        <v>1430.15</v>
      </c>
      <c r="C1293" s="0" t="n">
        <v>261.89</v>
      </c>
      <c r="D1293" s="3" t="n">
        <f aca="false">B1293*100/B$2</f>
        <v>98.8245943779541</v>
      </c>
      <c r="E1293" s="3" t="n">
        <f aca="false">C1293*100/C$2</f>
        <v>111.300467488313</v>
      </c>
      <c r="F1293" s="0" t="n">
        <v>95.348821139335</v>
      </c>
      <c r="G1293" s="0" t="n">
        <v>98.2810222774314</v>
      </c>
      <c r="H1293" s="0" t="n">
        <v>105.690607734807</v>
      </c>
      <c r="I1293" s="0" t="n">
        <v>7.40958545737524</v>
      </c>
    </row>
    <row r="1294" customFormat="false" ht="13.8" hidden="false" customHeight="false" outlineLevel="0" collapsed="false">
      <c r="A1294" s="2" t="n">
        <v>41267</v>
      </c>
      <c r="B1294" s="0" t="n">
        <v>1426.66</v>
      </c>
      <c r="C1294" s="0" t="n">
        <v>262.11</v>
      </c>
      <c r="D1294" s="3" t="n">
        <f aca="false">B1294*100/B$2</f>
        <v>98.5834323778988</v>
      </c>
      <c r="E1294" s="3" t="n">
        <f aca="false">C1294*100/C$2</f>
        <v>111.393965150871</v>
      </c>
      <c r="F1294" s="0" t="n">
        <v>95.3612592940656</v>
      </c>
      <c r="G1294" s="0" t="n">
        <v>98.2851771212964</v>
      </c>
      <c r="H1294" s="0" t="n">
        <v>105.473863153421</v>
      </c>
      <c r="I1294" s="0" t="n">
        <v>7.18868603212476</v>
      </c>
    </row>
    <row r="1295" customFormat="false" ht="13.8" hidden="false" customHeight="false" outlineLevel="0" collapsed="false">
      <c r="A1295" s="2" t="n">
        <v>41269</v>
      </c>
      <c r="B1295" s="0" t="n">
        <v>1419.83</v>
      </c>
      <c r="C1295" s="0" t="n">
        <v>261.97</v>
      </c>
      <c r="D1295" s="3" t="n">
        <f aca="false">B1295*100/B$2</f>
        <v>98.1114735067304</v>
      </c>
      <c r="E1295" s="3" t="n">
        <f aca="false">C1295*100/C$2</f>
        <v>111.334466638334</v>
      </c>
      <c r="F1295" s="0" t="n">
        <v>94.9812045661848</v>
      </c>
      <c r="G1295" s="0" t="n">
        <v>98.1582235587541</v>
      </c>
      <c r="H1295" s="0" t="n">
        <v>104.929876753081</v>
      </c>
      <c r="I1295" s="0" t="n">
        <v>6.77165319432707</v>
      </c>
    </row>
    <row r="1296" customFormat="false" ht="13.8" hidden="false" customHeight="false" outlineLevel="0" collapsed="false">
      <c r="A1296" s="2" t="n">
        <v>41270</v>
      </c>
      <c r="B1296" s="0" t="n">
        <v>1418.1</v>
      </c>
      <c r="C1296" s="0" t="n">
        <v>262.68</v>
      </c>
      <c r="D1296" s="3" t="n">
        <f aca="false">B1296*100/B$2</f>
        <v>97.991929019597</v>
      </c>
      <c r="E1296" s="3" t="n">
        <f aca="false">C1296*100/C$2</f>
        <v>111.636209094773</v>
      </c>
      <c r="F1296" s="0" t="n">
        <v>93.665524199121</v>
      </c>
      <c r="G1296" s="0" t="n">
        <v>97.7187334076986</v>
      </c>
      <c r="H1296" s="0" t="n">
        <v>105.31236719082</v>
      </c>
      <c r="I1296" s="0" t="n">
        <v>7.59363378312163</v>
      </c>
    </row>
    <row r="1297" customFormat="false" ht="13.8" hidden="false" customHeight="false" outlineLevel="0" collapsed="false">
      <c r="A1297" s="2" t="n">
        <v>41271</v>
      </c>
      <c r="B1297" s="0" t="n">
        <v>1402.43</v>
      </c>
      <c r="C1297" s="0" t="n">
        <v>263.92</v>
      </c>
      <c r="D1297" s="3" t="n">
        <f aca="false">B1297*100/B$2</f>
        <v>96.9091185494348</v>
      </c>
      <c r="E1297" s="3" t="n">
        <f aca="false">C1297*100/C$2</f>
        <v>112.163195920102</v>
      </c>
      <c r="F1297" s="0" t="n">
        <v>93.5162663423533</v>
      </c>
      <c r="G1297" s="0" t="n">
        <v>97.6688752813183</v>
      </c>
      <c r="H1297" s="0" t="n">
        <v>103.969400764981</v>
      </c>
      <c r="I1297" s="0" t="n">
        <v>6.30052548366254</v>
      </c>
    </row>
    <row r="1298" customFormat="false" ht="13.8" hidden="false" customHeight="false" outlineLevel="0" collapsed="false">
      <c r="A1298" s="2" t="n">
        <v>41274</v>
      </c>
      <c r="B1298" s="0" t="n">
        <v>1426.19</v>
      </c>
      <c r="C1298" s="0" t="n">
        <v>263.92</v>
      </c>
      <c r="D1298" s="3" t="n">
        <f aca="false">B1298*100/B$2</f>
        <v>98.5509549738799</v>
      </c>
      <c r="E1298" s="3" t="n">
        <f aca="false">C1298*100/C$2</f>
        <v>112.163195920102</v>
      </c>
      <c r="F1298" s="0" t="n">
        <v>93.9688769728295</v>
      </c>
      <c r="G1298" s="0" t="n">
        <v>97.8200654330733</v>
      </c>
      <c r="H1298" s="0" t="n">
        <v>103.463663408415</v>
      </c>
      <c r="I1298" s="0" t="n">
        <v>5.64359797534154</v>
      </c>
    </row>
    <row r="1299" customFormat="false" ht="13.8" hidden="false" customHeight="false" outlineLevel="0" collapsed="false">
      <c r="A1299" s="2" t="n">
        <v>41276</v>
      </c>
      <c r="B1299" s="0" t="n">
        <v>1462.42</v>
      </c>
      <c r="C1299" s="0" t="n">
        <v>269.16</v>
      </c>
      <c r="D1299" s="3" t="n">
        <f aca="false">B1299*100/B$2</f>
        <v>101.05447911772</v>
      </c>
      <c r="E1299" s="3" t="n">
        <f aca="false">C1299*100/C$2</f>
        <v>114.390140246494</v>
      </c>
      <c r="F1299" s="0" t="n">
        <v>95.8352911910224</v>
      </c>
      <c r="G1299" s="0" t="n">
        <v>98.4435228374855</v>
      </c>
      <c r="H1299" s="0" t="n">
        <v>104.470888227794</v>
      </c>
      <c r="I1299" s="0" t="n">
        <v>6.02736539030879</v>
      </c>
    </row>
    <row r="1300" customFormat="false" ht="13.8" hidden="false" customHeight="false" outlineLevel="0" collapsed="false">
      <c r="A1300" s="2" t="n">
        <v>41277</v>
      </c>
      <c r="B1300" s="0" t="n">
        <v>1459.37</v>
      </c>
      <c r="C1300" s="0" t="n">
        <v>267.52</v>
      </c>
      <c r="D1300" s="3" t="n">
        <f aca="false">B1300*100/B$2</f>
        <v>100.843721495895</v>
      </c>
      <c r="E1300" s="3" t="n">
        <f aca="false">C1300*100/C$2</f>
        <v>113.693157671058</v>
      </c>
      <c r="F1300" s="0" t="n">
        <v>95.8988639818679</v>
      </c>
      <c r="G1300" s="0" t="n">
        <v>98.464758706129</v>
      </c>
      <c r="H1300" s="0" t="n">
        <v>105.278368040799</v>
      </c>
      <c r="I1300" s="0" t="n">
        <v>6.81360933467002</v>
      </c>
    </row>
    <row r="1301" customFormat="false" ht="13.8" hidden="false" customHeight="false" outlineLevel="0" collapsed="false">
      <c r="A1301" s="2" t="n">
        <v>41278</v>
      </c>
      <c r="B1301" s="0" t="n">
        <v>1466.47</v>
      </c>
      <c r="C1301" s="0" t="n">
        <v>266.14</v>
      </c>
      <c r="D1301" s="3" t="n">
        <f aca="false">B1301*100/B$2</f>
        <v>101.33433759916</v>
      </c>
      <c r="E1301" s="3" t="n">
        <f aca="false">C1301*100/C$2</f>
        <v>113.106672333192</v>
      </c>
      <c r="F1301" s="0" t="n">
        <v>96.1213687498272</v>
      </c>
      <c r="G1301" s="0" t="n">
        <v>98.539084246381</v>
      </c>
      <c r="H1301" s="0" t="n">
        <v>104.980875478113</v>
      </c>
      <c r="I1301" s="0" t="n">
        <v>6.44179123173205</v>
      </c>
    </row>
    <row r="1302" customFormat="false" ht="13.8" hidden="false" customHeight="false" outlineLevel="0" collapsed="false">
      <c r="A1302" s="2" t="n">
        <v>41281</v>
      </c>
      <c r="B1302" s="0" t="n">
        <v>1461.89</v>
      </c>
      <c r="C1302" s="0" t="n">
        <v>265.97</v>
      </c>
      <c r="D1302" s="3" t="n">
        <f aca="false">B1302*100/B$2</f>
        <v>101.017855662124</v>
      </c>
      <c r="E1302" s="3" t="n">
        <f aca="false">C1302*100/C$2</f>
        <v>113.034424139397</v>
      </c>
      <c r="F1302" s="0" t="n">
        <v>96.1213687498272</v>
      </c>
      <c r="G1302" s="0" t="n">
        <v>98.539084246381</v>
      </c>
      <c r="H1302" s="0" t="n">
        <v>106.039099022524</v>
      </c>
      <c r="I1302" s="0" t="n">
        <v>7.50001477614343</v>
      </c>
    </row>
    <row r="1303" customFormat="false" ht="13.8" hidden="false" customHeight="false" outlineLevel="0" collapsed="false">
      <c r="A1303" s="2" t="n">
        <v>41282</v>
      </c>
      <c r="B1303" s="0" t="n">
        <v>1457.15</v>
      </c>
      <c r="C1303" s="0" t="n">
        <v>263.95</v>
      </c>
      <c r="D1303" s="3" t="n">
        <f aca="false">B1303*100/B$2</f>
        <v>100.690317587551</v>
      </c>
      <c r="E1303" s="3" t="n">
        <f aca="false">C1303*100/C$2</f>
        <v>112.17594560136</v>
      </c>
      <c r="F1303" s="0" t="n">
        <v>97.3734763260455</v>
      </c>
      <c r="G1303" s="0" t="n">
        <v>98.9573385287931</v>
      </c>
      <c r="H1303" s="0" t="n">
        <v>106.859328516787</v>
      </c>
      <c r="I1303" s="0" t="n">
        <v>7.90198998799401</v>
      </c>
    </row>
    <row r="1304" customFormat="false" ht="13.8" hidden="false" customHeight="false" outlineLevel="0" collapsed="false">
      <c r="A1304" s="2" t="n">
        <v>41283</v>
      </c>
      <c r="B1304" s="0" t="n">
        <v>1461.02</v>
      </c>
      <c r="C1304" s="0" t="n">
        <v>262.9</v>
      </c>
      <c r="D1304" s="3" t="n">
        <f aca="false">B1304*100/B$2</f>
        <v>100.95773791426</v>
      </c>
      <c r="E1304" s="3" t="n">
        <f aca="false">C1304*100/C$2</f>
        <v>111.729706757331</v>
      </c>
      <c r="F1304" s="0" t="n">
        <v>97.1758478675475</v>
      </c>
      <c r="G1304" s="0" t="n">
        <v>98.8913226762711</v>
      </c>
      <c r="H1304" s="0" t="n">
        <v>106.557586060348</v>
      </c>
      <c r="I1304" s="0" t="n">
        <v>7.66626338407741</v>
      </c>
    </row>
    <row r="1305" customFormat="false" ht="13.8" hidden="false" customHeight="false" outlineLevel="0" collapsed="false">
      <c r="A1305" s="2" t="n">
        <v>41284</v>
      </c>
      <c r="B1305" s="0" t="n">
        <v>1472.12</v>
      </c>
      <c r="C1305" s="0" t="n">
        <v>264.95</v>
      </c>
      <c r="D1305" s="3" t="n">
        <f aca="false">B1305*100/B$2</f>
        <v>101.724757455983</v>
      </c>
      <c r="E1305" s="3" t="n">
        <f aca="false">C1305*100/C$2</f>
        <v>112.600934976626</v>
      </c>
      <c r="F1305" s="0" t="n">
        <v>96.6679565493795</v>
      </c>
      <c r="G1305" s="0" t="n">
        <v>98.7216665517827</v>
      </c>
      <c r="H1305" s="0" t="n">
        <v>107.69655758606</v>
      </c>
      <c r="I1305" s="0" t="n">
        <v>8.9748910342776</v>
      </c>
    </row>
    <row r="1306" customFormat="false" ht="13.8" hidden="false" customHeight="false" outlineLevel="0" collapsed="false">
      <c r="A1306" s="2" t="n">
        <v>41285</v>
      </c>
      <c r="B1306" s="0" t="n">
        <v>1472.05</v>
      </c>
      <c r="C1306" s="0" t="n">
        <v>263.32</v>
      </c>
      <c r="D1306" s="3" t="n">
        <f aca="false">B1306*100/B$2</f>
        <v>101.71992039581</v>
      </c>
      <c r="E1306" s="3" t="n">
        <f aca="false">C1306*100/C$2</f>
        <v>111.908202294943</v>
      </c>
      <c r="F1306" s="0" t="n">
        <v>97.427374996545</v>
      </c>
      <c r="G1306" s="0" t="n">
        <v>98.9753428522082</v>
      </c>
      <c r="H1306" s="0" t="n">
        <v>106.978325541861</v>
      </c>
      <c r="I1306" s="0" t="n">
        <v>8.00298268965329</v>
      </c>
    </row>
    <row r="1307" customFormat="false" ht="13.8" hidden="false" customHeight="false" outlineLevel="0" collapsed="false">
      <c r="A1307" s="2" t="n">
        <v>41288</v>
      </c>
      <c r="B1307" s="0" t="n">
        <v>1470.68</v>
      </c>
      <c r="C1307" s="0" t="n">
        <v>264.8</v>
      </c>
      <c r="D1307" s="3" t="n">
        <f aca="false">B1307*100/B$2</f>
        <v>101.625252218138</v>
      </c>
      <c r="E1307" s="3" t="n">
        <f aca="false">C1307*100/C$2</f>
        <v>112.537186570336</v>
      </c>
      <c r="F1307" s="0" t="n">
        <v>97.8433621714254</v>
      </c>
      <c r="G1307" s="0" t="n">
        <v>99.1142992970272</v>
      </c>
      <c r="H1307" s="0" t="n">
        <v>108.257543561411</v>
      </c>
      <c r="I1307" s="0" t="n">
        <v>9.14324426438378</v>
      </c>
    </row>
    <row r="1308" customFormat="false" ht="13.8" hidden="false" customHeight="false" outlineLevel="0" collapsed="false">
      <c r="A1308" s="2" t="n">
        <v>41289</v>
      </c>
      <c r="B1308" s="0" t="n">
        <v>1472.34</v>
      </c>
      <c r="C1308" s="0" t="n">
        <v>261.43</v>
      </c>
      <c r="D1308" s="3" t="n">
        <f aca="false">B1308*100/B$2</f>
        <v>101.739959645098</v>
      </c>
      <c r="E1308" s="3" t="n">
        <f aca="false">C1308*100/C$2</f>
        <v>111.104972375691</v>
      </c>
      <c r="F1308" s="0" t="n">
        <v>97.8592553691368</v>
      </c>
      <c r="G1308" s="0" t="n">
        <v>99.119608264188</v>
      </c>
      <c r="H1308" s="0" t="n">
        <v>108.053548661283</v>
      </c>
      <c r="I1308" s="0" t="n">
        <v>8.93394039709543</v>
      </c>
    </row>
    <row r="1309" customFormat="false" ht="13.8" hidden="false" customHeight="false" outlineLevel="0" collapsed="false">
      <c r="A1309" s="2" t="n">
        <v>41290</v>
      </c>
      <c r="B1309" s="0" t="n">
        <v>1472.63</v>
      </c>
      <c r="C1309" s="0" t="n">
        <v>260.49</v>
      </c>
      <c r="D1309" s="3" t="n">
        <f aca="false">B1309*100/B$2</f>
        <v>101.759998894386</v>
      </c>
      <c r="E1309" s="3" t="n">
        <f aca="false">C1309*100/C$2</f>
        <v>110.705482362941</v>
      </c>
      <c r="F1309" s="0" t="n">
        <v>97.394897592526</v>
      </c>
      <c r="G1309" s="0" t="n">
        <v>98.9644940932273</v>
      </c>
      <c r="H1309" s="0" t="n">
        <v>108.614534636634</v>
      </c>
      <c r="I1309" s="0" t="n">
        <v>9.6500405434068</v>
      </c>
    </row>
    <row r="1310" customFormat="false" ht="13.8" hidden="false" customHeight="false" outlineLevel="0" collapsed="false">
      <c r="A1310" s="2" t="n">
        <v>41291</v>
      </c>
      <c r="B1310" s="0" t="n">
        <v>1480.94</v>
      </c>
      <c r="C1310" s="0" t="n">
        <v>260.1</v>
      </c>
      <c r="D1310" s="3" t="n">
        <f aca="false">B1310*100/B$2</f>
        <v>102.334227037784</v>
      </c>
      <c r="E1310" s="3" t="n">
        <f aca="false">C1310*100/C$2</f>
        <v>110.539736506587</v>
      </c>
      <c r="F1310" s="0" t="n">
        <v>97.2283645208546</v>
      </c>
      <c r="G1310" s="0" t="n">
        <v>98.9088653503678</v>
      </c>
      <c r="H1310" s="0" t="n">
        <v>108.300042498938</v>
      </c>
      <c r="I1310" s="0" t="n">
        <v>9.39117714856968</v>
      </c>
    </row>
    <row r="1311" customFormat="false" ht="13.8" hidden="false" customHeight="false" outlineLevel="0" collapsed="false">
      <c r="A1311" s="2" t="n">
        <v>41292</v>
      </c>
      <c r="B1311" s="0" t="n">
        <v>1485.98</v>
      </c>
      <c r="C1311" s="0" t="n">
        <v>261.71</v>
      </c>
      <c r="D1311" s="3" t="n">
        <f aca="false">B1311*100/B$2</f>
        <v>102.682495370242</v>
      </c>
      <c r="E1311" s="3" t="n">
        <f aca="false">C1311*100/C$2</f>
        <v>111.223969400765</v>
      </c>
      <c r="F1311" s="0" t="n">
        <v>97.3824594377954</v>
      </c>
      <c r="G1311" s="0" t="n">
        <v>98.9603392493622</v>
      </c>
      <c r="H1311" s="0" t="n">
        <v>109.065023374416</v>
      </c>
      <c r="I1311" s="0" t="n">
        <v>10.1046841250534</v>
      </c>
    </row>
    <row r="1312" customFormat="false" ht="13.8" hidden="false" customHeight="false" outlineLevel="0" collapsed="false">
      <c r="A1312" s="2" t="n">
        <v>41295</v>
      </c>
      <c r="B1312" s="0" t="n">
        <v>1485.98</v>
      </c>
      <c r="C1312" s="0" t="n">
        <v>261.3</v>
      </c>
      <c r="D1312" s="3" t="n">
        <f aca="false">B1312*100/B$2</f>
        <v>102.682495370242</v>
      </c>
      <c r="E1312" s="3" t="n">
        <f aca="false">C1312*100/C$2</f>
        <v>111.049723756906</v>
      </c>
      <c r="F1312" s="0" t="n">
        <v>97.7044694435999</v>
      </c>
      <c r="G1312" s="0" t="n">
        <v>99.0679035405345</v>
      </c>
      <c r="H1312" s="0" t="n">
        <v>109.337016574586</v>
      </c>
      <c r="I1312" s="0" t="n">
        <v>10.2691130340512</v>
      </c>
    </row>
    <row r="1313" customFormat="false" ht="13.8" hidden="false" customHeight="false" outlineLevel="0" collapsed="false">
      <c r="A1313" s="2" t="n">
        <v>41296</v>
      </c>
      <c r="B1313" s="0" t="n">
        <v>1492.56</v>
      </c>
      <c r="C1313" s="0" t="n">
        <v>262.91</v>
      </c>
      <c r="D1313" s="3" t="n">
        <f aca="false">B1313*100/B$2</f>
        <v>103.137179026507</v>
      </c>
      <c r="E1313" s="3" t="n">
        <f aca="false">C1313*100/C$2</f>
        <v>111.733956651084</v>
      </c>
      <c r="F1313" s="0" t="n">
        <v>97.9898559938086</v>
      </c>
      <c r="G1313" s="0" t="n">
        <v>99.1632341247708</v>
      </c>
      <c r="H1313" s="0" t="n">
        <v>109.978750531237</v>
      </c>
      <c r="I1313" s="0" t="n">
        <v>10.8155164064659</v>
      </c>
    </row>
    <row r="1314" customFormat="false" ht="13.8" hidden="false" customHeight="false" outlineLevel="0" collapsed="false">
      <c r="A1314" s="2" t="n">
        <v>41297</v>
      </c>
      <c r="B1314" s="0" t="n">
        <v>1494.81</v>
      </c>
      <c r="C1314" s="0" t="n">
        <v>261.1</v>
      </c>
      <c r="D1314" s="3" t="n">
        <f aca="false">B1314*100/B$2</f>
        <v>103.29265596064</v>
      </c>
      <c r="E1314" s="3" t="n">
        <f aca="false">C1314*100/C$2</f>
        <v>110.964725881853</v>
      </c>
      <c r="F1314" s="0" t="n">
        <v>98.0230244064236</v>
      </c>
      <c r="G1314" s="0" t="n">
        <v>99.1743137084108</v>
      </c>
      <c r="H1314" s="0" t="n">
        <v>110.084997875053</v>
      </c>
      <c r="I1314" s="0" t="n">
        <v>10.9106841666423</v>
      </c>
    </row>
    <row r="1315" customFormat="false" ht="13.8" hidden="false" customHeight="false" outlineLevel="0" collapsed="false">
      <c r="A1315" s="2" t="n">
        <v>41298</v>
      </c>
      <c r="B1315" s="0" t="n">
        <v>1494.82</v>
      </c>
      <c r="C1315" s="0" t="n">
        <v>258.74</v>
      </c>
      <c r="D1315" s="3" t="n">
        <f aca="false">B1315*100/B$2</f>
        <v>103.293346969236</v>
      </c>
      <c r="E1315" s="3" t="n">
        <f aca="false">C1315*100/C$2</f>
        <v>109.961750956226</v>
      </c>
      <c r="F1315" s="0" t="n">
        <v>98.6649713922441</v>
      </c>
      <c r="G1315" s="0" t="n">
        <v>99.3887498167777</v>
      </c>
      <c r="H1315" s="0" t="n">
        <v>110.548236294093</v>
      </c>
      <c r="I1315" s="0" t="n">
        <v>11.1594864773149</v>
      </c>
    </row>
    <row r="1316" customFormat="false" ht="13.8" hidden="false" customHeight="false" outlineLevel="0" collapsed="false">
      <c r="A1316" s="2" t="n">
        <v>41299</v>
      </c>
      <c r="B1316" s="0" t="n">
        <v>1502.96</v>
      </c>
      <c r="C1316" s="0" t="n">
        <v>256.06</v>
      </c>
      <c r="D1316" s="3" t="n">
        <f aca="false">B1316*100/B$2</f>
        <v>103.8558279665</v>
      </c>
      <c r="E1316" s="3" t="n">
        <f aca="false">C1316*100/C$2</f>
        <v>108.822779430514</v>
      </c>
      <c r="F1316" s="0" t="n">
        <v>98.7091959423975</v>
      </c>
      <c r="G1316" s="0" t="n">
        <v>99.4035225949644</v>
      </c>
      <c r="H1316" s="0" t="n">
        <v>111.206969825754</v>
      </c>
      <c r="I1316" s="0" t="n">
        <v>11.8034472307899</v>
      </c>
    </row>
    <row r="1317" customFormat="false" ht="13.8" hidden="false" customHeight="false" outlineLevel="0" collapsed="false">
      <c r="A1317" s="2" t="n">
        <v>41302</v>
      </c>
      <c r="B1317" s="0" t="n">
        <v>1500.18</v>
      </c>
      <c r="C1317" s="0" t="n">
        <v>254.66</v>
      </c>
      <c r="D1317" s="3" t="n">
        <f aca="false">B1317*100/B$2</f>
        <v>103.663727576771</v>
      </c>
      <c r="E1317" s="3" t="n">
        <f aca="false">C1317*100/C$2</f>
        <v>108.227794305142</v>
      </c>
      <c r="F1317" s="0" t="n">
        <v>98.0852151800768</v>
      </c>
      <c r="G1317" s="0" t="n">
        <v>99.1950879277359</v>
      </c>
      <c r="H1317" s="0" t="n">
        <v>112.957926051849</v>
      </c>
      <c r="I1317" s="0" t="n">
        <v>13.7628381241128</v>
      </c>
    </row>
    <row r="1318" customFormat="false" ht="13.8" hidden="false" customHeight="false" outlineLevel="0" collapsed="false">
      <c r="A1318" s="2" t="n">
        <v>41303</v>
      </c>
      <c r="B1318" s="0" t="n">
        <v>1507.84</v>
      </c>
      <c r="C1318" s="0" t="n">
        <v>257.22</v>
      </c>
      <c r="D1318" s="3" t="n">
        <f aca="false">B1318*100/B$2</f>
        <v>104.19304016142</v>
      </c>
      <c r="E1318" s="3" t="n">
        <f aca="false">C1318*100/C$2</f>
        <v>109.315767105822</v>
      </c>
      <c r="F1318" s="0" t="n">
        <v>97.6795931341386</v>
      </c>
      <c r="G1318" s="0" t="n">
        <v>99.0595938528044</v>
      </c>
      <c r="H1318" s="0" t="n">
        <v>112.435189120272</v>
      </c>
      <c r="I1318" s="0" t="n">
        <v>13.3755952674676</v>
      </c>
    </row>
    <row r="1319" customFormat="false" ht="13.8" hidden="false" customHeight="false" outlineLevel="0" collapsed="false">
      <c r="A1319" s="2" t="n">
        <v>41304</v>
      </c>
      <c r="B1319" s="0" t="n">
        <v>1501.96</v>
      </c>
      <c r="C1319" s="0" t="n">
        <v>258.47</v>
      </c>
      <c r="D1319" s="3" t="n">
        <f aca="false">B1319*100/B$2</f>
        <v>103.786727106885</v>
      </c>
      <c r="E1319" s="3" t="n">
        <f aca="false">C1319*100/C$2</f>
        <v>109.847003824904</v>
      </c>
      <c r="F1319" s="0" t="n">
        <v>98.8391055584731</v>
      </c>
      <c r="G1319" s="0" t="n">
        <v>99.446917630888</v>
      </c>
      <c r="H1319" s="0" t="n">
        <v>111.670208244794</v>
      </c>
      <c r="I1319" s="0" t="n">
        <v>12.2232906139059</v>
      </c>
    </row>
    <row r="1320" customFormat="false" ht="13.8" hidden="false" customHeight="false" outlineLevel="0" collapsed="false">
      <c r="A1320" s="2" t="n">
        <v>41305</v>
      </c>
      <c r="B1320" s="0" t="n">
        <v>1498.11</v>
      </c>
      <c r="C1320" s="0" t="n">
        <v>258.07</v>
      </c>
      <c r="D1320" s="3" t="n">
        <f aca="false">B1320*100/B$2</f>
        <v>103.520688797369</v>
      </c>
      <c r="E1320" s="3" t="n">
        <f aca="false">C1320*100/C$2</f>
        <v>109.677008074798</v>
      </c>
      <c r="F1320" s="0" t="n">
        <v>99.9744326819426</v>
      </c>
      <c r="G1320" s="0" t="n">
        <v>99.8261625459007</v>
      </c>
      <c r="H1320" s="0" t="n">
        <v>112.294942626434</v>
      </c>
      <c r="I1320" s="0" t="n">
        <v>12.4687800805336</v>
      </c>
    </row>
    <row r="1321" customFormat="false" ht="13.8" hidden="false" customHeight="false" outlineLevel="0" collapsed="false">
      <c r="A1321" s="2" t="n">
        <v>41306</v>
      </c>
      <c r="B1321" s="0" t="n">
        <v>1513.17</v>
      </c>
      <c r="C1321" s="0" t="n">
        <v>257.64</v>
      </c>
      <c r="D1321" s="3" t="n">
        <f aca="false">B1321*100/B$2</f>
        <v>104.561347743166</v>
      </c>
      <c r="E1321" s="3" t="n">
        <f aca="false">C1321*100/C$2</f>
        <v>109.494262643434</v>
      </c>
      <c r="F1321" s="0" t="n">
        <v>99.2157052433732</v>
      </c>
      <c r="G1321" s="0" t="n">
        <v>99.5727170701345</v>
      </c>
      <c r="H1321" s="0" t="n">
        <v>112.294942626434</v>
      </c>
      <c r="I1321" s="0" t="n">
        <v>12.7222255562999</v>
      </c>
    </row>
    <row r="1322" customFormat="false" ht="13.8" hidden="false" customHeight="false" outlineLevel="0" collapsed="false">
      <c r="A1322" s="2" t="n">
        <v>41309</v>
      </c>
      <c r="B1322" s="0" t="n">
        <v>1495.71</v>
      </c>
      <c r="C1322" s="0" t="n">
        <v>256.89</v>
      </c>
      <c r="D1322" s="3" t="n">
        <f aca="false">B1322*100/B$2</f>
        <v>103.354846734293</v>
      </c>
      <c r="E1322" s="3" t="n">
        <f aca="false">C1322*100/C$2</f>
        <v>109.175520611985</v>
      </c>
      <c r="F1322" s="0" t="n">
        <v>99.760220017137</v>
      </c>
      <c r="G1322" s="0" t="n">
        <v>99.7546069015587</v>
      </c>
      <c r="H1322" s="0" t="n">
        <v>112.52868678283</v>
      </c>
      <c r="I1322" s="0" t="n">
        <v>12.7740798812717</v>
      </c>
    </row>
    <row r="1323" customFormat="false" ht="13.8" hidden="false" customHeight="false" outlineLevel="0" collapsed="false">
      <c r="A1323" s="2" t="n">
        <v>41310</v>
      </c>
      <c r="B1323" s="0" t="n">
        <v>1511.29</v>
      </c>
      <c r="C1323" s="0" t="n">
        <v>254.82</v>
      </c>
      <c r="D1323" s="3" t="n">
        <f aca="false">B1323*100/B$2</f>
        <v>104.43143812709</v>
      </c>
      <c r="E1323" s="3" t="n">
        <f aca="false">C1323*100/C$2</f>
        <v>108.295792605185</v>
      </c>
      <c r="F1323" s="0" t="n">
        <v>98.8245943779541</v>
      </c>
      <c r="G1323" s="0" t="n">
        <v>99.4420703130455</v>
      </c>
      <c r="H1323" s="0" t="n">
        <v>111.300467488313</v>
      </c>
      <c r="I1323" s="0" t="n">
        <v>11.8583971752673</v>
      </c>
    </row>
    <row r="1324" customFormat="false" ht="13.8" hidden="false" customHeight="false" outlineLevel="0" collapsed="false">
      <c r="A1324" s="2" t="n">
        <v>41311</v>
      </c>
      <c r="B1324" s="0" t="n">
        <v>1512.12</v>
      </c>
      <c r="C1324" s="0" t="n">
        <v>254.31</v>
      </c>
      <c r="D1324" s="3" t="n">
        <f aca="false">B1324*100/B$2</f>
        <v>104.488791840571</v>
      </c>
      <c r="E1324" s="3" t="n">
        <f aca="false">C1324*100/C$2</f>
        <v>108.079048023799</v>
      </c>
      <c r="F1324" s="0" t="n">
        <v>98.5834323778988</v>
      </c>
      <c r="G1324" s="0" t="n">
        <v>99.3615125069959</v>
      </c>
      <c r="H1324" s="0" t="n">
        <v>111.393965150871</v>
      </c>
      <c r="I1324" s="0" t="n">
        <v>12.0324526438753</v>
      </c>
    </row>
    <row r="1325" customFormat="false" ht="13.8" hidden="false" customHeight="false" outlineLevel="0" collapsed="false">
      <c r="A1325" s="2" t="n">
        <v>41312</v>
      </c>
      <c r="B1325" s="0" t="n">
        <v>1509.39</v>
      </c>
      <c r="C1325" s="0" t="n">
        <v>254</v>
      </c>
      <c r="D1325" s="3" t="n">
        <f aca="false">B1325*100/B$2</f>
        <v>104.300146493822</v>
      </c>
      <c r="E1325" s="3" t="n">
        <f aca="false">C1325*100/C$2</f>
        <v>107.947301317467</v>
      </c>
      <c r="F1325" s="0" t="n">
        <v>98.1114735067304</v>
      </c>
      <c r="G1325" s="0" t="n">
        <v>99.2038592647843</v>
      </c>
      <c r="H1325" s="0" t="n">
        <v>111.334466638334</v>
      </c>
      <c r="I1325" s="0" t="n">
        <v>12.1306073735498</v>
      </c>
    </row>
    <row r="1326" customFormat="false" ht="13.8" hidden="false" customHeight="false" outlineLevel="0" collapsed="false">
      <c r="A1326" s="2" t="n">
        <v>41313</v>
      </c>
      <c r="B1326" s="0" t="n">
        <v>1517.93</v>
      </c>
      <c r="C1326" s="0" t="n">
        <v>257.09</v>
      </c>
      <c r="D1326" s="3" t="n">
        <f aca="false">B1326*100/B$2</f>
        <v>104.890267834932</v>
      </c>
      <c r="E1326" s="3" t="n">
        <f aca="false">C1326*100/C$2</f>
        <v>109.260518487038</v>
      </c>
      <c r="F1326" s="0" t="n">
        <v>97.991929019597</v>
      </c>
      <c r="G1326" s="0" t="n">
        <v>99.1639265987483</v>
      </c>
      <c r="H1326" s="0" t="n">
        <v>111.636209094773</v>
      </c>
      <c r="I1326" s="0" t="n">
        <v>12.4722824960244</v>
      </c>
    </row>
    <row r="1327" customFormat="false" ht="13.8" hidden="false" customHeight="false" outlineLevel="0" collapsed="false">
      <c r="A1327" s="2" t="n">
        <v>41316</v>
      </c>
      <c r="B1327" s="0" t="n">
        <v>1517.01</v>
      </c>
      <c r="C1327" s="0" t="n">
        <v>257.09</v>
      </c>
      <c r="D1327" s="3" t="n">
        <f aca="false">B1327*100/B$2</f>
        <v>104.826695044086</v>
      </c>
      <c r="E1327" s="3" t="n">
        <f aca="false">C1327*100/C$2</f>
        <v>109.260518487038</v>
      </c>
      <c r="F1327" s="0" t="n">
        <v>96.9091185494348</v>
      </c>
      <c r="G1327" s="0" t="n">
        <v>98.8022243578323</v>
      </c>
      <c r="H1327" s="0" t="n">
        <v>112.163195920102</v>
      </c>
      <c r="I1327" s="0" t="n">
        <v>13.3609715622697</v>
      </c>
    </row>
    <row r="1328" customFormat="false" ht="13.8" hidden="false" customHeight="false" outlineLevel="0" collapsed="false">
      <c r="A1328" s="2" t="n">
        <v>41317</v>
      </c>
      <c r="B1328" s="0" t="n">
        <v>1519.43</v>
      </c>
      <c r="C1328" s="0" t="n">
        <v>256.65</v>
      </c>
      <c r="D1328" s="3" t="n">
        <f aca="false">B1328*100/B$2</f>
        <v>104.993919124354</v>
      </c>
      <c r="E1328" s="3" t="n">
        <f aca="false">C1328*100/C$2</f>
        <v>109.073523161921</v>
      </c>
      <c r="F1328" s="0" t="n">
        <v>98.5509549738799</v>
      </c>
      <c r="G1328" s="0" t="n">
        <v>99.350663748015</v>
      </c>
      <c r="H1328" s="0" t="n">
        <v>112.163195920102</v>
      </c>
      <c r="I1328" s="0" t="n">
        <v>12.812532172087</v>
      </c>
    </row>
    <row r="1329" customFormat="false" ht="13.8" hidden="false" customHeight="false" outlineLevel="0" collapsed="false">
      <c r="A1329" s="2" t="n">
        <v>41318</v>
      </c>
      <c r="B1329" s="0" t="n">
        <v>1520.33</v>
      </c>
      <c r="C1329" s="0" t="n">
        <v>260.92</v>
      </c>
      <c r="D1329" s="3" t="n">
        <f aca="false">B1329*100/B$2</f>
        <v>105.056109898007</v>
      </c>
      <c r="E1329" s="3" t="n">
        <f aca="false">C1329*100/C$2</f>
        <v>110.888227794305</v>
      </c>
      <c r="F1329" s="0" t="n">
        <v>101.05447911772</v>
      </c>
      <c r="G1329" s="0" t="n">
        <v>100.18694148818</v>
      </c>
      <c r="H1329" s="0" t="n">
        <v>114.390140246494</v>
      </c>
      <c r="I1329" s="0" t="n">
        <v>14.2031987583138</v>
      </c>
    </row>
    <row r="1330" customFormat="false" ht="13.8" hidden="false" customHeight="false" outlineLevel="0" collapsed="false">
      <c r="A1330" s="2" t="n">
        <v>41319</v>
      </c>
      <c r="B1330" s="0" t="n">
        <v>1521.38</v>
      </c>
      <c r="C1330" s="0" t="n">
        <v>261.44</v>
      </c>
      <c r="D1330" s="3" t="n">
        <f aca="false">B1330*100/B$2</f>
        <v>105.128665800603</v>
      </c>
      <c r="E1330" s="3" t="n">
        <f aca="false">C1330*100/C$2</f>
        <v>111.109222269443</v>
      </c>
      <c r="F1330" s="0" t="n">
        <v>100.843721495895</v>
      </c>
      <c r="G1330" s="0" t="n">
        <v>100.116539967134</v>
      </c>
      <c r="H1330" s="0" t="n">
        <v>113.693157671058</v>
      </c>
      <c r="I1330" s="0" t="n">
        <v>13.5766177039244</v>
      </c>
    </row>
    <row r="1331" customFormat="false" ht="13.8" hidden="false" customHeight="false" outlineLevel="0" collapsed="false">
      <c r="A1331" s="2" t="n">
        <v>41320</v>
      </c>
      <c r="B1331" s="0" t="n">
        <v>1519.79</v>
      </c>
      <c r="C1331" s="0" t="n">
        <v>261.61</v>
      </c>
      <c r="D1331" s="3" t="n">
        <f aca="false">B1331*100/B$2</f>
        <v>105.018795433815</v>
      </c>
      <c r="E1331" s="3" t="n">
        <f aca="false">C1331*100/C$2</f>
        <v>111.181470463238</v>
      </c>
      <c r="F1331" s="0" t="n">
        <v>101.33433759916</v>
      </c>
      <c r="G1331" s="0" t="n">
        <v>100.280425475143</v>
      </c>
      <c r="H1331" s="0" t="n">
        <v>113.106672333192</v>
      </c>
      <c r="I1331" s="0" t="n">
        <v>12.8262468580487</v>
      </c>
    </row>
    <row r="1332" customFormat="false" ht="13.8" hidden="false" customHeight="false" outlineLevel="0" collapsed="false">
      <c r="A1332" s="2" t="n">
        <v>41323</v>
      </c>
      <c r="B1332" s="0" t="n">
        <v>1519.79</v>
      </c>
      <c r="C1332" s="0" t="n">
        <v>261.63</v>
      </c>
      <c r="D1332" s="3" t="n">
        <f aca="false">B1332*100/B$2</f>
        <v>105.018795433815</v>
      </c>
      <c r="E1332" s="3" t="n">
        <f aca="false">C1332*100/C$2</f>
        <v>111.189970250744</v>
      </c>
      <c r="F1332" s="0" t="n">
        <v>101.017855662124</v>
      </c>
      <c r="G1332" s="0" t="n">
        <v>100.174707781244</v>
      </c>
      <c r="H1332" s="0" t="n">
        <v>113.034424139397</v>
      </c>
      <c r="I1332" s="0" t="n">
        <v>12.8597163581524</v>
      </c>
    </row>
    <row r="1333" customFormat="false" ht="13.8" hidden="false" customHeight="false" outlineLevel="0" collapsed="false">
      <c r="A1333" s="2" t="n">
        <v>41324</v>
      </c>
      <c r="B1333" s="0" t="n">
        <v>1530.94</v>
      </c>
      <c r="C1333" s="0" t="n">
        <v>262.16</v>
      </c>
      <c r="D1333" s="3" t="n">
        <f aca="false">B1333*100/B$2</f>
        <v>105.789270018519</v>
      </c>
      <c r="E1333" s="3" t="n">
        <f aca="false">C1333*100/C$2</f>
        <v>111.415214619635</v>
      </c>
      <c r="F1333" s="0" t="n">
        <v>100.690317587551</v>
      </c>
      <c r="G1333" s="0" t="n">
        <v>100.065296892799</v>
      </c>
      <c r="H1333" s="0" t="n">
        <v>112.17594560136</v>
      </c>
      <c r="I1333" s="0" t="n">
        <v>12.1106487085614</v>
      </c>
    </row>
    <row r="1334" customFormat="false" ht="13.8" hidden="false" customHeight="false" outlineLevel="0" collapsed="false">
      <c r="A1334" s="2" t="n">
        <v>41325</v>
      </c>
      <c r="B1334" s="0" t="n">
        <v>1511.95</v>
      </c>
      <c r="C1334" s="0" t="n">
        <v>268.07</v>
      </c>
      <c r="D1334" s="3" t="n">
        <f aca="false">B1334*100/B$2</f>
        <v>104.477044694436</v>
      </c>
      <c r="E1334" s="3" t="n">
        <f aca="false">C1334*100/C$2</f>
        <v>113.926901827454</v>
      </c>
      <c r="F1334" s="0" t="n">
        <v>100.95773791426</v>
      </c>
      <c r="G1334" s="0" t="n">
        <v>100.154626035897</v>
      </c>
      <c r="H1334" s="0" t="n">
        <v>111.729706757331</v>
      </c>
      <c r="I1334" s="0" t="n">
        <v>11.5750807214345</v>
      </c>
    </row>
    <row r="1335" customFormat="false" ht="13.8" hidden="false" customHeight="false" outlineLevel="0" collapsed="false">
      <c r="A1335" s="2" t="n">
        <v>41326</v>
      </c>
      <c r="B1335" s="0" t="n">
        <v>1502.42</v>
      </c>
      <c r="C1335" s="0" t="n">
        <v>266.85</v>
      </c>
      <c r="D1335" s="3" t="n">
        <f aca="false">B1335*100/B$2</f>
        <v>103.818513502308</v>
      </c>
      <c r="E1335" s="3" t="n">
        <f aca="false">C1335*100/C$2</f>
        <v>113.40841478963</v>
      </c>
      <c r="F1335" s="0" t="n">
        <v>101.724757455983</v>
      </c>
      <c r="G1335" s="0" t="n">
        <v>100.410841407573</v>
      </c>
      <c r="H1335" s="0" t="n">
        <v>112.600934976626</v>
      </c>
      <c r="I1335" s="0" t="n">
        <v>12.1900935690528</v>
      </c>
    </row>
    <row r="1336" customFormat="false" ht="13.8" hidden="false" customHeight="false" outlineLevel="0" collapsed="false">
      <c r="A1336" s="2" t="n">
        <v>41327</v>
      </c>
      <c r="B1336" s="0" t="n">
        <v>1515.6</v>
      </c>
      <c r="C1336" s="0" t="n">
        <v>267.15</v>
      </c>
      <c r="D1336" s="3" t="n">
        <f aca="false">B1336*100/B$2</f>
        <v>104.72926283203</v>
      </c>
      <c r="E1336" s="3" t="n">
        <f aca="false">C1336*100/C$2</f>
        <v>113.53591160221</v>
      </c>
      <c r="F1336" s="0" t="n">
        <v>101.71992039581</v>
      </c>
      <c r="G1336" s="0" t="n">
        <v>100.409225634959</v>
      </c>
      <c r="H1336" s="0" t="n">
        <v>111.908202294943</v>
      </c>
      <c r="I1336" s="0" t="n">
        <v>11.498976659984</v>
      </c>
    </row>
    <row r="1337" customFormat="false" ht="13.8" hidden="false" customHeight="false" outlineLevel="0" collapsed="false">
      <c r="A1337" s="2" t="n">
        <v>41330</v>
      </c>
      <c r="B1337" s="0" t="n">
        <v>1487.85</v>
      </c>
      <c r="C1337" s="0" t="n">
        <v>266.01</v>
      </c>
      <c r="D1337" s="3" t="n">
        <f aca="false">B1337*100/B$2</f>
        <v>102.811713977722</v>
      </c>
      <c r="E1337" s="3" t="n">
        <f aca="false">C1337*100/C$2</f>
        <v>113.051423714407</v>
      </c>
      <c r="F1337" s="0" t="n">
        <v>101.625252218138</v>
      </c>
      <c r="G1337" s="0" t="n">
        <v>100.377602656653</v>
      </c>
      <c r="H1337" s="0" t="n">
        <v>112.537186570336</v>
      </c>
      <c r="I1337" s="0" t="n">
        <v>12.1595839136831</v>
      </c>
    </row>
    <row r="1338" customFormat="false" ht="13.8" hidden="false" customHeight="false" outlineLevel="0" collapsed="false">
      <c r="A1338" s="2" t="n">
        <v>41331</v>
      </c>
      <c r="B1338" s="0" t="n">
        <v>1496.94</v>
      </c>
      <c r="C1338" s="0" t="n">
        <v>264.68</v>
      </c>
      <c r="D1338" s="3" t="n">
        <f aca="false">B1338*100/B$2</f>
        <v>103.439840791619</v>
      </c>
      <c r="E1338" s="3" t="n">
        <f aca="false">C1338*100/C$2</f>
        <v>112.486187845304</v>
      </c>
      <c r="F1338" s="0" t="n">
        <v>101.739959645098</v>
      </c>
      <c r="G1338" s="0" t="n">
        <v>100.415919550074</v>
      </c>
      <c r="H1338" s="0" t="n">
        <v>111.104972375691</v>
      </c>
      <c r="I1338" s="0" t="n">
        <v>10.6890528256161</v>
      </c>
    </row>
    <row r="1339" customFormat="false" ht="13.8" hidden="false" customHeight="false" outlineLevel="0" collapsed="false">
      <c r="A1339" s="2" t="n">
        <v>41332</v>
      </c>
      <c r="B1339" s="0" t="n">
        <v>1515.99</v>
      </c>
      <c r="C1339" s="0" t="n">
        <v>265.04</v>
      </c>
      <c r="D1339" s="3" t="n">
        <f aca="false">B1339*100/B$2</f>
        <v>104.756212167279</v>
      </c>
      <c r="E1339" s="3" t="n">
        <f aca="false">C1339*100/C$2</f>
        <v>112.6391840204</v>
      </c>
      <c r="F1339" s="0" t="n">
        <v>101.759998894386</v>
      </c>
      <c r="G1339" s="0" t="n">
        <v>100.42261346519</v>
      </c>
      <c r="H1339" s="0" t="n">
        <v>110.705482362941</v>
      </c>
      <c r="I1339" s="0" t="n">
        <v>10.2828688977506</v>
      </c>
    </row>
    <row r="1340" customFormat="false" ht="13.8" hidden="false" customHeight="false" outlineLevel="0" collapsed="false">
      <c r="A1340" s="2" t="n">
        <v>41333</v>
      </c>
      <c r="B1340" s="0" t="n">
        <v>1514.68</v>
      </c>
      <c r="C1340" s="0" t="n">
        <v>268.01</v>
      </c>
      <c r="D1340" s="3" t="n">
        <f aca="false">B1340*100/B$2</f>
        <v>104.665690041184</v>
      </c>
      <c r="E1340" s="3" t="n">
        <f aca="false">C1340*100/C$2</f>
        <v>113.901402464938</v>
      </c>
      <c r="F1340" s="0" t="n">
        <v>102.334227037784</v>
      </c>
      <c r="G1340" s="0" t="n">
        <v>100.614428756959</v>
      </c>
      <c r="H1340" s="0" t="n">
        <v>110.539736506587</v>
      </c>
      <c r="I1340" s="0" t="n">
        <v>9.92530774962854</v>
      </c>
    </row>
    <row r="1341" customFormat="false" ht="13.8" hidden="false" customHeight="false" outlineLevel="0" collapsed="false">
      <c r="A1341" s="2" t="n">
        <v>41334</v>
      </c>
      <c r="B1341" s="0" t="n">
        <v>1518.2</v>
      </c>
      <c r="C1341" s="0" t="n">
        <v>268.01</v>
      </c>
      <c r="D1341" s="3" t="n">
        <f aca="false">B1341*100/B$2</f>
        <v>104.908925067028</v>
      </c>
      <c r="E1341" s="3" t="n">
        <f aca="false">C1341*100/C$2</f>
        <v>113.901402464938</v>
      </c>
      <c r="F1341" s="0" t="n">
        <v>102.682495370242</v>
      </c>
      <c r="G1341" s="0" t="n">
        <v>100.730764385179</v>
      </c>
      <c r="H1341" s="0" t="n">
        <v>111.223969400765</v>
      </c>
      <c r="I1341" s="0" t="n">
        <v>10.4932050155856</v>
      </c>
    </row>
    <row r="1342" customFormat="false" ht="13.8" hidden="false" customHeight="false" outlineLevel="0" collapsed="false">
      <c r="A1342" s="2" t="n">
        <v>41337</v>
      </c>
      <c r="B1342" s="0" t="n">
        <v>1525.2</v>
      </c>
      <c r="C1342" s="0" t="n">
        <v>266.14</v>
      </c>
      <c r="D1342" s="3" t="n">
        <f aca="false">B1342*100/B$2</f>
        <v>105.392631084331</v>
      </c>
      <c r="E1342" s="3" t="n">
        <f aca="false">C1342*100/C$2</f>
        <v>113.106672333192</v>
      </c>
      <c r="F1342" s="0" t="n">
        <v>102.682495370242</v>
      </c>
      <c r="G1342" s="0" t="n">
        <v>100.730764385179</v>
      </c>
      <c r="H1342" s="0" t="n">
        <v>111.049723756906</v>
      </c>
      <c r="I1342" s="0" t="n">
        <v>10.3189593717267</v>
      </c>
    </row>
    <row r="1343" customFormat="false" ht="13.8" hidden="false" customHeight="false" outlineLevel="0" collapsed="false">
      <c r="A1343" s="2" t="n">
        <v>41338</v>
      </c>
      <c r="B1343" s="0" t="n">
        <v>1539.79</v>
      </c>
      <c r="C1343" s="0" t="n">
        <v>266.54</v>
      </c>
      <c r="D1343" s="3" t="n">
        <f aca="false">B1343*100/B$2</f>
        <v>106.400812626109</v>
      </c>
      <c r="E1343" s="3" t="n">
        <f aca="false">C1343*100/C$2</f>
        <v>113.276668083298</v>
      </c>
      <c r="F1343" s="0" t="n">
        <v>103.137179026507</v>
      </c>
      <c r="G1343" s="0" t="n">
        <v>100.882647010912</v>
      </c>
      <c r="H1343" s="0" t="n">
        <v>111.733956651084</v>
      </c>
      <c r="I1343" s="0" t="n">
        <v>10.8513096401719</v>
      </c>
    </row>
    <row r="1344" customFormat="false" ht="13.8" hidden="false" customHeight="false" outlineLevel="0" collapsed="false">
      <c r="A1344" s="2" t="n">
        <v>41339</v>
      </c>
      <c r="B1344" s="0" t="n">
        <v>1541.46</v>
      </c>
      <c r="C1344" s="0" t="n">
        <v>267.25</v>
      </c>
      <c r="D1344" s="3" t="n">
        <f aca="false">B1344*100/B$2</f>
        <v>106.516211061666</v>
      </c>
      <c r="E1344" s="3" t="n">
        <f aca="false">C1344*100/C$2</f>
        <v>113.578410539737</v>
      </c>
      <c r="F1344" s="0" t="n">
        <v>103.29265596064</v>
      </c>
      <c r="G1344" s="0" t="n">
        <v>100.934582559225</v>
      </c>
      <c r="H1344" s="0" t="n">
        <v>110.964725881853</v>
      </c>
      <c r="I1344" s="0" t="n">
        <v>10.0301433226284</v>
      </c>
    </row>
    <row r="1345" customFormat="false" ht="13.8" hidden="false" customHeight="false" outlineLevel="0" collapsed="false">
      <c r="A1345" s="2" t="n">
        <v>41340</v>
      </c>
      <c r="B1345" s="0" t="n">
        <v>1544.26</v>
      </c>
      <c r="C1345" s="0" t="n">
        <v>264.78</v>
      </c>
      <c r="D1345" s="3" t="n">
        <f aca="false">B1345*100/B$2</f>
        <v>106.709693468587</v>
      </c>
      <c r="E1345" s="3" t="n">
        <f aca="false">C1345*100/C$2</f>
        <v>112.52868678283</v>
      </c>
      <c r="F1345" s="0" t="n">
        <v>103.293346969236</v>
      </c>
      <c r="G1345" s="0" t="n">
        <v>100.934813383884</v>
      </c>
      <c r="H1345" s="0" t="n">
        <v>109.961750956226</v>
      </c>
      <c r="I1345" s="0" t="n">
        <v>9.02693757234236</v>
      </c>
    </row>
    <row r="1346" customFormat="false" ht="13.8" hidden="false" customHeight="false" outlineLevel="0" collapsed="false">
      <c r="A1346" s="2" t="n">
        <v>41341</v>
      </c>
      <c r="B1346" s="0" t="n">
        <v>1551.18</v>
      </c>
      <c r="C1346" s="0" t="n">
        <v>264.57</v>
      </c>
      <c r="D1346" s="3" t="n">
        <f aca="false">B1346*100/B$2</f>
        <v>107.18787141712</v>
      </c>
      <c r="E1346" s="3" t="n">
        <f aca="false">C1346*100/C$2</f>
        <v>112.439439014025</v>
      </c>
      <c r="F1346" s="0" t="n">
        <v>103.8558279665</v>
      </c>
      <c r="G1346" s="0" t="n">
        <v>101.122704656446</v>
      </c>
      <c r="H1346" s="0" t="n">
        <v>108.822779430514</v>
      </c>
      <c r="I1346" s="0" t="n">
        <v>7.70007477406791</v>
      </c>
    </row>
    <row r="1347" customFormat="false" ht="13.8" hidden="false" customHeight="false" outlineLevel="0" collapsed="false">
      <c r="A1347" s="2" t="n">
        <v>41344</v>
      </c>
      <c r="B1347" s="0" t="n">
        <v>1556.22</v>
      </c>
      <c r="C1347" s="0" t="n">
        <v>264.15</v>
      </c>
      <c r="D1347" s="3" t="n">
        <f aca="false">B1347*100/B$2</f>
        <v>107.536139749578</v>
      </c>
      <c r="E1347" s="3" t="n">
        <f aca="false">C1347*100/C$2</f>
        <v>112.260943476413</v>
      </c>
      <c r="F1347" s="0" t="n">
        <v>103.663727576771</v>
      </c>
      <c r="G1347" s="0" t="n">
        <v>101.058535401198</v>
      </c>
      <c r="H1347" s="0" t="n">
        <v>108.227794305142</v>
      </c>
      <c r="I1347" s="0" t="n">
        <v>7.16925890394469</v>
      </c>
    </row>
    <row r="1348" customFormat="false" ht="13.8" hidden="false" customHeight="false" outlineLevel="0" collapsed="false">
      <c r="A1348" s="2" t="n">
        <v>41345</v>
      </c>
      <c r="B1348" s="0" t="n">
        <v>1552.48</v>
      </c>
      <c r="C1348" s="0" t="n">
        <v>262.43</v>
      </c>
      <c r="D1348" s="3" t="n">
        <f aca="false">B1348*100/B$2</f>
        <v>107.27770253462</v>
      </c>
      <c r="E1348" s="3" t="n">
        <f aca="false">C1348*100/C$2</f>
        <v>111.529961750956</v>
      </c>
      <c r="F1348" s="0" t="n">
        <v>104.19304016142</v>
      </c>
      <c r="G1348" s="0" t="n">
        <v>101.23534709012</v>
      </c>
      <c r="H1348" s="0" t="n">
        <v>109.315767105822</v>
      </c>
      <c r="I1348" s="0" t="n">
        <v>8.08042001570216</v>
      </c>
    </row>
    <row r="1349" customFormat="false" ht="13.8" hidden="false" customHeight="false" outlineLevel="0" collapsed="false">
      <c r="A1349" s="2" t="n">
        <v>41346</v>
      </c>
      <c r="B1349" s="0" t="n">
        <v>1554.52</v>
      </c>
      <c r="C1349" s="0" t="n">
        <v>263.33</v>
      </c>
      <c r="D1349" s="3" t="n">
        <f aca="false">B1349*100/B$2</f>
        <v>107.418668288234</v>
      </c>
      <c r="E1349" s="3" t="n">
        <f aca="false">C1349*100/C$2</f>
        <v>111.912452188695</v>
      </c>
      <c r="F1349" s="0" t="n">
        <v>103.786727106885</v>
      </c>
      <c r="G1349" s="0" t="n">
        <v>101.09962219053</v>
      </c>
      <c r="H1349" s="0" t="n">
        <v>109.847003824904</v>
      </c>
      <c r="I1349" s="0" t="n">
        <v>8.74738163437485</v>
      </c>
    </row>
    <row r="1350" customFormat="false" ht="13.8" hidden="false" customHeight="false" outlineLevel="0" collapsed="false">
      <c r="A1350" s="2" t="n">
        <v>41347</v>
      </c>
      <c r="B1350" s="0" t="n">
        <v>1563.23</v>
      </c>
      <c r="C1350" s="0" t="n">
        <v>263.37</v>
      </c>
      <c r="D1350" s="3" t="n">
        <f aca="false">B1350*100/B$2</f>
        <v>108.020536775477</v>
      </c>
      <c r="E1350" s="3" t="n">
        <f aca="false">C1350*100/C$2</f>
        <v>111.929451763706</v>
      </c>
      <c r="F1350" s="0" t="n">
        <v>103.520688797369</v>
      </c>
      <c r="G1350" s="0" t="n">
        <v>101.01075469675</v>
      </c>
      <c r="H1350" s="0" t="n">
        <v>109.677008074798</v>
      </c>
      <c r="I1350" s="0" t="n">
        <v>8.6662533780482</v>
      </c>
    </row>
    <row r="1351" customFormat="false" ht="13.8" hidden="false" customHeight="false" outlineLevel="0" collapsed="false">
      <c r="A1351" s="2" t="n">
        <v>41348</v>
      </c>
      <c r="B1351" s="0" t="n">
        <v>1560.7</v>
      </c>
      <c r="C1351" s="0" t="n">
        <v>260.84</v>
      </c>
      <c r="D1351" s="3" t="n">
        <f aca="false">B1351*100/B$2</f>
        <v>107.845711600652</v>
      </c>
      <c r="E1351" s="3" t="n">
        <f aca="false">C1351*100/C$2</f>
        <v>110.854228644284</v>
      </c>
      <c r="F1351" s="0" t="n">
        <v>104.561347743166</v>
      </c>
      <c r="G1351" s="0" t="n">
        <v>101.358376633457</v>
      </c>
      <c r="H1351" s="0" t="n">
        <v>109.494262643434</v>
      </c>
      <c r="I1351" s="0" t="n">
        <v>8.13588600997726</v>
      </c>
    </row>
    <row r="1352" customFormat="false" ht="13.8" hidden="false" customHeight="false" outlineLevel="0" collapsed="false">
      <c r="A1352" s="2" t="n">
        <v>41351</v>
      </c>
      <c r="B1352" s="0" t="n">
        <v>1552.1</v>
      </c>
      <c r="C1352" s="0" t="n">
        <v>258.3</v>
      </c>
      <c r="D1352" s="3" t="n">
        <f aca="false">B1352*100/B$2</f>
        <v>107.251444207966</v>
      </c>
      <c r="E1352" s="3" t="n">
        <f aca="false">C1352*100/C$2</f>
        <v>109.774755631109</v>
      </c>
      <c r="F1352" s="0" t="n">
        <v>103.354846734293</v>
      </c>
      <c r="G1352" s="0" t="n">
        <v>100.95535677855</v>
      </c>
      <c r="H1352" s="0" t="n">
        <v>109.175520611985</v>
      </c>
      <c r="I1352" s="0" t="n">
        <v>8.22016383343504</v>
      </c>
    </row>
    <row r="1353" customFormat="false" ht="13.8" hidden="false" customHeight="false" outlineLevel="0" collapsed="false">
      <c r="A1353" s="2" t="n">
        <v>41352</v>
      </c>
      <c r="B1353" s="0" t="n">
        <v>1548.34</v>
      </c>
      <c r="C1353" s="0" t="n">
        <v>259.79</v>
      </c>
      <c r="D1353" s="3" t="n">
        <f aca="false">B1353*100/B$2</f>
        <v>106.991624975815</v>
      </c>
      <c r="E1353" s="3" t="n">
        <f aca="false">C1353*100/C$2</f>
        <v>110.407989800255</v>
      </c>
      <c r="F1353" s="0" t="n">
        <v>104.43143812709</v>
      </c>
      <c r="G1353" s="0" t="n">
        <v>101.314981597533</v>
      </c>
      <c r="H1353" s="0" t="n">
        <v>108.295792605185</v>
      </c>
      <c r="I1353" s="0" t="n">
        <v>6.98081100765178</v>
      </c>
    </row>
    <row r="1354" customFormat="false" ht="13.8" hidden="false" customHeight="false" outlineLevel="0" collapsed="false">
      <c r="A1354" s="2" t="n">
        <v>41353</v>
      </c>
      <c r="B1354" s="0" t="n">
        <v>1558.71</v>
      </c>
      <c r="C1354" s="0" t="n">
        <v>257.04</v>
      </c>
      <c r="D1354" s="3" t="n">
        <f aca="false">B1354*100/B$2</f>
        <v>107.708200890019</v>
      </c>
      <c r="E1354" s="3" t="n">
        <f aca="false">C1354*100/C$2</f>
        <v>109.239269018275</v>
      </c>
      <c r="F1354" s="0" t="n">
        <v>104.488791840571</v>
      </c>
      <c r="G1354" s="0" t="n">
        <v>101.334140044244</v>
      </c>
      <c r="H1354" s="0" t="n">
        <v>108.079048023799</v>
      </c>
      <c r="I1354" s="0" t="n">
        <v>6.74490797955536</v>
      </c>
    </row>
    <row r="1355" customFormat="false" ht="13.8" hidden="false" customHeight="false" outlineLevel="0" collapsed="false">
      <c r="A1355" s="2" t="n">
        <v>41354</v>
      </c>
      <c r="B1355" s="0" t="n">
        <v>1545.8</v>
      </c>
      <c r="C1355" s="0" t="n">
        <v>255.82</v>
      </c>
      <c r="D1355" s="3" t="n">
        <f aca="false">B1355*100/B$2</f>
        <v>106.816108792393</v>
      </c>
      <c r="E1355" s="3" t="n">
        <f aca="false">C1355*100/C$2</f>
        <v>108.72078198045</v>
      </c>
      <c r="F1355" s="0" t="n">
        <v>104.300146493822</v>
      </c>
      <c r="G1355" s="0" t="n">
        <v>101.271124912291</v>
      </c>
      <c r="H1355" s="0" t="n">
        <v>107.947301317467</v>
      </c>
      <c r="I1355" s="0" t="n">
        <v>6.67617640517584</v>
      </c>
    </row>
    <row r="1356" customFormat="false" ht="13.8" hidden="false" customHeight="false" outlineLevel="0" collapsed="false">
      <c r="A1356" s="2" t="n">
        <v>41355</v>
      </c>
      <c r="B1356" s="0" t="n">
        <v>1556.89</v>
      </c>
      <c r="C1356" s="0" t="n">
        <v>255.33</v>
      </c>
      <c r="D1356" s="3" t="n">
        <f aca="false">B1356*100/B$2</f>
        <v>107.58243732552</v>
      </c>
      <c r="E1356" s="3" t="n">
        <f aca="false">C1356*100/C$2</f>
        <v>108.51253718657</v>
      </c>
      <c r="F1356" s="0" t="n">
        <v>104.890267834932</v>
      </c>
      <c r="G1356" s="0" t="n">
        <v>101.468249171221</v>
      </c>
      <c r="H1356" s="0" t="n">
        <v>109.260518487038</v>
      </c>
      <c r="I1356" s="0" t="n">
        <v>7.79226931581728</v>
      </c>
    </row>
    <row r="1357" customFormat="false" ht="13.8" hidden="false" customHeight="false" outlineLevel="0" collapsed="false">
      <c r="A1357" s="2" t="n">
        <v>41358</v>
      </c>
      <c r="B1357" s="0" t="n">
        <v>1551.69</v>
      </c>
      <c r="C1357" s="0" t="n">
        <v>259.58</v>
      </c>
      <c r="D1357" s="3" t="n">
        <f aca="false">B1357*100/B$2</f>
        <v>107.223112855524</v>
      </c>
      <c r="E1357" s="3" t="n">
        <f aca="false">C1357*100/C$2</f>
        <v>110.318742031449</v>
      </c>
      <c r="F1357" s="0" t="n">
        <v>104.826695044086</v>
      </c>
      <c r="G1357" s="0" t="n">
        <v>101.447013302577</v>
      </c>
      <c r="H1357" s="0" t="n">
        <v>109.260518487038</v>
      </c>
      <c r="I1357" s="0" t="n">
        <v>7.81350518446071</v>
      </c>
    </row>
    <row r="1358" customFormat="false" ht="13.8" hidden="false" customHeight="false" outlineLevel="0" collapsed="false">
      <c r="A1358" s="2" t="n">
        <v>41359</v>
      </c>
      <c r="B1358" s="0" t="n">
        <v>1563.77</v>
      </c>
      <c r="C1358" s="0" t="n">
        <v>260.54</v>
      </c>
      <c r="D1358" s="3" t="n">
        <f aca="false">B1358*100/B$2</f>
        <v>108.057851239669</v>
      </c>
      <c r="E1358" s="3" t="n">
        <f aca="false">C1358*100/C$2</f>
        <v>110.726731831704</v>
      </c>
      <c r="F1358" s="0" t="n">
        <v>104.993919124354</v>
      </c>
      <c r="G1358" s="0" t="n">
        <v>101.502872870096</v>
      </c>
      <c r="H1358" s="0" t="n">
        <v>109.073523161921</v>
      </c>
      <c r="I1358" s="0" t="n">
        <v>7.57065029182523</v>
      </c>
    </row>
    <row r="1359" customFormat="false" ht="13.8" hidden="false" customHeight="false" outlineLevel="0" collapsed="false">
      <c r="A1359" s="2" t="n">
        <v>41360</v>
      </c>
      <c r="B1359" s="0" t="n">
        <v>1562.85</v>
      </c>
      <c r="C1359" s="0" t="n">
        <v>261.86</v>
      </c>
      <c r="D1359" s="3" t="n">
        <f aca="false">B1359*100/B$2</f>
        <v>107.994278448824</v>
      </c>
      <c r="E1359" s="3" t="n">
        <f aca="false">C1359*100/C$2</f>
        <v>111.287717807055</v>
      </c>
      <c r="F1359" s="0" t="n">
        <v>105.056109898007</v>
      </c>
      <c r="G1359" s="0" t="n">
        <v>101.523647089421</v>
      </c>
      <c r="H1359" s="0" t="n">
        <v>110.888227794305</v>
      </c>
      <c r="I1359" s="0" t="n">
        <v>9.36458070488433</v>
      </c>
    </row>
    <row r="1360" customFormat="false" ht="13.8" hidden="false" customHeight="false" outlineLevel="0" collapsed="false">
      <c r="A1360" s="2" t="n">
        <v>41361</v>
      </c>
      <c r="B1360" s="0" t="n">
        <v>1569.19</v>
      </c>
      <c r="C1360" s="0" t="n">
        <v>261.86</v>
      </c>
      <c r="D1360" s="3" t="n">
        <f aca="false">B1360*100/B$2</f>
        <v>108.432377898781</v>
      </c>
      <c r="E1360" s="3" t="n">
        <f aca="false">C1360*100/C$2</f>
        <v>111.287717807055</v>
      </c>
      <c r="F1360" s="0" t="n">
        <v>105.128665800603</v>
      </c>
      <c r="G1360" s="0" t="n">
        <v>101.547883678633</v>
      </c>
      <c r="H1360" s="0" t="n">
        <v>111.109222269443</v>
      </c>
      <c r="I1360" s="0" t="n">
        <v>9.56133859080985</v>
      </c>
    </row>
    <row r="1361" customFormat="false" ht="13.8" hidden="false" customHeight="false" outlineLevel="0" collapsed="false">
      <c r="A1361" s="2" t="n">
        <v>41362</v>
      </c>
      <c r="B1361" s="0" t="n">
        <v>1569.19</v>
      </c>
      <c r="C1361" s="0" t="n">
        <v>263.39</v>
      </c>
      <c r="D1361" s="3" t="n">
        <f aca="false">B1361*100/B$2</f>
        <v>108.432377898781</v>
      </c>
      <c r="E1361" s="3" t="n">
        <f aca="false">C1361*100/C$2</f>
        <v>111.937951551211</v>
      </c>
      <c r="F1361" s="0" t="n">
        <v>105.018795433815</v>
      </c>
      <c r="G1361" s="0" t="n">
        <v>101.511182557826</v>
      </c>
      <c r="H1361" s="0" t="n">
        <v>111.181470463238</v>
      </c>
      <c r="I1361" s="0" t="n">
        <v>9.67028790541266</v>
      </c>
    </row>
    <row r="1362" customFormat="false" ht="13.8" hidden="false" customHeight="false" outlineLevel="0" collapsed="false">
      <c r="A1362" s="2" t="n">
        <v>41365</v>
      </c>
      <c r="B1362" s="0" t="n">
        <v>1562.17</v>
      </c>
      <c r="C1362" s="0" t="n">
        <v>262.27</v>
      </c>
      <c r="D1362" s="3" t="n">
        <f aca="false">B1362*100/B$2</f>
        <v>107.947289864286</v>
      </c>
      <c r="E1362" s="3" t="n">
        <f aca="false">C1362*100/C$2</f>
        <v>111.461963450914</v>
      </c>
      <c r="F1362" s="0" t="n">
        <v>105.018795433815</v>
      </c>
      <c r="G1362" s="0" t="n">
        <v>101.511182557826</v>
      </c>
      <c r="H1362" s="0" t="n">
        <v>111.189970250744</v>
      </c>
      <c r="I1362" s="0" t="n">
        <v>9.67878769291798</v>
      </c>
    </row>
    <row r="1363" customFormat="false" ht="13.8" hidden="false" customHeight="false" outlineLevel="0" collapsed="false">
      <c r="A1363" s="2" t="n">
        <v>41366</v>
      </c>
      <c r="B1363" s="0" t="n">
        <v>1570.25</v>
      </c>
      <c r="C1363" s="0" t="n">
        <v>260.79</v>
      </c>
      <c r="D1363" s="3" t="n">
        <f aca="false">B1363*100/B$2</f>
        <v>108.505624809973</v>
      </c>
      <c r="E1363" s="3" t="n">
        <f aca="false">C1363*100/C$2</f>
        <v>110.832979175521</v>
      </c>
      <c r="F1363" s="0" t="n">
        <v>105.789270018519</v>
      </c>
      <c r="G1363" s="0" t="n">
        <v>101.768552052798</v>
      </c>
      <c r="H1363" s="0" t="n">
        <v>111.415214619635</v>
      </c>
      <c r="I1363" s="0" t="n">
        <v>9.64666256683668</v>
      </c>
    </row>
    <row r="1364" customFormat="false" ht="13.8" hidden="false" customHeight="false" outlineLevel="0" collapsed="false">
      <c r="A1364" s="2" t="n">
        <v>41367</v>
      </c>
      <c r="B1364" s="0" t="n">
        <v>1553.69</v>
      </c>
      <c r="C1364" s="0" t="n">
        <v>260.36</v>
      </c>
      <c r="D1364" s="3" t="n">
        <f aca="false">B1364*100/B$2</f>
        <v>107.361314574753</v>
      </c>
      <c r="E1364" s="3" t="n">
        <f aca="false">C1364*100/C$2</f>
        <v>110.650233744156</v>
      </c>
      <c r="F1364" s="0" t="n">
        <v>104.477044694436</v>
      </c>
      <c r="G1364" s="0" t="n">
        <v>101.330216025038</v>
      </c>
      <c r="H1364" s="0" t="n">
        <v>113.926901827454</v>
      </c>
      <c r="I1364" s="0" t="n">
        <v>12.5966858024161</v>
      </c>
    </row>
    <row r="1365" customFormat="false" ht="13.8" hidden="false" customHeight="false" outlineLevel="0" collapsed="false">
      <c r="A1365" s="2" t="n">
        <v>41368</v>
      </c>
      <c r="B1365" s="0" t="n">
        <v>1559.98</v>
      </c>
      <c r="C1365" s="0" t="n">
        <v>257.05</v>
      </c>
      <c r="D1365" s="3" t="n">
        <f aca="false">B1365*100/B$2</f>
        <v>107.79595898173</v>
      </c>
      <c r="E1365" s="3" t="n">
        <f aca="false">C1365*100/C$2</f>
        <v>109.243518912027</v>
      </c>
      <c r="F1365" s="0" t="n">
        <v>103.818513502308</v>
      </c>
      <c r="G1365" s="0" t="n">
        <v>101.110240124851</v>
      </c>
      <c r="H1365" s="0" t="n">
        <v>113.40841478963</v>
      </c>
      <c r="I1365" s="0" t="n">
        <v>12.298174664779</v>
      </c>
    </row>
    <row r="1366" customFormat="false" ht="13.8" hidden="false" customHeight="false" outlineLevel="0" collapsed="false">
      <c r="A1366" s="2" t="n">
        <v>41369</v>
      </c>
      <c r="B1366" s="0" t="n">
        <v>1553.28</v>
      </c>
      <c r="C1366" s="0" t="n">
        <v>252.77</v>
      </c>
      <c r="D1366" s="3" t="n">
        <f aca="false">B1366*100/B$2</f>
        <v>107.332983222311</v>
      </c>
      <c r="E1366" s="3" t="n">
        <f aca="false">C1366*100/C$2</f>
        <v>107.42456438589</v>
      </c>
      <c r="F1366" s="0" t="n">
        <v>104.72926283203</v>
      </c>
      <c r="G1366" s="0" t="n">
        <v>101.414467025634</v>
      </c>
      <c r="H1366" s="0" t="n">
        <v>113.53591160221</v>
      </c>
      <c r="I1366" s="0" t="n">
        <v>12.1214445765755</v>
      </c>
    </row>
    <row r="1367" customFormat="false" ht="13.8" hidden="false" customHeight="false" outlineLevel="0" collapsed="false">
      <c r="A1367" s="2" t="n">
        <v>41372</v>
      </c>
      <c r="B1367" s="0" t="n">
        <v>1563.07</v>
      </c>
      <c r="C1367" s="0" t="n">
        <v>252.39</v>
      </c>
      <c r="D1367" s="3" t="n">
        <f aca="false">B1367*100/B$2</f>
        <v>108.009480637939</v>
      </c>
      <c r="E1367" s="3" t="n">
        <f aca="false">C1367*100/C$2</f>
        <v>107.263068423289</v>
      </c>
      <c r="F1367" s="0" t="n">
        <v>102.811713977722</v>
      </c>
      <c r="G1367" s="0" t="n">
        <v>100.773928596444</v>
      </c>
      <c r="H1367" s="0" t="n">
        <v>113.051423714407</v>
      </c>
      <c r="I1367" s="0" t="n">
        <v>12.2774951179634</v>
      </c>
    </row>
    <row r="1368" customFormat="false" ht="13.8" hidden="false" customHeight="false" outlineLevel="0" collapsed="false">
      <c r="A1368" s="2" t="n">
        <v>41373</v>
      </c>
      <c r="B1368" s="0" t="n">
        <v>1568.61</v>
      </c>
      <c r="C1368" s="0" t="n">
        <v>252.53</v>
      </c>
      <c r="D1368" s="3" t="n">
        <f aca="false">B1368*100/B$2</f>
        <v>108.392299400205</v>
      </c>
      <c r="E1368" s="3" t="n">
        <f aca="false">C1368*100/C$2</f>
        <v>107.322566935827</v>
      </c>
      <c r="F1368" s="0" t="n">
        <v>103.439840791619</v>
      </c>
      <c r="G1368" s="0" t="n">
        <v>100.983748211627</v>
      </c>
      <c r="H1368" s="0" t="n">
        <v>112.486187845304</v>
      </c>
      <c r="I1368" s="0" t="n">
        <v>11.5024396336766</v>
      </c>
    </row>
    <row r="1369" customFormat="false" ht="13.8" hidden="false" customHeight="false" outlineLevel="0" collapsed="false">
      <c r="A1369" s="2" t="n">
        <v>41374</v>
      </c>
      <c r="B1369" s="0" t="n">
        <v>1587.73</v>
      </c>
      <c r="C1369" s="0" t="n">
        <v>254.34</v>
      </c>
      <c r="D1369" s="3" t="n">
        <f aca="false">B1369*100/B$2</f>
        <v>109.713507836037</v>
      </c>
      <c r="E1369" s="3" t="n">
        <f aca="false">C1369*100/C$2</f>
        <v>108.091797705057</v>
      </c>
      <c r="F1369" s="0" t="n">
        <v>104.756212167279</v>
      </c>
      <c r="G1369" s="0" t="n">
        <v>101.423469187342</v>
      </c>
      <c r="H1369" s="0" t="n">
        <v>112.6391840204</v>
      </c>
      <c r="I1369" s="0" t="n">
        <v>11.2157148330575</v>
      </c>
    </row>
    <row r="1370" customFormat="false" ht="13.8" hidden="false" customHeight="false" outlineLevel="0" collapsed="false">
      <c r="A1370" s="2" t="n">
        <v>41375</v>
      </c>
      <c r="B1370" s="0" t="n">
        <v>1593.37</v>
      </c>
      <c r="C1370" s="0" t="n">
        <v>256.18</v>
      </c>
      <c r="D1370" s="3" t="n">
        <f aca="false">B1370*100/B$2</f>
        <v>110.103236684264</v>
      </c>
      <c r="E1370" s="3" t="n">
        <f aca="false">C1370*100/C$2</f>
        <v>108.873778155546</v>
      </c>
      <c r="F1370" s="0" t="n">
        <v>104.665690041184</v>
      </c>
      <c r="G1370" s="0" t="n">
        <v>101.393231156991</v>
      </c>
      <c r="H1370" s="0" t="n">
        <v>113.901402464938</v>
      </c>
      <c r="I1370" s="0" t="n">
        <v>12.5081713079474</v>
      </c>
    </row>
    <row r="1371" customFormat="false" ht="13.8" hidden="false" customHeight="false" outlineLevel="0" collapsed="false">
      <c r="A1371" s="2" t="n">
        <v>41376</v>
      </c>
      <c r="B1371" s="0" t="n">
        <v>1588.85</v>
      </c>
      <c r="C1371" s="0" t="n">
        <v>252</v>
      </c>
      <c r="D1371" s="3" t="n">
        <f aca="false">B1371*100/B$2</f>
        <v>109.790900798806</v>
      </c>
      <c r="E1371" s="3" t="n">
        <f aca="false">C1371*100/C$2</f>
        <v>107.097322566936</v>
      </c>
      <c r="F1371" s="0" t="n">
        <v>104.908925067028</v>
      </c>
      <c r="G1371" s="0" t="n">
        <v>101.474481437018</v>
      </c>
      <c r="H1371" s="0" t="n">
        <v>113.901402464938</v>
      </c>
      <c r="I1371" s="0" t="n">
        <v>12.4269210279203</v>
      </c>
    </row>
    <row r="1372" customFormat="false" ht="13.8" hidden="false" customHeight="false" outlineLevel="0" collapsed="false">
      <c r="A1372" s="2" t="n">
        <v>41379</v>
      </c>
      <c r="B1372" s="0" t="n">
        <v>1552.36</v>
      </c>
      <c r="C1372" s="0" t="n">
        <v>251.51</v>
      </c>
      <c r="D1372" s="3" t="n">
        <f aca="false">B1372*100/B$2</f>
        <v>107.269410431466</v>
      </c>
      <c r="E1372" s="3" t="n">
        <f aca="false">C1372*100/C$2</f>
        <v>106.889077773056</v>
      </c>
      <c r="F1372" s="0" t="n">
        <v>105.392631084331</v>
      </c>
      <c r="G1372" s="0" t="n">
        <v>101.636058698436</v>
      </c>
      <c r="H1372" s="0" t="n">
        <v>113.106672333192</v>
      </c>
      <c r="I1372" s="0" t="n">
        <v>11.4706136347561</v>
      </c>
    </row>
    <row r="1373" customFormat="false" ht="13.8" hidden="false" customHeight="false" outlineLevel="0" collapsed="false">
      <c r="A1373" s="2" t="n">
        <v>41380</v>
      </c>
      <c r="B1373" s="0" t="n">
        <v>1574.57</v>
      </c>
      <c r="C1373" s="0" t="n">
        <v>251.78</v>
      </c>
      <c r="D1373" s="3" t="n">
        <f aca="false">B1373*100/B$2</f>
        <v>108.804140523508</v>
      </c>
      <c r="E1373" s="3" t="n">
        <f aca="false">C1373*100/C$2</f>
        <v>107.003824904377</v>
      </c>
      <c r="F1373" s="0" t="n">
        <v>106.400812626109</v>
      </c>
      <c r="G1373" s="0" t="n">
        <v>101.972831876161</v>
      </c>
      <c r="H1373" s="0" t="n">
        <v>113.276668083298</v>
      </c>
      <c r="I1373" s="0" t="n">
        <v>11.3038362071366</v>
      </c>
    </row>
    <row r="1374" customFormat="false" ht="13.8" hidden="false" customHeight="false" outlineLevel="0" collapsed="false">
      <c r="A1374" s="2" t="n">
        <v>41381</v>
      </c>
      <c r="B1374" s="0" t="n">
        <v>1552.01</v>
      </c>
      <c r="C1374" s="0" t="n">
        <v>251.51</v>
      </c>
      <c r="D1374" s="3" t="n">
        <f aca="false">B1374*100/B$2</f>
        <v>107.245225130601</v>
      </c>
      <c r="E1374" s="3" t="n">
        <f aca="false">C1374*100/C$2</f>
        <v>106.889077773056</v>
      </c>
      <c r="F1374" s="0" t="n">
        <v>106.516211061666</v>
      </c>
      <c r="G1374" s="0" t="n">
        <v>102.011379594242</v>
      </c>
      <c r="H1374" s="0" t="n">
        <v>113.578410539737</v>
      </c>
      <c r="I1374" s="0" t="n">
        <v>11.5670309454941</v>
      </c>
    </row>
    <row r="1375" customFormat="false" ht="13.8" hidden="false" customHeight="false" outlineLevel="0" collapsed="false">
      <c r="A1375" s="2" t="n">
        <v>41382</v>
      </c>
      <c r="B1375" s="0" t="n">
        <v>1541.61</v>
      </c>
      <c r="C1375" s="0" t="n">
        <v>247.85</v>
      </c>
      <c r="D1375" s="3" t="n">
        <f aca="false">B1375*100/B$2</f>
        <v>106.526576190608</v>
      </c>
      <c r="E1375" s="3" t="n">
        <f aca="false">C1375*100/C$2</f>
        <v>105.333616659584</v>
      </c>
      <c r="F1375" s="0" t="n">
        <v>106.709693468587</v>
      </c>
      <c r="G1375" s="0" t="n">
        <v>102.076010498809</v>
      </c>
      <c r="H1375" s="0" t="n">
        <v>112.52868678283</v>
      </c>
      <c r="I1375" s="0" t="n">
        <v>10.452676284021</v>
      </c>
    </row>
    <row r="1376" customFormat="false" ht="13.8" hidden="false" customHeight="false" outlineLevel="0" collapsed="false">
      <c r="A1376" s="2" t="n">
        <v>41383</v>
      </c>
      <c r="B1376" s="0" t="n">
        <v>1555.25</v>
      </c>
      <c r="C1376" s="0" t="n">
        <v>248.77</v>
      </c>
      <c r="D1376" s="3" t="n">
        <f aca="false">B1376*100/B$2</f>
        <v>107.469111915752</v>
      </c>
      <c r="E1376" s="3" t="n">
        <f aca="false">C1376*100/C$2</f>
        <v>105.724606884828</v>
      </c>
      <c r="F1376" s="0" t="n">
        <v>107.18787141712</v>
      </c>
      <c r="G1376" s="0" t="n">
        <v>102.235741162954</v>
      </c>
      <c r="H1376" s="0" t="n">
        <v>112.439439014025</v>
      </c>
      <c r="I1376" s="0" t="n">
        <v>10.2036978510711</v>
      </c>
    </row>
    <row r="1377" customFormat="false" ht="13.8" hidden="false" customHeight="false" outlineLevel="0" collapsed="false">
      <c r="A1377" s="2" t="n">
        <v>41386</v>
      </c>
      <c r="B1377" s="0" t="n">
        <v>1562.5</v>
      </c>
      <c r="C1377" s="0" t="n">
        <v>251.46</v>
      </c>
      <c r="D1377" s="3" t="n">
        <f aca="false">B1377*100/B$2</f>
        <v>107.970093147959</v>
      </c>
      <c r="E1377" s="3" t="n">
        <f aca="false">C1377*100/C$2</f>
        <v>106.867828304292</v>
      </c>
      <c r="F1377" s="0" t="n">
        <v>107.536139749578</v>
      </c>
      <c r="G1377" s="0" t="n">
        <v>102.352076791174</v>
      </c>
      <c r="H1377" s="0" t="n">
        <v>112.260943476413</v>
      </c>
      <c r="I1377" s="0" t="n">
        <v>9.90886668523899</v>
      </c>
    </row>
    <row r="1378" customFormat="false" ht="13.8" hidden="false" customHeight="false" outlineLevel="0" collapsed="false">
      <c r="A1378" s="2" t="n">
        <v>41387</v>
      </c>
      <c r="B1378" s="0" t="n">
        <v>1578.78</v>
      </c>
      <c r="C1378" s="0" t="n">
        <v>250.01</v>
      </c>
      <c r="D1378" s="3" t="n">
        <f aca="false">B1378*100/B$2</f>
        <v>109.095055142486</v>
      </c>
      <c r="E1378" s="3" t="n">
        <f aca="false">C1378*100/C$2</f>
        <v>106.251593710157</v>
      </c>
      <c r="F1378" s="0" t="n">
        <v>107.27770253462</v>
      </c>
      <c r="G1378" s="0" t="n">
        <v>102.265748368645</v>
      </c>
      <c r="H1378" s="0" t="n">
        <v>111.529961750956</v>
      </c>
      <c r="I1378" s="0" t="n">
        <v>9.2642133823109</v>
      </c>
    </row>
    <row r="1379" customFormat="false" ht="13.8" hidden="false" customHeight="false" outlineLevel="0" collapsed="false">
      <c r="A1379" s="2" t="n">
        <v>41388</v>
      </c>
      <c r="B1379" s="0" t="n">
        <v>1578.79</v>
      </c>
      <c r="C1379" s="0" t="n">
        <v>252</v>
      </c>
      <c r="D1379" s="3" t="n">
        <f aca="false">B1379*100/B$2</f>
        <v>109.095746151082</v>
      </c>
      <c r="E1379" s="3" t="n">
        <f aca="false">C1379*100/C$2</f>
        <v>107.097322566936</v>
      </c>
      <c r="F1379" s="0" t="n">
        <v>107.418668288234</v>
      </c>
      <c r="G1379" s="0" t="n">
        <v>102.312836599116</v>
      </c>
      <c r="H1379" s="0" t="n">
        <v>111.912452188695</v>
      </c>
      <c r="I1379" s="0" t="n">
        <v>9.59961558957973</v>
      </c>
    </row>
    <row r="1380" customFormat="false" ht="13.8" hidden="false" customHeight="false" outlineLevel="0" collapsed="false">
      <c r="A1380" s="2" t="n">
        <v>41389</v>
      </c>
      <c r="B1380" s="0" t="n">
        <v>1585.16</v>
      </c>
      <c r="C1380" s="0" t="n">
        <v>254.49</v>
      </c>
      <c r="D1380" s="3" t="n">
        <f aca="false">B1380*100/B$2</f>
        <v>109.535918626828</v>
      </c>
      <c r="E1380" s="3" t="n">
        <f aca="false">C1380*100/C$2</f>
        <v>108.155546111347</v>
      </c>
      <c r="F1380" s="0" t="n">
        <v>108.020536775477</v>
      </c>
      <c r="G1380" s="0" t="n">
        <v>102.513884877251</v>
      </c>
      <c r="H1380" s="0" t="n">
        <v>111.929451763706</v>
      </c>
      <c r="I1380" s="0" t="n">
        <v>9.41556688645518</v>
      </c>
    </row>
    <row r="1381" customFormat="false" ht="13.8" hidden="false" customHeight="false" outlineLevel="0" collapsed="false">
      <c r="A1381" s="2" t="n">
        <v>41390</v>
      </c>
      <c r="B1381" s="0" t="n">
        <v>1582.24</v>
      </c>
      <c r="C1381" s="0" t="n">
        <v>253.04</v>
      </c>
      <c r="D1381" s="3" t="n">
        <f aca="false">B1381*100/B$2</f>
        <v>109.334144116753</v>
      </c>
      <c r="E1381" s="3" t="n">
        <f aca="false">C1381*100/C$2</f>
        <v>107.539311517212</v>
      </c>
      <c r="F1381" s="0" t="n">
        <v>107.845711600652</v>
      </c>
      <c r="G1381" s="0" t="n">
        <v>102.455486238481</v>
      </c>
      <c r="H1381" s="0" t="n">
        <v>110.854228644284</v>
      </c>
      <c r="I1381" s="0" t="n">
        <v>8.39874240580262</v>
      </c>
    </row>
    <row r="1382" customFormat="false" ht="13.8" hidden="false" customHeight="false" outlineLevel="0" collapsed="false">
      <c r="A1382" s="2" t="n">
        <v>41393</v>
      </c>
      <c r="B1382" s="0" t="n">
        <v>1593.61</v>
      </c>
      <c r="C1382" s="0" t="n">
        <v>252.25</v>
      </c>
      <c r="D1382" s="3" t="n">
        <f aca="false">B1382*100/B$2</f>
        <v>110.119820890572</v>
      </c>
      <c r="E1382" s="3" t="n">
        <f aca="false">C1382*100/C$2</f>
        <v>107.203569910752</v>
      </c>
      <c r="F1382" s="0" t="n">
        <v>107.251444207966</v>
      </c>
      <c r="G1382" s="0" t="n">
        <v>102.256977031597</v>
      </c>
      <c r="H1382" s="0" t="n">
        <v>109.774755631109</v>
      </c>
      <c r="I1382" s="0" t="n">
        <v>7.51777859951227</v>
      </c>
    </row>
    <row r="1383" customFormat="false" ht="13.8" hidden="false" customHeight="false" outlineLevel="0" collapsed="false">
      <c r="A1383" s="2" t="n">
        <v>41394</v>
      </c>
      <c r="B1383" s="0" t="n">
        <v>1597.57</v>
      </c>
      <c r="C1383" s="0" t="n">
        <v>255.72</v>
      </c>
      <c r="D1383" s="3" t="n">
        <f aca="false">B1383*100/B$2</f>
        <v>110.393460294646</v>
      </c>
      <c r="E1383" s="3" t="n">
        <f aca="false">C1383*100/C$2</f>
        <v>108.678283042924</v>
      </c>
      <c r="F1383" s="0" t="n">
        <v>106.991624975815</v>
      </c>
      <c r="G1383" s="0" t="n">
        <v>102.17018695975</v>
      </c>
      <c r="H1383" s="0" t="n">
        <v>110.407989800255</v>
      </c>
      <c r="I1383" s="0" t="n">
        <v>8.23780284050517</v>
      </c>
    </row>
    <row r="1384" customFormat="false" ht="13.8" hidden="false" customHeight="false" outlineLevel="0" collapsed="false">
      <c r="A1384" s="2" t="n">
        <v>41395</v>
      </c>
      <c r="B1384" s="0" t="n">
        <v>1582.7</v>
      </c>
      <c r="C1384" s="0" t="n">
        <v>255.72</v>
      </c>
      <c r="D1384" s="3" t="n">
        <f aca="false">B1384*100/B$2</f>
        <v>109.365930512176</v>
      </c>
      <c r="E1384" s="3" t="n">
        <f aca="false">C1384*100/C$2</f>
        <v>108.678283042924</v>
      </c>
      <c r="F1384" s="0" t="n">
        <v>107.708200890019</v>
      </c>
      <c r="G1384" s="0" t="n">
        <v>102.409552131307</v>
      </c>
      <c r="H1384" s="0" t="n">
        <v>109.239269018275</v>
      </c>
      <c r="I1384" s="0" t="n">
        <v>6.82971688696769</v>
      </c>
    </row>
    <row r="1385" customFormat="false" ht="13.8" hidden="false" customHeight="false" outlineLevel="0" collapsed="false">
      <c r="A1385" s="2" t="n">
        <v>41396</v>
      </c>
      <c r="B1385" s="0" t="n">
        <v>1597.59</v>
      </c>
      <c r="C1385" s="0" t="n">
        <v>254.92</v>
      </c>
      <c r="D1385" s="3" t="n">
        <f aca="false">B1385*100/B$2</f>
        <v>110.394842311838</v>
      </c>
      <c r="E1385" s="3" t="n">
        <f aca="false">C1385*100/C$2</f>
        <v>108.338291542711</v>
      </c>
      <c r="F1385" s="0" t="n">
        <v>106.816108792393</v>
      </c>
      <c r="G1385" s="0" t="n">
        <v>102.111557496321</v>
      </c>
      <c r="H1385" s="0" t="n">
        <v>108.72078198045</v>
      </c>
      <c r="I1385" s="0" t="n">
        <v>6.60922448412927</v>
      </c>
    </row>
    <row r="1386" customFormat="false" ht="13.8" hidden="false" customHeight="false" outlineLevel="0" collapsed="false">
      <c r="A1386" s="2" t="n">
        <v>41397</v>
      </c>
      <c r="B1386" s="0" t="n">
        <v>1614.42</v>
      </c>
      <c r="C1386" s="0" t="n">
        <v>256.02</v>
      </c>
      <c r="D1386" s="3" t="n">
        <f aca="false">B1386*100/B$2</f>
        <v>111.557809779154</v>
      </c>
      <c r="E1386" s="3" t="n">
        <f aca="false">C1386*100/C$2</f>
        <v>108.805779855504</v>
      </c>
      <c r="F1386" s="0" t="n">
        <v>107.58243732552</v>
      </c>
      <c r="G1386" s="0" t="n">
        <v>102.367542043338</v>
      </c>
      <c r="H1386" s="0" t="n">
        <v>108.51253718657</v>
      </c>
      <c r="I1386" s="0" t="n">
        <v>6.14499514323201</v>
      </c>
    </row>
    <row r="1387" customFormat="false" ht="13.8" hidden="false" customHeight="false" outlineLevel="0" collapsed="false">
      <c r="A1387" s="2" t="n">
        <v>41400</v>
      </c>
      <c r="B1387" s="0" t="n">
        <v>1617.5</v>
      </c>
      <c r="C1387" s="0" t="n">
        <v>255.2</v>
      </c>
      <c r="D1387" s="3" t="n">
        <f aca="false">B1387*100/B$2</f>
        <v>111.770640426767</v>
      </c>
      <c r="E1387" s="3" t="n">
        <f aca="false">C1387*100/C$2</f>
        <v>108.457288567786</v>
      </c>
      <c r="F1387" s="0" t="n">
        <v>107.223112855524</v>
      </c>
      <c r="G1387" s="0" t="n">
        <v>102.247513220571</v>
      </c>
      <c r="H1387" s="0" t="n">
        <v>110.318742031449</v>
      </c>
      <c r="I1387" s="0" t="n">
        <v>8.07122881087814</v>
      </c>
    </row>
    <row r="1388" customFormat="false" ht="13.8" hidden="false" customHeight="false" outlineLevel="0" collapsed="false">
      <c r="A1388" s="2" t="n">
        <v>41401</v>
      </c>
      <c r="B1388" s="0" t="n">
        <v>1625.96</v>
      </c>
      <c r="C1388" s="0" t="n">
        <v>253.84</v>
      </c>
      <c r="D1388" s="3" t="n">
        <f aca="false">B1388*100/B$2</f>
        <v>112.355233699107</v>
      </c>
      <c r="E1388" s="3" t="n">
        <f aca="false">C1388*100/C$2</f>
        <v>107.879303017425</v>
      </c>
      <c r="F1388" s="0" t="n">
        <v>108.057851239669</v>
      </c>
      <c r="G1388" s="0" t="n">
        <v>102.526349408846</v>
      </c>
      <c r="H1388" s="0" t="n">
        <v>110.726731831704</v>
      </c>
      <c r="I1388" s="0" t="n">
        <v>8.20038242285843</v>
      </c>
    </row>
    <row r="1389" customFormat="false" ht="13.8" hidden="false" customHeight="false" outlineLevel="0" collapsed="false">
      <c r="A1389" s="2" t="n">
        <v>41402</v>
      </c>
      <c r="B1389" s="0" t="n">
        <v>1632.69</v>
      </c>
      <c r="C1389" s="0" t="n">
        <v>254.02</v>
      </c>
      <c r="D1389" s="3" t="n">
        <f aca="false">B1389*100/B$2</f>
        <v>112.820282484314</v>
      </c>
      <c r="E1389" s="3" t="n">
        <f aca="false">C1389*100/C$2</f>
        <v>107.955801104972</v>
      </c>
      <c r="F1389" s="0" t="n">
        <v>107.994278448824</v>
      </c>
      <c r="G1389" s="0" t="n">
        <v>102.505113540202</v>
      </c>
      <c r="H1389" s="0" t="n">
        <v>111.287717807055</v>
      </c>
      <c r="I1389" s="0" t="n">
        <v>8.78260426685249</v>
      </c>
    </row>
    <row r="1390" customFormat="false" ht="13.8" hidden="false" customHeight="false" outlineLevel="0" collapsed="false">
      <c r="A1390" s="2" t="n">
        <v>41403</v>
      </c>
      <c r="B1390" s="0" t="n">
        <v>1626.67</v>
      </c>
      <c r="C1390" s="0" t="n">
        <v>257.53</v>
      </c>
      <c r="D1390" s="3" t="n">
        <f aca="false">B1390*100/B$2</f>
        <v>112.404295309434</v>
      </c>
      <c r="E1390" s="3" t="n">
        <f aca="false">C1390*100/C$2</f>
        <v>109.447513812155</v>
      </c>
      <c r="F1390" s="0" t="n">
        <v>108.432377898781</v>
      </c>
      <c r="G1390" s="0" t="n">
        <v>102.651456374115</v>
      </c>
      <c r="H1390" s="0" t="n">
        <v>111.287717807055</v>
      </c>
      <c r="I1390" s="0" t="n">
        <v>8.63626143294009</v>
      </c>
    </row>
    <row r="1391" customFormat="false" ht="13.8" hidden="false" customHeight="false" outlineLevel="0" collapsed="false">
      <c r="A1391" s="2" t="n">
        <v>41404</v>
      </c>
      <c r="B1391" s="0" t="n">
        <v>1633.7</v>
      </c>
      <c r="C1391" s="0" t="n">
        <v>252.72</v>
      </c>
      <c r="D1391" s="3" t="n">
        <f aca="false">B1391*100/B$2</f>
        <v>112.890074352525</v>
      </c>
      <c r="E1391" s="3" t="n">
        <f aca="false">C1391*100/C$2</f>
        <v>107.403314917127</v>
      </c>
      <c r="F1391" s="0" t="n">
        <v>108.432377898781</v>
      </c>
      <c r="G1391" s="0" t="n">
        <v>102.651456374115</v>
      </c>
      <c r="H1391" s="0" t="n">
        <v>111.937951551211</v>
      </c>
      <c r="I1391" s="0" t="n">
        <v>9.28649517709648</v>
      </c>
    </row>
    <row r="1392" customFormat="false" ht="13.8" hidden="false" customHeight="false" outlineLevel="0" collapsed="false">
      <c r="A1392" s="2" t="n">
        <v>41407</v>
      </c>
      <c r="B1392" s="0" t="n">
        <v>1633.77</v>
      </c>
      <c r="C1392" s="0" t="n">
        <v>253.29</v>
      </c>
      <c r="D1392" s="3" t="n">
        <f aca="false">B1392*100/B$2</f>
        <v>112.894911412698</v>
      </c>
      <c r="E1392" s="3" t="n">
        <f aca="false">C1392*100/C$2</f>
        <v>107.645558861028</v>
      </c>
      <c r="F1392" s="0" t="n">
        <v>107.947289864286</v>
      </c>
      <c r="G1392" s="0" t="n">
        <v>102.489417463379</v>
      </c>
      <c r="H1392" s="0" t="n">
        <v>111.461963450914</v>
      </c>
      <c r="I1392" s="0" t="n">
        <v>8.9725459875348</v>
      </c>
    </row>
    <row r="1393" customFormat="false" ht="13.8" hidden="false" customHeight="false" outlineLevel="0" collapsed="false">
      <c r="A1393" s="2" t="n">
        <v>41408</v>
      </c>
      <c r="B1393" s="0" t="n">
        <v>1650.34</v>
      </c>
      <c r="C1393" s="0" t="n">
        <v>256.29</v>
      </c>
      <c r="D1393" s="3" t="n">
        <f aca="false">B1393*100/B$2</f>
        <v>114.039912656513</v>
      </c>
      <c r="E1393" s="3" t="n">
        <f aca="false">C1393*100/C$2</f>
        <v>108.920526986825</v>
      </c>
      <c r="F1393" s="0" t="n">
        <v>108.505624809973</v>
      </c>
      <c r="G1393" s="0" t="n">
        <v>102.675923787987</v>
      </c>
      <c r="H1393" s="0" t="n">
        <v>110.832979175521</v>
      </c>
      <c r="I1393" s="0" t="n">
        <v>8.1570553875341</v>
      </c>
    </row>
    <row r="1394" customFormat="false" ht="13.8" hidden="false" customHeight="false" outlineLevel="0" collapsed="false">
      <c r="A1394" s="2" t="n">
        <v>41409</v>
      </c>
      <c r="B1394" s="0" t="n">
        <v>1658.78</v>
      </c>
      <c r="C1394" s="0" t="n">
        <v>256.6</v>
      </c>
      <c r="D1394" s="3" t="n">
        <f aca="false">B1394*100/B$2</f>
        <v>114.623123911661</v>
      </c>
      <c r="E1394" s="3" t="n">
        <f aca="false">C1394*100/C$2</f>
        <v>109.052273693158</v>
      </c>
      <c r="F1394" s="0" t="n">
        <v>107.361314574753</v>
      </c>
      <c r="G1394" s="0" t="n">
        <v>102.293678152405</v>
      </c>
      <c r="H1394" s="0" t="n">
        <v>110.650233744156</v>
      </c>
      <c r="I1394" s="0" t="n">
        <v>8.35655559175177</v>
      </c>
    </row>
    <row r="1395" customFormat="false" ht="13.8" hidden="false" customHeight="false" outlineLevel="0" collapsed="false">
      <c r="A1395" s="2" t="n">
        <v>41410</v>
      </c>
      <c r="B1395" s="0" t="n">
        <v>1650.47</v>
      </c>
      <c r="C1395" s="0" t="n">
        <v>258.99</v>
      </c>
      <c r="D1395" s="3" t="n">
        <f aca="false">B1395*100/B$2</f>
        <v>114.048895768263</v>
      </c>
      <c r="E1395" s="3" t="n">
        <f aca="false">C1395*100/C$2</f>
        <v>110.067998300042</v>
      </c>
      <c r="F1395" s="0" t="n">
        <v>107.79595898173</v>
      </c>
      <c r="G1395" s="0" t="n">
        <v>102.438866863021</v>
      </c>
      <c r="H1395" s="0" t="n">
        <v>109.243518912027</v>
      </c>
      <c r="I1395" s="0" t="n">
        <v>6.80465204900602</v>
      </c>
    </row>
    <row r="1396" customFormat="false" ht="13.8" hidden="false" customHeight="false" outlineLevel="0" collapsed="false">
      <c r="A1396" s="2" t="n">
        <v>41411</v>
      </c>
      <c r="B1396" s="0" t="n">
        <v>1667.47</v>
      </c>
      <c r="C1396" s="0" t="n">
        <v>258.99</v>
      </c>
      <c r="D1396" s="3" t="n">
        <f aca="false">B1396*100/B$2</f>
        <v>115.223610381713</v>
      </c>
      <c r="E1396" s="3" t="n">
        <f aca="false">C1396*100/C$2</f>
        <v>110.067998300042</v>
      </c>
      <c r="F1396" s="0" t="n">
        <v>107.332983222311</v>
      </c>
      <c r="G1396" s="0" t="n">
        <v>102.284214341379</v>
      </c>
      <c r="H1396" s="0" t="n">
        <v>107.42456438589</v>
      </c>
      <c r="I1396" s="0" t="n">
        <v>5.14035004451161</v>
      </c>
    </row>
    <row r="1397" customFormat="false" ht="13.8" hidden="false" customHeight="false" outlineLevel="0" collapsed="false">
      <c r="A1397" s="2" t="n">
        <v>41414</v>
      </c>
      <c r="B1397" s="0" t="n">
        <v>1666.29</v>
      </c>
      <c r="C1397" s="0" t="n">
        <v>258.6</v>
      </c>
      <c r="D1397" s="3" t="n">
        <f aca="false">B1397*100/B$2</f>
        <v>115.142071367368</v>
      </c>
      <c r="E1397" s="3" t="n">
        <f aca="false">C1397*100/C$2</f>
        <v>109.902252443689</v>
      </c>
      <c r="F1397" s="0" t="n">
        <v>108.009480637939</v>
      </c>
      <c r="G1397" s="0" t="n">
        <v>102.510191682704</v>
      </c>
      <c r="H1397" s="0" t="n">
        <v>107.263068423289</v>
      </c>
      <c r="I1397" s="0" t="n">
        <v>4.75287674058538</v>
      </c>
    </row>
    <row r="1398" customFormat="false" ht="13.8" hidden="false" customHeight="false" outlineLevel="0" collapsed="false">
      <c r="A1398" s="2" t="n">
        <v>41415</v>
      </c>
      <c r="B1398" s="0" t="n">
        <v>1669.16</v>
      </c>
      <c r="C1398" s="0" t="n">
        <v>258.18</v>
      </c>
      <c r="D1398" s="3" t="n">
        <f aca="false">B1398*100/B$2</f>
        <v>115.340390834462</v>
      </c>
      <c r="E1398" s="3" t="n">
        <f aca="false">C1398*100/C$2</f>
        <v>109.723756906077</v>
      </c>
      <c r="F1398" s="0" t="n">
        <v>108.392299400205</v>
      </c>
      <c r="G1398" s="0" t="n">
        <v>102.638068543883</v>
      </c>
      <c r="H1398" s="0" t="n">
        <v>107.322566935827</v>
      </c>
      <c r="I1398" s="0" t="n">
        <v>4.68449839194359</v>
      </c>
    </row>
    <row r="1399" customFormat="false" ht="13.8" hidden="false" customHeight="false" outlineLevel="0" collapsed="false">
      <c r="A1399" s="2" t="n">
        <v>41416</v>
      </c>
      <c r="B1399" s="0" t="n">
        <v>1655.35</v>
      </c>
      <c r="C1399" s="0" t="n">
        <v>260.19</v>
      </c>
      <c r="D1399" s="3" t="n">
        <f aca="false">B1399*100/B$2</f>
        <v>114.386107963183</v>
      </c>
      <c r="E1399" s="3" t="n">
        <f aca="false">C1399*100/C$2</f>
        <v>110.577985550361</v>
      </c>
      <c r="F1399" s="0" t="n">
        <v>109.713507836037</v>
      </c>
      <c r="G1399" s="0" t="n">
        <v>103.079405292212</v>
      </c>
      <c r="H1399" s="0" t="n">
        <v>108.091797705057</v>
      </c>
      <c r="I1399" s="0" t="n">
        <v>5.01239241284551</v>
      </c>
    </row>
    <row r="1400" customFormat="false" ht="13.8" hidden="false" customHeight="false" outlineLevel="0" collapsed="false">
      <c r="A1400" s="2" t="n">
        <v>41417</v>
      </c>
      <c r="B1400" s="0" t="n">
        <v>1650.51</v>
      </c>
      <c r="C1400" s="0" t="n">
        <v>256.66</v>
      </c>
      <c r="D1400" s="3" t="n">
        <f aca="false">B1400*100/B$2</f>
        <v>114.051659802648</v>
      </c>
      <c r="E1400" s="3" t="n">
        <f aca="false">C1400*100/C$2</f>
        <v>109.077773055674</v>
      </c>
      <c r="F1400" s="0" t="n">
        <v>110.103236684264</v>
      </c>
      <c r="G1400" s="0" t="n">
        <v>103.209590399983</v>
      </c>
      <c r="H1400" s="0" t="n">
        <v>108.873778155546</v>
      </c>
      <c r="I1400" s="0" t="n">
        <v>5.6641877555636</v>
      </c>
    </row>
    <row r="1401" customFormat="false" ht="13.8" hidden="false" customHeight="false" outlineLevel="0" collapsed="false">
      <c r="A1401" s="2" t="n">
        <v>41418</v>
      </c>
      <c r="B1401" s="0" t="n">
        <v>1649.6</v>
      </c>
      <c r="C1401" s="0" t="n">
        <v>257.32</v>
      </c>
      <c r="D1401" s="3" t="n">
        <f aca="false">B1401*100/B$2</f>
        <v>113.988778020399</v>
      </c>
      <c r="E1401" s="3" t="n">
        <f aca="false">C1401*100/C$2</f>
        <v>109.358266043349</v>
      </c>
      <c r="F1401" s="0" t="n">
        <v>109.790900798806</v>
      </c>
      <c r="G1401" s="0" t="n">
        <v>103.105257654039</v>
      </c>
      <c r="H1401" s="0" t="n">
        <v>107.097322566936</v>
      </c>
      <c r="I1401" s="0" t="n">
        <v>3.99206491289716</v>
      </c>
    </row>
    <row r="1402" customFormat="false" ht="13.8" hidden="false" customHeight="false" outlineLevel="0" collapsed="false">
      <c r="A1402" s="2" t="n">
        <v>41421</v>
      </c>
      <c r="B1402" s="0" t="n">
        <v>1649.6</v>
      </c>
      <c r="C1402" s="0" t="n">
        <v>258.19</v>
      </c>
      <c r="D1402" s="3" t="n">
        <f aca="false">B1402*100/B$2</f>
        <v>113.988778020399</v>
      </c>
      <c r="E1402" s="3" t="n">
        <f aca="false">C1402*100/C$2</f>
        <v>109.72800679983</v>
      </c>
      <c r="F1402" s="0" t="n">
        <v>107.269410431466</v>
      </c>
      <c r="G1402" s="0" t="n">
        <v>102.262978472735</v>
      </c>
      <c r="H1402" s="0" t="n">
        <v>106.889077773056</v>
      </c>
      <c r="I1402" s="0" t="n">
        <v>4.62609930032036</v>
      </c>
    </row>
    <row r="1403" customFormat="false" ht="13.8" hidden="false" customHeight="false" outlineLevel="0" collapsed="false">
      <c r="A1403" s="2" t="n">
        <v>41422</v>
      </c>
      <c r="B1403" s="0" t="n">
        <v>1660.06</v>
      </c>
      <c r="C1403" s="0" t="n">
        <v>258.59</v>
      </c>
      <c r="D1403" s="3" t="n">
        <f aca="false">B1403*100/B$2</f>
        <v>114.711573011968</v>
      </c>
      <c r="E1403" s="3" t="n">
        <f aca="false">C1403*100/C$2</f>
        <v>109.898002549936</v>
      </c>
      <c r="F1403" s="0" t="n">
        <v>108.804140523508</v>
      </c>
      <c r="G1403" s="0" t="n">
        <v>102.775640040747</v>
      </c>
      <c r="H1403" s="0" t="n">
        <v>107.003824904377</v>
      </c>
      <c r="I1403" s="0" t="n">
        <v>4.22818486363036</v>
      </c>
    </row>
    <row r="1404" customFormat="false" ht="13.8" hidden="false" customHeight="false" outlineLevel="0" collapsed="false">
      <c r="A1404" s="2" t="n">
        <v>41423</v>
      </c>
      <c r="B1404" s="0" t="n">
        <v>1648.36</v>
      </c>
      <c r="C1404" s="0" t="n">
        <v>260.92</v>
      </c>
      <c r="D1404" s="3" t="n">
        <f aca="false">B1404*100/B$2</f>
        <v>113.903092954476</v>
      </c>
      <c r="E1404" s="3" t="n">
        <f aca="false">C1404*100/C$2</f>
        <v>110.888227794305</v>
      </c>
      <c r="F1404" s="0" t="n">
        <v>107.245225130601</v>
      </c>
      <c r="G1404" s="0" t="n">
        <v>102.254899609664</v>
      </c>
      <c r="H1404" s="0" t="n">
        <v>106.889077773056</v>
      </c>
      <c r="I1404" s="0" t="n">
        <v>4.63417816339124</v>
      </c>
    </row>
    <row r="1405" customFormat="false" ht="13.8" hidden="false" customHeight="false" outlineLevel="0" collapsed="false">
      <c r="A1405" s="2" t="n">
        <v>41424</v>
      </c>
      <c r="B1405" s="0" t="n">
        <v>1654.41</v>
      </c>
      <c r="C1405" s="0" t="n">
        <v>261.21</v>
      </c>
      <c r="D1405" s="3" t="n">
        <f aca="false">B1405*100/B$2</f>
        <v>114.321153155145</v>
      </c>
      <c r="E1405" s="3" t="n">
        <f aca="false">C1405*100/C$2</f>
        <v>111.011474713132</v>
      </c>
      <c r="F1405" s="0" t="n">
        <v>106.526576190608</v>
      </c>
      <c r="G1405" s="0" t="n">
        <v>102.01484196413</v>
      </c>
      <c r="H1405" s="0" t="n">
        <v>105.333616659584</v>
      </c>
      <c r="I1405" s="0" t="n">
        <v>3.3187746954536</v>
      </c>
    </row>
    <row r="1406" customFormat="false" ht="13.8" hidden="false" customHeight="false" outlineLevel="0" collapsed="false">
      <c r="A1406" s="2" t="n">
        <v>41425</v>
      </c>
      <c r="B1406" s="0" t="n">
        <v>1630.74</v>
      </c>
      <c r="C1406" s="0" t="n">
        <v>261.47</v>
      </c>
      <c r="D1406" s="3" t="n">
        <f aca="false">B1406*100/B$2</f>
        <v>112.685535808065</v>
      </c>
      <c r="E1406" s="3" t="n">
        <f aca="false">C1406*100/C$2</f>
        <v>111.121971950701</v>
      </c>
      <c r="F1406" s="0" t="n">
        <v>107.469111915752</v>
      </c>
      <c r="G1406" s="0" t="n">
        <v>102.329686799235</v>
      </c>
      <c r="H1406" s="0" t="n">
        <v>105.724606884828</v>
      </c>
      <c r="I1406" s="0" t="n">
        <v>3.39492008559309</v>
      </c>
    </row>
    <row r="1407" customFormat="false" ht="13.8" hidden="false" customHeight="false" outlineLevel="0" collapsed="false">
      <c r="A1407" s="2" t="n">
        <v>41428</v>
      </c>
      <c r="B1407" s="0" t="n">
        <v>1640.42</v>
      </c>
      <c r="C1407" s="0" t="n">
        <v>260.29</v>
      </c>
      <c r="D1407" s="3" t="n">
        <f aca="false">B1407*100/B$2</f>
        <v>113.354432129136</v>
      </c>
      <c r="E1407" s="3" t="n">
        <f aca="false">C1407*100/C$2</f>
        <v>110.620484487888</v>
      </c>
      <c r="F1407" s="0" t="n">
        <v>107.970093147959</v>
      </c>
      <c r="G1407" s="0" t="n">
        <v>102.497034677131</v>
      </c>
      <c r="H1407" s="0" t="n">
        <v>106.867828304292</v>
      </c>
      <c r="I1407" s="0" t="n">
        <v>4.37079362716092</v>
      </c>
    </row>
    <row r="1408" customFormat="false" ht="13.8" hidden="false" customHeight="false" outlineLevel="0" collapsed="false">
      <c r="A1408" s="2" t="n">
        <v>41429</v>
      </c>
      <c r="B1408" s="0" t="n">
        <v>1631.38</v>
      </c>
      <c r="C1408" s="0" t="n">
        <v>260.54</v>
      </c>
      <c r="D1408" s="3" t="n">
        <f aca="false">B1408*100/B$2</f>
        <v>112.729760358219</v>
      </c>
      <c r="E1408" s="3" t="n">
        <f aca="false">C1408*100/C$2</f>
        <v>110.726731831704</v>
      </c>
      <c r="F1408" s="0" t="n">
        <v>109.095055142486</v>
      </c>
      <c r="G1408" s="0" t="n">
        <v>102.872817222257</v>
      </c>
      <c r="H1408" s="0" t="n">
        <v>106.251593710157</v>
      </c>
      <c r="I1408" s="0" t="n">
        <v>3.37877648790058</v>
      </c>
    </row>
    <row r="1409" customFormat="false" ht="13.8" hidden="false" customHeight="false" outlineLevel="0" collapsed="false">
      <c r="A1409" s="2" t="n">
        <v>41430</v>
      </c>
      <c r="B1409" s="0" t="n">
        <v>1608.9</v>
      </c>
      <c r="C1409" s="0" t="n">
        <v>256.51</v>
      </c>
      <c r="D1409" s="3" t="n">
        <f aca="false">B1409*100/B$2</f>
        <v>111.176373034081</v>
      </c>
      <c r="E1409" s="3" t="n">
        <f aca="false">C1409*100/C$2</f>
        <v>109.014024649384</v>
      </c>
      <c r="F1409" s="0" t="n">
        <v>109.095746151082</v>
      </c>
      <c r="G1409" s="0" t="n">
        <v>102.873048046916</v>
      </c>
      <c r="H1409" s="0" t="n">
        <v>107.097322566936</v>
      </c>
      <c r="I1409" s="0" t="n">
        <v>4.22427452001998</v>
      </c>
    </row>
    <row r="1410" customFormat="false" ht="13.8" hidden="false" customHeight="false" outlineLevel="0" collapsed="false">
      <c r="A1410" s="2" t="n">
        <v>41431</v>
      </c>
      <c r="B1410" s="0" t="n">
        <v>1622.56</v>
      </c>
      <c r="C1410" s="0" t="n">
        <v>256.51</v>
      </c>
      <c r="D1410" s="3" t="n">
        <f aca="false">B1410*100/B$2</f>
        <v>112.120290776417</v>
      </c>
      <c r="E1410" s="3" t="n">
        <f aca="false">C1410*100/C$2</f>
        <v>109.014024649384</v>
      </c>
      <c r="F1410" s="0" t="n">
        <v>109.535918626828</v>
      </c>
      <c r="G1410" s="0" t="n">
        <v>103.020083354806</v>
      </c>
      <c r="H1410" s="0" t="n">
        <v>108.155546111347</v>
      </c>
      <c r="I1410" s="0" t="n">
        <v>5.13546275654147</v>
      </c>
    </row>
    <row r="1411" customFormat="false" ht="13.8" hidden="false" customHeight="false" outlineLevel="0" collapsed="false">
      <c r="A1411" s="2" t="n">
        <v>41432</v>
      </c>
      <c r="B1411" s="0" t="n">
        <v>1643.38</v>
      </c>
      <c r="C1411" s="0" t="n">
        <v>251.2</v>
      </c>
      <c r="D1411" s="3" t="n">
        <f aca="false">B1411*100/B$2</f>
        <v>113.558970673595</v>
      </c>
      <c r="E1411" s="3" t="n">
        <f aca="false">C1411*100/C$2</f>
        <v>106.757331066723</v>
      </c>
      <c r="F1411" s="0" t="n">
        <v>109.334144116753</v>
      </c>
      <c r="G1411" s="0" t="n">
        <v>102.952682554329</v>
      </c>
      <c r="H1411" s="0" t="n">
        <v>107.539311517212</v>
      </c>
      <c r="I1411" s="0" t="n">
        <v>4.58662896288334</v>
      </c>
    </row>
    <row r="1412" customFormat="false" ht="13.8" hidden="false" customHeight="false" outlineLevel="0" collapsed="false">
      <c r="A1412" s="2" t="n">
        <v>41435</v>
      </c>
      <c r="B1412" s="0" t="n">
        <v>1642.81</v>
      </c>
      <c r="C1412" s="0" t="n">
        <v>252.2</v>
      </c>
      <c r="D1412" s="3" t="n">
        <f aca="false">B1412*100/B$2</f>
        <v>113.519583183615</v>
      </c>
      <c r="E1412" s="3" t="n">
        <f aca="false">C1412*100/C$2</f>
        <v>107.182320441989</v>
      </c>
      <c r="F1412" s="0" t="n">
        <v>110.119820890572</v>
      </c>
      <c r="G1412" s="0" t="n">
        <v>103.215130191803</v>
      </c>
      <c r="H1412" s="0" t="n">
        <v>107.203569910752</v>
      </c>
      <c r="I1412" s="0" t="n">
        <v>3.98843971894969</v>
      </c>
    </row>
    <row r="1413" customFormat="false" ht="13.8" hidden="false" customHeight="false" outlineLevel="0" collapsed="false">
      <c r="A1413" s="2" t="n">
        <v>41436</v>
      </c>
      <c r="B1413" s="0" t="n">
        <v>1626.13</v>
      </c>
      <c r="C1413" s="0" t="n">
        <v>250.19</v>
      </c>
      <c r="D1413" s="3" t="n">
        <f aca="false">B1413*100/B$2</f>
        <v>112.366980845242</v>
      </c>
      <c r="E1413" s="3" t="n">
        <f aca="false">C1413*100/C$2</f>
        <v>106.328091797705</v>
      </c>
      <c r="F1413" s="0" t="n">
        <v>110.393460294646</v>
      </c>
      <c r="G1413" s="0" t="n">
        <v>103.306536756833</v>
      </c>
      <c r="H1413" s="0" t="n">
        <v>108.678283042924</v>
      </c>
      <c r="I1413" s="0" t="n">
        <v>5.37174628609094</v>
      </c>
    </row>
    <row r="1414" customFormat="false" ht="13.8" hidden="false" customHeight="false" outlineLevel="0" collapsed="false">
      <c r="A1414" s="2" t="n">
        <v>41437</v>
      </c>
      <c r="B1414" s="0" t="n">
        <v>1612.52</v>
      </c>
      <c r="C1414" s="0" t="n">
        <v>248.5</v>
      </c>
      <c r="D1414" s="3" t="n">
        <f aca="false">B1414*100/B$2</f>
        <v>111.426518145886</v>
      </c>
      <c r="E1414" s="3" t="n">
        <f aca="false">C1414*100/C$2</f>
        <v>105.609859753506</v>
      </c>
      <c r="F1414" s="0" t="n">
        <v>109.365930512176</v>
      </c>
      <c r="G1414" s="0" t="n">
        <v>102.96330048865</v>
      </c>
      <c r="H1414" s="0" t="n">
        <v>108.678283042924</v>
      </c>
      <c r="I1414" s="0" t="n">
        <v>5.71498255427348</v>
      </c>
    </row>
    <row r="1415" customFormat="false" ht="13.8" hidden="false" customHeight="false" outlineLevel="0" collapsed="false">
      <c r="A1415" s="2" t="n">
        <v>41438</v>
      </c>
      <c r="B1415" s="0" t="n">
        <v>1636.36</v>
      </c>
      <c r="C1415" s="0" t="n">
        <v>244.49</v>
      </c>
      <c r="D1415" s="3" t="n">
        <f aca="false">B1415*100/B$2</f>
        <v>113.0738826391</v>
      </c>
      <c r="E1415" s="3" t="n">
        <f aca="false">C1415*100/C$2</f>
        <v>103.905652358691</v>
      </c>
      <c r="F1415" s="0" t="n">
        <v>110.394842311838</v>
      </c>
      <c r="G1415" s="0" t="n">
        <v>103.306998406151</v>
      </c>
      <c r="H1415" s="0" t="n">
        <v>108.338291542711</v>
      </c>
      <c r="I1415" s="0" t="n">
        <v>5.03129313656012</v>
      </c>
    </row>
    <row r="1416" customFormat="false" ht="13.8" hidden="false" customHeight="false" outlineLevel="0" collapsed="false">
      <c r="A1416" s="2" t="n">
        <v>41439</v>
      </c>
      <c r="B1416" s="0" t="n">
        <v>1626.73</v>
      </c>
      <c r="C1416" s="0" t="n">
        <v>245.36</v>
      </c>
      <c r="D1416" s="3" t="n">
        <f aca="false">B1416*100/B$2</f>
        <v>112.408441361011</v>
      </c>
      <c r="E1416" s="3" t="n">
        <f aca="false">C1416*100/C$2</f>
        <v>104.275393115172</v>
      </c>
      <c r="F1416" s="0" t="n">
        <v>111.557809779154</v>
      </c>
      <c r="G1416" s="0" t="n">
        <v>103.695476307531</v>
      </c>
      <c r="H1416" s="0" t="n">
        <v>108.805779855504</v>
      </c>
      <c r="I1416" s="0" t="n">
        <v>5.11030354797285</v>
      </c>
    </row>
    <row r="1417" customFormat="false" ht="13.8" hidden="false" customHeight="false" outlineLevel="0" collapsed="false">
      <c r="A1417" s="2" t="n">
        <v>41442</v>
      </c>
      <c r="B1417" s="0" t="n">
        <v>1639.04</v>
      </c>
      <c r="C1417" s="0" t="n">
        <v>244.77</v>
      </c>
      <c r="D1417" s="3" t="n">
        <f aca="false">B1417*100/B$2</f>
        <v>113.259072942867</v>
      </c>
      <c r="E1417" s="3" t="n">
        <f aca="false">C1417*100/C$2</f>
        <v>104.024649383765</v>
      </c>
      <c r="F1417" s="0" t="n">
        <v>111.770640426767</v>
      </c>
      <c r="G1417" s="0" t="n">
        <v>103.766570302554</v>
      </c>
      <c r="H1417" s="0" t="n">
        <v>108.457288567786</v>
      </c>
      <c r="I1417" s="0" t="n">
        <v>4.69071826523135</v>
      </c>
    </row>
    <row r="1418" customFormat="false" ht="13.8" hidden="false" customHeight="false" outlineLevel="0" collapsed="false">
      <c r="A1418" s="2" t="n">
        <v>41443</v>
      </c>
      <c r="B1418" s="0" t="n">
        <v>1651.81</v>
      </c>
      <c r="C1418" s="0" t="n">
        <v>247.13</v>
      </c>
      <c r="D1418" s="3" t="n">
        <f aca="false">B1418*100/B$2</f>
        <v>114.141490920147</v>
      </c>
      <c r="E1418" s="3" t="n">
        <f aca="false">C1418*100/C$2</f>
        <v>105.027624309392</v>
      </c>
      <c r="F1418" s="0" t="n">
        <v>112.355233699107</v>
      </c>
      <c r="G1418" s="0" t="n">
        <v>103.96184796421</v>
      </c>
      <c r="H1418" s="0" t="n">
        <v>107.879303017425</v>
      </c>
      <c r="I1418" s="0" t="n">
        <v>3.91745505321416</v>
      </c>
    </row>
    <row r="1419" customFormat="false" ht="13.8" hidden="false" customHeight="false" outlineLevel="0" collapsed="false">
      <c r="A1419" s="2" t="n">
        <v>41444</v>
      </c>
      <c r="B1419" s="0" t="n">
        <v>1628.93</v>
      </c>
      <c r="C1419" s="0" t="n">
        <v>245.44</v>
      </c>
      <c r="D1419" s="3" t="n">
        <f aca="false">B1419*100/B$2</f>
        <v>112.560463252163</v>
      </c>
      <c r="E1419" s="3" t="n">
        <f aca="false">C1419*100/C$2</f>
        <v>104.309392265193</v>
      </c>
      <c r="F1419" s="0" t="n">
        <v>112.820282484314</v>
      </c>
      <c r="G1419" s="0" t="n">
        <v>104.11719295983</v>
      </c>
      <c r="H1419" s="0" t="n">
        <v>107.955801104972</v>
      </c>
      <c r="I1419" s="0" t="n">
        <v>3.83860814514203</v>
      </c>
    </row>
    <row r="1420" customFormat="false" ht="13.8" hidden="false" customHeight="false" outlineLevel="0" collapsed="false">
      <c r="A1420" s="2" t="n">
        <v>41445</v>
      </c>
      <c r="B1420" s="0" t="n">
        <v>1588.19</v>
      </c>
      <c r="C1420" s="0" t="n">
        <v>240.26</v>
      </c>
      <c r="D1420" s="3" t="n">
        <f aca="false">B1420*100/B$2</f>
        <v>109.74529423146</v>
      </c>
      <c r="E1420" s="3" t="n">
        <f aca="false">C1420*100/C$2</f>
        <v>102.107947301317</v>
      </c>
      <c r="F1420" s="0" t="n">
        <v>112.404295309434</v>
      </c>
      <c r="G1420" s="0" t="n">
        <v>103.978236515011</v>
      </c>
      <c r="H1420" s="0" t="n">
        <v>109.447513812155</v>
      </c>
      <c r="I1420" s="0" t="n">
        <v>5.46927729714336</v>
      </c>
    </row>
    <row r="1421" customFormat="false" ht="13.8" hidden="false" customHeight="false" outlineLevel="0" collapsed="false">
      <c r="A1421" s="2" t="n">
        <v>41446</v>
      </c>
      <c r="B1421" s="0" t="n">
        <v>1592.43</v>
      </c>
      <c r="C1421" s="0" t="n">
        <v>236.57</v>
      </c>
      <c r="D1421" s="3" t="n">
        <f aca="false">B1421*100/B$2</f>
        <v>110.038281876227</v>
      </c>
      <c r="E1421" s="3" t="n">
        <f aca="false">C1421*100/C$2</f>
        <v>100.539736506587</v>
      </c>
      <c r="F1421" s="0" t="n">
        <v>112.890074352525</v>
      </c>
      <c r="G1421" s="0" t="n">
        <v>104.140506250406</v>
      </c>
      <c r="H1421" s="0" t="n">
        <v>107.403314917127</v>
      </c>
      <c r="I1421" s="0" t="n">
        <v>3.26280866672077</v>
      </c>
    </row>
    <row r="1422" customFormat="false" ht="13.8" hidden="false" customHeight="false" outlineLevel="0" collapsed="false">
      <c r="A1422" s="2" t="n">
        <v>41449</v>
      </c>
      <c r="B1422" s="0" t="n">
        <v>1573.09</v>
      </c>
      <c r="C1422" s="0" t="n">
        <v>233.47</v>
      </c>
      <c r="D1422" s="3" t="n">
        <f aca="false">B1422*100/B$2</f>
        <v>108.701871251278</v>
      </c>
      <c r="E1422" s="3" t="n">
        <f aca="false">C1422*100/C$2</f>
        <v>99.2222694432639</v>
      </c>
      <c r="F1422" s="0" t="n">
        <v>112.894911412698</v>
      </c>
      <c r="G1422" s="0" t="n">
        <v>104.14212202302</v>
      </c>
      <c r="H1422" s="0" t="n">
        <v>107.645558861028</v>
      </c>
      <c r="I1422" s="0" t="n">
        <v>3.503436838008</v>
      </c>
    </row>
    <row r="1423" customFormat="false" ht="13.8" hidden="false" customHeight="false" outlineLevel="0" collapsed="false">
      <c r="A1423" s="2" t="n">
        <v>41450</v>
      </c>
      <c r="B1423" s="0" t="n">
        <v>1588.03</v>
      </c>
      <c r="C1423" s="0" t="n">
        <v>231.75</v>
      </c>
      <c r="D1423" s="3" t="n">
        <f aca="false">B1423*100/B$2</f>
        <v>109.734238093922</v>
      </c>
      <c r="E1423" s="3" t="n">
        <f aca="false">C1423*100/C$2</f>
        <v>98.4912877178071</v>
      </c>
      <c r="F1423" s="0" t="n">
        <v>114.039912656513</v>
      </c>
      <c r="G1423" s="0" t="n">
        <v>104.524598483262</v>
      </c>
      <c r="H1423" s="0" t="n">
        <v>108.920526986825</v>
      </c>
      <c r="I1423" s="0" t="n">
        <v>4.39592850356381</v>
      </c>
    </row>
    <row r="1424" customFormat="false" ht="13.8" hidden="false" customHeight="false" outlineLevel="0" collapsed="false">
      <c r="A1424" s="2" t="n">
        <v>41451</v>
      </c>
      <c r="B1424" s="0" t="n">
        <v>1603.26</v>
      </c>
      <c r="C1424" s="0" t="n">
        <v>231.52</v>
      </c>
      <c r="D1424" s="3" t="n">
        <f aca="false">B1424*100/B$2</f>
        <v>110.786644185854</v>
      </c>
      <c r="E1424" s="3" t="n">
        <f aca="false">C1424*100/C$2</f>
        <v>98.393540161496</v>
      </c>
      <c r="F1424" s="0" t="n">
        <v>114.623123911661</v>
      </c>
      <c r="G1424" s="0" t="n">
        <v>104.719414495599</v>
      </c>
      <c r="H1424" s="0" t="n">
        <v>109.052273693158</v>
      </c>
      <c r="I1424" s="0" t="n">
        <v>4.33285919755853</v>
      </c>
    </row>
    <row r="1425" customFormat="false" ht="13.8" hidden="false" customHeight="false" outlineLevel="0" collapsed="false">
      <c r="A1425" s="2" t="n">
        <v>41452</v>
      </c>
      <c r="B1425" s="0" t="n">
        <v>1613.2</v>
      </c>
      <c r="C1425" s="0" t="n">
        <v>238.65</v>
      </c>
      <c r="D1425" s="3" t="n">
        <f aca="false">B1425*100/B$2</f>
        <v>111.473506730424</v>
      </c>
      <c r="E1425" s="3" t="n">
        <f aca="false">C1425*100/C$2</f>
        <v>101.42371440714</v>
      </c>
      <c r="F1425" s="0" t="n">
        <v>114.048895768263</v>
      </c>
      <c r="G1425" s="0" t="n">
        <v>104.527599203831</v>
      </c>
      <c r="H1425" s="0" t="n">
        <v>110.067998300042</v>
      </c>
      <c r="I1425" s="0" t="n">
        <v>5.54039909621179</v>
      </c>
    </row>
    <row r="1426" customFormat="false" ht="13.8" hidden="false" customHeight="false" outlineLevel="0" collapsed="false">
      <c r="A1426" s="2" t="n">
        <v>41453</v>
      </c>
      <c r="B1426" s="0" t="n">
        <v>1606.28</v>
      </c>
      <c r="C1426" s="0" t="n">
        <v>242.27</v>
      </c>
      <c r="D1426" s="3" t="n">
        <f aca="false">B1426*100/B$2</f>
        <v>110.99532878189</v>
      </c>
      <c r="E1426" s="3" t="n">
        <f aca="false">C1426*100/C$2</f>
        <v>102.962175945601</v>
      </c>
      <c r="F1426" s="0" t="n">
        <v>115.223610381713</v>
      </c>
      <c r="G1426" s="0" t="n">
        <v>104.920001124416</v>
      </c>
      <c r="H1426" s="0" t="n">
        <v>110.067998300042</v>
      </c>
      <c r="I1426" s="0" t="n">
        <v>5.1479971756265</v>
      </c>
    </row>
    <row r="1427" customFormat="false" ht="13.8" hidden="false" customHeight="false" outlineLevel="0" collapsed="false">
      <c r="A1427" s="2" t="n">
        <v>41456</v>
      </c>
      <c r="B1427" s="0" t="n">
        <v>1614.96</v>
      </c>
      <c r="C1427" s="0" t="n">
        <v>241.05</v>
      </c>
      <c r="D1427" s="3" t="n">
        <f aca="false">B1427*100/B$2</f>
        <v>111.595124243346</v>
      </c>
      <c r="E1427" s="3" t="n">
        <f aca="false">C1427*100/C$2</f>
        <v>102.443688907777</v>
      </c>
      <c r="F1427" s="0" t="n">
        <v>115.142071367368</v>
      </c>
      <c r="G1427" s="0" t="n">
        <v>104.892763814634</v>
      </c>
      <c r="H1427" s="0" t="n">
        <v>109.902252443689</v>
      </c>
      <c r="I1427" s="0" t="n">
        <v>5.00948862905474</v>
      </c>
    </row>
    <row r="1428" customFormat="false" ht="13.8" hidden="false" customHeight="false" outlineLevel="0" collapsed="false">
      <c r="A1428" s="2" t="n">
        <v>41457</v>
      </c>
      <c r="B1428" s="0" t="n">
        <v>1614.08</v>
      </c>
      <c r="C1428" s="0" t="n">
        <v>240.8</v>
      </c>
      <c r="D1428" s="3" t="n">
        <f aca="false">B1428*100/B$2</f>
        <v>111.534315486885</v>
      </c>
      <c r="E1428" s="3" t="n">
        <f aca="false">C1428*100/C$2</f>
        <v>102.337441563961</v>
      </c>
      <c r="F1428" s="0" t="n">
        <v>115.340390834462</v>
      </c>
      <c r="G1428" s="0" t="n">
        <v>104.959010491815</v>
      </c>
      <c r="H1428" s="0" t="n">
        <v>109.723756906077</v>
      </c>
      <c r="I1428" s="0" t="n">
        <v>4.76474641426199</v>
      </c>
    </row>
    <row r="1429" customFormat="false" ht="13.8" hidden="false" customHeight="false" outlineLevel="0" collapsed="false">
      <c r="A1429" s="2" t="n">
        <v>41458</v>
      </c>
      <c r="B1429" s="0" t="n">
        <v>1615.41</v>
      </c>
      <c r="C1429" s="0" t="n">
        <v>236.63</v>
      </c>
      <c r="D1429" s="3" t="n">
        <f aca="false">B1429*100/B$2</f>
        <v>111.626219630172</v>
      </c>
      <c r="E1429" s="3" t="n">
        <f aca="false">C1429*100/C$2</f>
        <v>100.565235869103</v>
      </c>
      <c r="F1429" s="0" t="n">
        <v>114.386107963183</v>
      </c>
      <c r="G1429" s="0" t="n">
        <v>104.640241637505</v>
      </c>
      <c r="H1429" s="0" t="n">
        <v>110.577985550361</v>
      </c>
      <c r="I1429" s="0" t="n">
        <v>5.93774391285663</v>
      </c>
    </row>
    <row r="1430" customFormat="false" ht="13.8" hidden="false" customHeight="false" outlineLevel="0" collapsed="false">
      <c r="A1430" s="2" t="n">
        <v>41459</v>
      </c>
      <c r="B1430" s="0" t="n">
        <v>1615.41</v>
      </c>
      <c r="C1430" s="0" t="n">
        <v>238.56</v>
      </c>
      <c r="D1430" s="3" t="n">
        <f aca="false">B1430*100/B$2</f>
        <v>111.626219630172</v>
      </c>
      <c r="E1430" s="3" t="n">
        <f aca="false">C1430*100/C$2</f>
        <v>101.385465363366</v>
      </c>
      <c r="F1430" s="0" t="n">
        <v>114.051659802648</v>
      </c>
      <c r="G1430" s="0" t="n">
        <v>104.528522502467</v>
      </c>
      <c r="H1430" s="0" t="n">
        <v>109.077773055674</v>
      </c>
      <c r="I1430" s="0" t="n">
        <v>4.54925055320624</v>
      </c>
    </row>
    <row r="1431" customFormat="false" ht="13.8" hidden="false" customHeight="false" outlineLevel="0" collapsed="false">
      <c r="A1431" s="2" t="n">
        <v>41460</v>
      </c>
      <c r="B1431" s="0" t="n">
        <v>1631.89</v>
      </c>
      <c r="C1431" s="0" t="n">
        <v>237.28</v>
      </c>
      <c r="D1431" s="3" t="n">
        <f aca="false">B1431*100/B$2</f>
        <v>112.765001796622</v>
      </c>
      <c r="E1431" s="3" t="n">
        <f aca="false">C1431*100/C$2</f>
        <v>100.841478963026</v>
      </c>
      <c r="F1431" s="0" t="n">
        <v>113.988778020399</v>
      </c>
      <c r="G1431" s="0" t="n">
        <v>104.507517458483</v>
      </c>
      <c r="H1431" s="0" t="n">
        <v>109.358266043349</v>
      </c>
      <c r="I1431" s="0" t="n">
        <v>4.8507485848658</v>
      </c>
    </row>
    <row r="1432" customFormat="false" ht="13.8" hidden="false" customHeight="false" outlineLevel="0" collapsed="false">
      <c r="A1432" s="2" t="n">
        <v>41463</v>
      </c>
      <c r="B1432" s="0" t="n">
        <v>1640.46</v>
      </c>
      <c r="C1432" s="0" t="n">
        <v>235.12</v>
      </c>
      <c r="D1432" s="3" t="n">
        <f aca="false">B1432*100/B$2</f>
        <v>113.35719616352</v>
      </c>
      <c r="E1432" s="3" t="n">
        <f aca="false">C1432*100/C$2</f>
        <v>99.9235019124522</v>
      </c>
      <c r="F1432" s="0" t="n">
        <v>113.988778020399</v>
      </c>
      <c r="G1432" s="0" t="n">
        <v>104.507517458483</v>
      </c>
      <c r="H1432" s="0" t="n">
        <v>109.72800679983</v>
      </c>
      <c r="I1432" s="0" t="n">
        <v>5.22048934134689</v>
      </c>
    </row>
    <row r="1433" customFormat="false" ht="13.8" hidden="false" customHeight="false" outlineLevel="0" collapsed="false">
      <c r="A1433" s="2" t="n">
        <v>41464</v>
      </c>
      <c r="B1433" s="0" t="n">
        <v>1652.32</v>
      </c>
      <c r="C1433" s="0" t="n">
        <v>236.94</v>
      </c>
      <c r="D1433" s="3" t="n">
        <f aca="false">B1433*100/B$2</f>
        <v>114.176732358551</v>
      </c>
      <c r="E1433" s="3" t="n">
        <f aca="false">C1433*100/C$2</f>
        <v>100.696982575436</v>
      </c>
      <c r="F1433" s="0" t="n">
        <v>114.711573011968</v>
      </c>
      <c r="G1433" s="0" t="n">
        <v>104.748960051973</v>
      </c>
      <c r="H1433" s="0" t="n">
        <v>109.898002549936</v>
      </c>
      <c r="I1433" s="0" t="n">
        <v>5.14904249796359</v>
      </c>
    </row>
    <row r="1434" customFormat="false" ht="13.8" hidden="false" customHeight="false" outlineLevel="0" collapsed="false">
      <c r="A1434" s="2" t="n">
        <v>41465</v>
      </c>
      <c r="B1434" s="0" t="n">
        <v>1652.62</v>
      </c>
      <c r="C1434" s="0" t="n">
        <v>236.23</v>
      </c>
      <c r="D1434" s="3" t="n">
        <f aca="false">B1434*100/B$2</f>
        <v>114.197462616435</v>
      </c>
      <c r="E1434" s="3" t="n">
        <f aca="false">C1434*100/C$2</f>
        <v>100.395240118997</v>
      </c>
      <c r="F1434" s="0" t="n">
        <v>113.903092954476</v>
      </c>
      <c r="G1434" s="0" t="n">
        <v>104.478895200746</v>
      </c>
      <c r="H1434" s="0" t="n">
        <v>110.888227794305</v>
      </c>
      <c r="I1434" s="0" t="n">
        <v>6.40933259355883</v>
      </c>
    </row>
    <row r="1435" customFormat="false" ht="13.8" hidden="false" customHeight="false" outlineLevel="0" collapsed="false">
      <c r="A1435" s="2" t="n">
        <v>41466</v>
      </c>
      <c r="B1435" s="0" t="n">
        <v>1675.02</v>
      </c>
      <c r="C1435" s="0" t="n">
        <v>243.88</v>
      </c>
      <c r="D1435" s="3" t="n">
        <f aca="false">B1435*100/B$2</f>
        <v>115.745321871804</v>
      </c>
      <c r="E1435" s="3" t="n">
        <f aca="false">C1435*100/C$2</f>
        <v>103.646408839779</v>
      </c>
      <c r="F1435" s="0" t="n">
        <v>114.321153155145</v>
      </c>
      <c r="G1435" s="0" t="n">
        <v>104.618544119543</v>
      </c>
      <c r="H1435" s="0" t="n">
        <v>111.011474713132</v>
      </c>
      <c r="I1435" s="0" t="n">
        <v>6.39293059358931</v>
      </c>
    </row>
    <row r="1436" customFormat="false" ht="13.8" hidden="false" customHeight="false" outlineLevel="0" collapsed="false">
      <c r="A1436" s="2" t="n">
        <v>41467</v>
      </c>
      <c r="B1436" s="0" t="n">
        <v>1680.19</v>
      </c>
      <c r="C1436" s="0" t="n">
        <v>242.72</v>
      </c>
      <c r="D1436" s="3" t="n">
        <f aca="false">B1436*100/B$2</f>
        <v>116.102573316012</v>
      </c>
      <c r="E1436" s="3" t="n">
        <f aca="false">C1436*100/C$2</f>
        <v>103.153421164471</v>
      </c>
      <c r="F1436" s="0" t="n">
        <v>112.685535808065</v>
      </c>
      <c r="G1436" s="0" t="n">
        <v>104.072182151293</v>
      </c>
      <c r="H1436" s="0" t="n">
        <v>111.121971950701</v>
      </c>
      <c r="I1436" s="0" t="n">
        <v>7.04978979940861</v>
      </c>
    </row>
    <row r="1437" customFormat="false" ht="13.8" hidden="false" customHeight="false" outlineLevel="0" collapsed="false">
      <c r="A1437" s="2" t="n">
        <v>41470</v>
      </c>
      <c r="B1437" s="0" t="n">
        <v>1682.5</v>
      </c>
      <c r="C1437" s="0" t="n">
        <v>243.43</v>
      </c>
      <c r="D1437" s="3" t="n">
        <f aca="false">B1437*100/B$2</f>
        <v>116.262196301722</v>
      </c>
      <c r="E1437" s="3" t="n">
        <f aca="false">C1437*100/C$2</f>
        <v>103.455163620909</v>
      </c>
      <c r="F1437" s="0" t="n">
        <v>113.354432129136</v>
      </c>
      <c r="G1437" s="0" t="n">
        <v>104.295620421367</v>
      </c>
      <c r="H1437" s="0" t="n">
        <v>110.620484487888</v>
      </c>
      <c r="I1437" s="0" t="n">
        <v>6.32486406652075</v>
      </c>
    </row>
    <row r="1438" customFormat="false" ht="13.8" hidden="false" customHeight="false" outlineLevel="0" collapsed="false">
      <c r="A1438" s="2" t="n">
        <v>41471</v>
      </c>
      <c r="B1438" s="0" t="n">
        <v>1676.26</v>
      </c>
      <c r="C1438" s="0" t="n">
        <v>242.02</v>
      </c>
      <c r="D1438" s="3" t="n">
        <f aca="false">B1438*100/B$2</f>
        <v>115.831006937726</v>
      </c>
      <c r="E1438" s="3" t="n">
        <f aca="false">C1438*100/C$2</f>
        <v>102.855928601785</v>
      </c>
      <c r="F1438" s="0" t="n">
        <v>112.729760358219</v>
      </c>
      <c r="G1438" s="0" t="n">
        <v>104.086954929479</v>
      </c>
      <c r="H1438" s="0" t="n">
        <v>110.726731831704</v>
      </c>
      <c r="I1438" s="0" t="n">
        <v>6.63977690222485</v>
      </c>
    </row>
    <row r="1439" customFormat="false" ht="13.8" hidden="false" customHeight="false" outlineLevel="0" collapsed="false">
      <c r="A1439" s="2" t="n">
        <v>41472</v>
      </c>
      <c r="B1439" s="0" t="n">
        <v>1680.91</v>
      </c>
      <c r="C1439" s="0" t="n">
        <v>244.82</v>
      </c>
      <c r="D1439" s="3" t="n">
        <f aca="false">B1439*100/B$2</f>
        <v>116.152325934935</v>
      </c>
      <c r="E1439" s="3" t="n">
        <f aca="false">C1439*100/C$2</f>
        <v>104.045898852529</v>
      </c>
      <c r="F1439" s="0" t="n">
        <v>111.176373034081</v>
      </c>
      <c r="G1439" s="0" t="n">
        <v>103.56806109567</v>
      </c>
      <c r="H1439" s="0" t="n">
        <v>109.014024649384</v>
      </c>
      <c r="I1439" s="0" t="n">
        <v>5.44596355371364</v>
      </c>
    </row>
    <row r="1440" customFormat="false" ht="13.8" hidden="false" customHeight="false" outlineLevel="0" collapsed="false">
      <c r="A1440" s="2" t="n">
        <v>41473</v>
      </c>
      <c r="B1440" s="0" t="n">
        <v>1689.37</v>
      </c>
      <c r="C1440" s="0" t="n">
        <v>242.92</v>
      </c>
      <c r="D1440" s="3" t="n">
        <f aca="false">B1440*100/B$2</f>
        <v>116.736919207275</v>
      </c>
      <c r="E1440" s="3" t="n">
        <f aca="false">C1440*100/C$2</f>
        <v>103.238419039524</v>
      </c>
      <c r="F1440" s="0" t="n">
        <v>112.120290776417</v>
      </c>
      <c r="G1440" s="0" t="n">
        <v>103.883367580093</v>
      </c>
      <c r="H1440" s="0" t="n">
        <v>109.014024649384</v>
      </c>
      <c r="I1440" s="0" t="n">
        <v>5.13065706929041</v>
      </c>
    </row>
    <row r="1441" customFormat="false" ht="13.8" hidden="false" customHeight="false" outlineLevel="0" collapsed="false">
      <c r="A1441" s="2" t="n">
        <v>41474</v>
      </c>
      <c r="B1441" s="0" t="n">
        <v>1692.09</v>
      </c>
      <c r="C1441" s="0" t="n">
        <v>242.03</v>
      </c>
      <c r="D1441" s="3" t="n">
        <f aca="false">B1441*100/B$2</f>
        <v>116.924873545427</v>
      </c>
      <c r="E1441" s="3" t="n">
        <f aca="false">C1441*100/C$2</f>
        <v>102.860178495538</v>
      </c>
      <c r="F1441" s="0" t="n">
        <v>113.558970673595</v>
      </c>
      <c r="G1441" s="0" t="n">
        <v>104.363944520481</v>
      </c>
      <c r="H1441" s="0" t="n">
        <v>106.757331066723</v>
      </c>
      <c r="I1441" s="0" t="n">
        <v>2.3933865462426</v>
      </c>
    </row>
    <row r="1442" customFormat="false" ht="13.8" hidden="false" customHeight="false" outlineLevel="0" collapsed="false">
      <c r="A1442" s="2" t="n">
        <v>41477</v>
      </c>
      <c r="B1442" s="0" t="n">
        <v>1695.53</v>
      </c>
      <c r="C1442" s="0" t="n">
        <v>243.18</v>
      </c>
      <c r="D1442" s="3" t="n">
        <f aca="false">B1442*100/B$2</f>
        <v>117.162580502501</v>
      </c>
      <c r="E1442" s="3" t="n">
        <f aca="false">C1442*100/C$2</f>
        <v>103.348916277093</v>
      </c>
      <c r="F1442" s="0" t="n">
        <v>113.519583183615</v>
      </c>
      <c r="G1442" s="0" t="n">
        <v>104.350787514908</v>
      </c>
      <c r="H1442" s="0" t="n">
        <v>107.182320441989</v>
      </c>
      <c r="I1442" s="0" t="n">
        <v>2.83153292708077</v>
      </c>
    </row>
    <row r="1443" customFormat="false" ht="13.8" hidden="false" customHeight="false" outlineLevel="0" collapsed="false">
      <c r="A1443" s="2" t="n">
        <v>41478</v>
      </c>
      <c r="B1443" s="0" t="n">
        <v>1692.39</v>
      </c>
      <c r="C1443" s="0" t="n">
        <v>246.63</v>
      </c>
      <c r="D1443" s="3" t="n">
        <f aca="false">B1443*100/B$2</f>
        <v>116.945603803311</v>
      </c>
      <c r="E1443" s="3" t="n">
        <f aca="false">C1443*100/C$2</f>
        <v>104.815129621759</v>
      </c>
      <c r="F1443" s="0" t="n">
        <v>112.366980845242</v>
      </c>
      <c r="G1443" s="0" t="n">
        <v>103.965771983416</v>
      </c>
      <c r="H1443" s="0" t="n">
        <v>106.328091797705</v>
      </c>
      <c r="I1443" s="0" t="n">
        <v>2.3623198142888</v>
      </c>
    </row>
    <row r="1444" customFormat="false" ht="13.8" hidden="false" customHeight="false" outlineLevel="0" collapsed="false">
      <c r="A1444" s="2" t="n">
        <v>41479</v>
      </c>
      <c r="B1444" s="0" t="n">
        <v>1685.94</v>
      </c>
      <c r="C1444" s="0" t="n">
        <v>247.84</v>
      </c>
      <c r="D1444" s="3" t="n">
        <f aca="false">B1444*100/B$2</f>
        <v>116.499903258797</v>
      </c>
      <c r="E1444" s="3" t="n">
        <f aca="false">C1444*100/C$2</f>
        <v>105.329366765831</v>
      </c>
      <c r="F1444" s="0" t="n">
        <v>111.426518145886</v>
      </c>
      <c r="G1444" s="0" t="n">
        <v>103.651619622289</v>
      </c>
      <c r="H1444" s="0" t="n">
        <v>105.609859753506</v>
      </c>
      <c r="I1444" s="0" t="n">
        <v>1.95824013121729</v>
      </c>
    </row>
    <row r="1445" customFormat="false" ht="13.8" hidden="false" customHeight="false" outlineLevel="0" collapsed="false">
      <c r="A1445" s="2" t="n">
        <v>41480</v>
      </c>
      <c r="B1445" s="0" t="n">
        <v>1690.25</v>
      </c>
      <c r="C1445" s="0" t="n">
        <v>247.71</v>
      </c>
      <c r="D1445" s="3" t="n">
        <f aca="false">B1445*100/B$2</f>
        <v>116.797727963736</v>
      </c>
      <c r="E1445" s="3" t="n">
        <f aca="false">C1445*100/C$2</f>
        <v>105.274118147046</v>
      </c>
      <c r="F1445" s="0" t="n">
        <v>113.0738826391</v>
      </c>
      <c r="G1445" s="0" t="n">
        <v>104.201905609745</v>
      </c>
      <c r="H1445" s="0" t="n">
        <v>103.905652358691</v>
      </c>
      <c r="I1445" s="0" t="n">
        <v>-0.296253251053898</v>
      </c>
    </row>
    <row r="1446" customFormat="false" ht="13.8" hidden="false" customHeight="false" outlineLevel="0" collapsed="false">
      <c r="A1446" s="2" t="n">
        <v>41481</v>
      </c>
      <c r="B1446" s="0" t="n">
        <v>1691.65</v>
      </c>
      <c r="C1446" s="0" t="n">
        <v>247.8</v>
      </c>
      <c r="D1446" s="3" t="n">
        <f aca="false">B1446*100/B$2</f>
        <v>116.894469167196</v>
      </c>
      <c r="E1446" s="3" t="n">
        <f aca="false">C1446*100/C$2</f>
        <v>105.31236719082</v>
      </c>
      <c r="F1446" s="0" t="n">
        <v>112.408441361011</v>
      </c>
      <c r="G1446" s="0" t="n">
        <v>103.979621462966</v>
      </c>
      <c r="H1446" s="0" t="n">
        <v>104.275393115172</v>
      </c>
      <c r="I1446" s="0" t="n">
        <v>0.295771652205801</v>
      </c>
    </row>
    <row r="1447" customFormat="false" ht="13.8" hidden="false" customHeight="false" outlineLevel="0" collapsed="false">
      <c r="A1447" s="2" t="n">
        <v>41484</v>
      </c>
      <c r="B1447" s="0" t="n">
        <v>1685.33</v>
      </c>
      <c r="C1447" s="0" t="n">
        <v>246.53</v>
      </c>
      <c r="D1447" s="3" t="n">
        <f aca="false">B1447*100/B$2</f>
        <v>116.457751734432</v>
      </c>
      <c r="E1447" s="3" t="n">
        <f aca="false">C1447*100/C$2</f>
        <v>104.772630684233</v>
      </c>
      <c r="F1447" s="0" t="n">
        <v>113.259072942867</v>
      </c>
      <c r="G1447" s="0" t="n">
        <v>104.263766618402</v>
      </c>
      <c r="H1447" s="0" t="n">
        <v>104.024649383765</v>
      </c>
      <c r="I1447" s="0" t="n">
        <v>-0.239117234636495</v>
      </c>
    </row>
    <row r="1448" customFormat="false" ht="13.8" hidden="false" customHeight="false" outlineLevel="0" collapsed="false">
      <c r="A1448" s="2" t="n">
        <v>41485</v>
      </c>
      <c r="B1448" s="0" t="n">
        <v>1685.96</v>
      </c>
      <c r="C1448" s="0" t="n">
        <v>248.78</v>
      </c>
      <c r="D1448" s="3" t="n">
        <f aca="false">B1448*100/B$2</f>
        <v>116.501285275989</v>
      </c>
      <c r="E1448" s="3" t="n">
        <f aca="false">C1448*100/C$2</f>
        <v>105.728856778581</v>
      </c>
      <c r="F1448" s="0" t="n">
        <v>114.141490920147</v>
      </c>
      <c r="G1448" s="0" t="n">
        <v>104.558529708159</v>
      </c>
      <c r="H1448" s="0" t="n">
        <v>105.027624309392</v>
      </c>
      <c r="I1448" s="0" t="n">
        <v>0.469094601233067</v>
      </c>
    </row>
    <row r="1449" customFormat="false" ht="13.8" hidden="false" customHeight="false" outlineLevel="0" collapsed="false">
      <c r="A1449" s="2" t="n">
        <v>41486</v>
      </c>
      <c r="B1449" s="0" t="n">
        <v>1685.73</v>
      </c>
      <c r="C1449" s="0" t="n">
        <v>247.99</v>
      </c>
      <c r="D1449" s="3" t="n">
        <f aca="false">B1449*100/B$2</f>
        <v>116.485392078277</v>
      </c>
      <c r="E1449" s="3" t="n">
        <f aca="false">C1449*100/C$2</f>
        <v>105.393115172121</v>
      </c>
      <c r="F1449" s="0" t="n">
        <v>112.560463252163</v>
      </c>
      <c r="G1449" s="0" t="n">
        <v>104.030402887983</v>
      </c>
      <c r="H1449" s="0" t="n">
        <v>104.309392265193</v>
      </c>
      <c r="I1449" s="0" t="n">
        <v>0.278989377210124</v>
      </c>
    </row>
    <row r="1450" customFormat="false" ht="13.8" hidden="false" customHeight="false" outlineLevel="0" collapsed="false">
      <c r="A1450" s="2" t="n">
        <v>41487</v>
      </c>
      <c r="B1450" s="0" t="n">
        <v>1706.87</v>
      </c>
      <c r="C1450" s="0" t="n">
        <v>248.89</v>
      </c>
      <c r="D1450" s="3" t="n">
        <f aca="false">B1450*100/B$2</f>
        <v>117.946184250532</v>
      </c>
      <c r="E1450" s="3" t="n">
        <f aca="false">C1450*100/C$2</f>
        <v>105.77560560986</v>
      </c>
      <c r="F1450" s="0" t="n">
        <v>109.74529423146</v>
      </c>
      <c r="G1450" s="0" t="n">
        <v>103.090023226534</v>
      </c>
      <c r="H1450" s="0" t="n">
        <v>102.107947301317</v>
      </c>
      <c r="I1450" s="0" t="n">
        <v>-0.982075925216108</v>
      </c>
    </row>
    <row r="1451" customFormat="false" ht="13.8" hidden="false" customHeight="false" outlineLevel="0" collapsed="false">
      <c r="A1451" s="2" t="n">
        <v>41488</v>
      </c>
      <c r="B1451" s="0" t="n">
        <v>1709.67</v>
      </c>
      <c r="C1451" s="0" t="n">
        <v>249.33</v>
      </c>
      <c r="D1451" s="3" t="n">
        <f aca="false">B1451*100/B$2</f>
        <v>118.139666657453</v>
      </c>
      <c r="E1451" s="3" t="n">
        <f aca="false">C1451*100/C$2</f>
        <v>105.962600934977</v>
      </c>
      <c r="F1451" s="0" t="n">
        <v>110.038281876227</v>
      </c>
      <c r="G1451" s="0" t="n">
        <v>103.187892882021</v>
      </c>
      <c r="H1451" s="0" t="n">
        <v>100.539736506587</v>
      </c>
      <c r="I1451" s="0" t="n">
        <v>-2.64815637543339</v>
      </c>
    </row>
    <row r="1452" customFormat="false" ht="13.8" hidden="false" customHeight="false" outlineLevel="0" collapsed="false">
      <c r="A1452" s="2" t="n">
        <v>41491</v>
      </c>
      <c r="B1452" s="0" t="n">
        <v>1707.14</v>
      </c>
      <c r="C1452" s="0" t="n">
        <v>248.25</v>
      </c>
      <c r="D1452" s="3" t="n">
        <f aca="false">B1452*100/B$2</f>
        <v>117.964841482628</v>
      </c>
      <c r="E1452" s="3" t="n">
        <f aca="false">C1452*100/C$2</f>
        <v>105.50361240969</v>
      </c>
      <c r="F1452" s="0" t="n">
        <v>108.701871251278</v>
      </c>
      <c r="G1452" s="0" t="n">
        <v>102.74147799119</v>
      </c>
      <c r="H1452" s="0" t="n">
        <v>99.2222694432639</v>
      </c>
      <c r="I1452" s="0" t="n">
        <v>-3.51920854792627</v>
      </c>
    </row>
    <row r="1453" customFormat="false" ht="13.8" hidden="false" customHeight="false" outlineLevel="0" collapsed="false">
      <c r="A1453" s="2" t="n">
        <v>41492</v>
      </c>
      <c r="B1453" s="0" t="n">
        <v>1697.37</v>
      </c>
      <c r="C1453" s="0" t="n">
        <v>246.8</v>
      </c>
      <c r="D1453" s="3" t="n">
        <f aca="false">B1453*100/B$2</f>
        <v>117.289726084192</v>
      </c>
      <c r="E1453" s="3" t="n">
        <f aca="false">C1453*100/C$2</f>
        <v>104.887377815555</v>
      </c>
      <c r="F1453" s="0" t="n">
        <v>109.734238093922</v>
      </c>
      <c r="G1453" s="0" t="n">
        <v>103.086330031987</v>
      </c>
      <c r="H1453" s="0" t="n">
        <v>98.4912877178071</v>
      </c>
      <c r="I1453" s="0" t="n">
        <v>-4.59504231417985</v>
      </c>
    </row>
    <row r="1454" customFormat="false" ht="13.8" hidden="false" customHeight="false" outlineLevel="0" collapsed="false">
      <c r="A1454" s="2" t="n">
        <v>41493</v>
      </c>
      <c r="B1454" s="0" t="n">
        <v>1690.91</v>
      </c>
      <c r="C1454" s="0" t="n">
        <v>242.75</v>
      </c>
      <c r="D1454" s="3" t="n">
        <f aca="false">B1454*100/B$2</f>
        <v>116.843334531082</v>
      </c>
      <c r="E1454" s="3" t="n">
        <f aca="false">C1454*100/C$2</f>
        <v>103.166170845729</v>
      </c>
      <c r="F1454" s="0" t="n">
        <v>110.786644185854</v>
      </c>
      <c r="G1454" s="0" t="n">
        <v>103.437875987899</v>
      </c>
      <c r="H1454" s="0" t="n">
        <v>98.393540161496</v>
      </c>
      <c r="I1454" s="0" t="n">
        <v>-5.04433582640351</v>
      </c>
    </row>
    <row r="1455" customFormat="false" ht="13.8" hidden="false" customHeight="false" outlineLevel="0" collapsed="false">
      <c r="A1455" s="2" t="n">
        <v>41494</v>
      </c>
      <c r="B1455" s="0" t="n">
        <v>1697.48</v>
      </c>
      <c r="C1455" s="0" t="n">
        <v>243.39</v>
      </c>
      <c r="D1455" s="3" t="n">
        <f aca="false">B1455*100/B$2</f>
        <v>117.29732717875</v>
      </c>
      <c r="E1455" s="3" t="n">
        <f aca="false">C1455*100/C$2</f>
        <v>103.438164045899</v>
      </c>
      <c r="F1455" s="0" t="n">
        <v>111.473506730424</v>
      </c>
      <c r="G1455" s="0" t="n">
        <v>103.667315699112</v>
      </c>
      <c r="H1455" s="0" t="n">
        <v>101.42371440714</v>
      </c>
      <c r="I1455" s="0" t="n">
        <v>-2.24360129197245</v>
      </c>
    </row>
    <row r="1456" customFormat="false" ht="13.8" hidden="false" customHeight="false" outlineLevel="0" collapsed="false">
      <c r="A1456" s="2" t="n">
        <v>41495</v>
      </c>
      <c r="B1456" s="0" t="n">
        <v>1691.42</v>
      </c>
      <c r="C1456" s="0" t="n">
        <v>243.13</v>
      </c>
      <c r="D1456" s="3" t="n">
        <f aca="false">B1456*100/B$2</f>
        <v>116.878575969485</v>
      </c>
      <c r="E1456" s="3" t="n">
        <f aca="false">C1456*100/C$2</f>
        <v>103.32766680833</v>
      </c>
      <c r="F1456" s="0" t="n">
        <v>110.99532878189</v>
      </c>
      <c r="G1456" s="0" t="n">
        <v>103.507585034968</v>
      </c>
      <c r="H1456" s="0" t="n">
        <v>102.962175945601</v>
      </c>
      <c r="I1456" s="0" t="n">
        <v>-0.545409089366785</v>
      </c>
    </row>
    <row r="1457" customFormat="false" ht="13.8" hidden="false" customHeight="false" outlineLevel="0" collapsed="false">
      <c r="A1457" s="2" t="n">
        <v>41498</v>
      </c>
      <c r="B1457" s="0" t="n">
        <v>1689.47</v>
      </c>
      <c r="C1457" s="0" t="n">
        <v>243.78</v>
      </c>
      <c r="D1457" s="3" t="n">
        <f aca="false">B1457*100/B$2</f>
        <v>116.743829293236</v>
      </c>
      <c r="E1457" s="3" t="n">
        <f aca="false">C1457*100/C$2</f>
        <v>103.603909902252</v>
      </c>
      <c r="F1457" s="0" t="n">
        <v>111.595124243346</v>
      </c>
      <c r="G1457" s="0" t="n">
        <v>103.707940839126</v>
      </c>
      <c r="H1457" s="0" t="n">
        <v>102.443688907777</v>
      </c>
      <c r="I1457" s="0" t="n">
        <v>-1.26425193134851</v>
      </c>
    </row>
    <row r="1458" customFormat="false" ht="13.8" hidden="false" customHeight="false" outlineLevel="0" collapsed="false">
      <c r="A1458" s="2" t="n">
        <v>41499</v>
      </c>
      <c r="B1458" s="0" t="n">
        <v>1694.16</v>
      </c>
      <c r="C1458" s="0" t="n">
        <v>248.2</v>
      </c>
      <c r="D1458" s="3" t="n">
        <f aca="false">B1458*100/B$2</f>
        <v>117.067912324829</v>
      </c>
      <c r="E1458" s="3" t="n">
        <f aca="false">C1458*100/C$2</f>
        <v>105.482362940926</v>
      </c>
      <c r="F1458" s="0" t="n">
        <v>111.534315486885</v>
      </c>
      <c r="G1458" s="0" t="n">
        <v>103.687628269119</v>
      </c>
      <c r="H1458" s="0" t="n">
        <v>102.337441563961</v>
      </c>
      <c r="I1458" s="0" t="n">
        <v>-1.35018670515815</v>
      </c>
    </row>
    <row r="1459" customFormat="false" ht="13.8" hidden="false" customHeight="false" outlineLevel="0" collapsed="false">
      <c r="A1459" s="2" t="n">
        <v>41500</v>
      </c>
      <c r="B1459" s="0" t="n">
        <v>1685.39</v>
      </c>
      <c r="C1459" s="0" t="n">
        <v>249.82</v>
      </c>
      <c r="D1459" s="3" t="n">
        <f aca="false">B1459*100/B$2</f>
        <v>116.461897786008</v>
      </c>
      <c r="E1459" s="3" t="n">
        <f aca="false">C1459*100/C$2</f>
        <v>106.170845728857</v>
      </c>
      <c r="F1459" s="0" t="n">
        <v>111.626219630172</v>
      </c>
      <c r="G1459" s="0" t="n">
        <v>103.718327948788</v>
      </c>
      <c r="H1459" s="0" t="n">
        <v>100.565235869103</v>
      </c>
      <c r="I1459" s="0" t="n">
        <v>-3.15309207968509</v>
      </c>
    </row>
    <row r="1460" customFormat="false" ht="13.8" hidden="false" customHeight="false" outlineLevel="0" collapsed="false">
      <c r="A1460" s="2" t="n">
        <v>41501</v>
      </c>
      <c r="B1460" s="0" t="n">
        <v>1661.32</v>
      </c>
      <c r="C1460" s="0" t="n">
        <v>249.82</v>
      </c>
      <c r="D1460" s="3" t="n">
        <f aca="false">B1460*100/B$2</f>
        <v>114.798640095083</v>
      </c>
      <c r="E1460" s="3" t="n">
        <f aca="false">C1460*100/C$2</f>
        <v>106.170845728857</v>
      </c>
      <c r="F1460" s="0" t="n">
        <v>111.626219630172</v>
      </c>
      <c r="G1460" s="0" t="n">
        <v>103.718327948788</v>
      </c>
      <c r="H1460" s="0" t="n">
        <v>101.385465363366</v>
      </c>
      <c r="I1460" s="0" t="n">
        <v>-2.33286258542245</v>
      </c>
    </row>
    <row r="1461" customFormat="false" ht="13.8" hidden="false" customHeight="false" outlineLevel="0" collapsed="false">
      <c r="A1461" s="2" t="n">
        <v>41502</v>
      </c>
      <c r="B1461" s="0" t="n">
        <v>1655.83</v>
      </c>
      <c r="C1461" s="0" t="n">
        <v>249.23</v>
      </c>
      <c r="D1461" s="3" t="n">
        <f aca="false">B1461*100/B$2</f>
        <v>114.419276375798</v>
      </c>
      <c r="E1461" s="3" t="n">
        <f aca="false">C1461*100/C$2</f>
        <v>105.92010199745</v>
      </c>
      <c r="F1461" s="0" t="n">
        <v>112.765001796622</v>
      </c>
      <c r="G1461" s="0" t="n">
        <v>104.098726987097</v>
      </c>
      <c r="H1461" s="0" t="n">
        <v>100.841478963026</v>
      </c>
      <c r="I1461" s="0" t="n">
        <v>-3.25724802407099</v>
      </c>
    </row>
    <row r="1462" customFormat="false" ht="13.8" hidden="false" customHeight="false" outlineLevel="0" collapsed="false">
      <c r="A1462" s="2" t="n">
        <v>41505</v>
      </c>
      <c r="B1462" s="0" t="n">
        <v>1646.06</v>
      </c>
      <c r="C1462" s="0" t="n">
        <v>248.89</v>
      </c>
      <c r="D1462" s="3" t="n">
        <f aca="false">B1462*100/B$2</f>
        <v>113.744160977363</v>
      </c>
      <c r="E1462" s="3" t="n">
        <f aca="false">C1462*100/C$2</f>
        <v>105.77560560986</v>
      </c>
      <c r="F1462" s="0" t="n">
        <v>113.35719616352</v>
      </c>
      <c r="G1462" s="0" t="n">
        <v>104.296543720004</v>
      </c>
      <c r="H1462" s="0" t="n">
        <v>99.9235019124522</v>
      </c>
      <c r="I1462" s="0" t="n">
        <v>-4.37304180755156</v>
      </c>
    </row>
    <row r="1463" customFormat="false" ht="13.8" hidden="false" customHeight="false" outlineLevel="0" collapsed="false">
      <c r="A1463" s="2" t="n">
        <v>41506</v>
      </c>
      <c r="B1463" s="0" t="n">
        <v>1652.35</v>
      </c>
      <c r="C1463" s="0" t="n">
        <v>245.13</v>
      </c>
      <c r="D1463" s="3" t="n">
        <f aca="false">B1463*100/B$2</f>
        <v>114.178805384339</v>
      </c>
      <c r="E1463" s="3" t="n">
        <f aca="false">C1463*100/C$2</f>
        <v>104.177645558861</v>
      </c>
      <c r="F1463" s="0" t="n">
        <v>114.176732358551</v>
      </c>
      <c r="G1463" s="0" t="n">
        <v>104.570301765777</v>
      </c>
      <c r="H1463" s="0" t="n">
        <v>100.696982575436</v>
      </c>
      <c r="I1463" s="0" t="n">
        <v>-3.87331919034114</v>
      </c>
    </row>
    <row r="1464" customFormat="false" ht="13.8" hidden="false" customHeight="false" outlineLevel="0" collapsed="false">
      <c r="A1464" s="2" t="n">
        <v>41507</v>
      </c>
      <c r="B1464" s="0" t="n">
        <v>1642.8</v>
      </c>
      <c r="C1464" s="0" t="n">
        <v>242.49</v>
      </c>
      <c r="D1464" s="3" t="n">
        <f aca="false">B1464*100/B$2</f>
        <v>113.518892175019</v>
      </c>
      <c r="E1464" s="3" t="n">
        <f aca="false">C1464*100/C$2</f>
        <v>103.05567360816</v>
      </c>
      <c r="F1464" s="0" t="n">
        <v>114.197462616435</v>
      </c>
      <c r="G1464" s="0" t="n">
        <v>104.577226505552</v>
      </c>
      <c r="H1464" s="0" t="n">
        <v>100.395240118997</v>
      </c>
      <c r="I1464" s="0" t="n">
        <v>-4.18198638655477</v>
      </c>
    </row>
    <row r="1465" customFormat="false" ht="13.8" hidden="false" customHeight="false" outlineLevel="0" collapsed="false">
      <c r="A1465" s="2" t="n">
        <v>41508</v>
      </c>
      <c r="B1465" s="0" t="n">
        <v>1656.96</v>
      </c>
      <c r="C1465" s="0" t="n">
        <v>240.37</v>
      </c>
      <c r="D1465" s="3" t="n">
        <f aca="false">B1465*100/B$2</f>
        <v>114.497360347163</v>
      </c>
      <c r="E1465" s="3" t="n">
        <f aca="false">C1465*100/C$2</f>
        <v>102.154696132597</v>
      </c>
      <c r="F1465" s="0" t="n">
        <v>115.745321871804</v>
      </c>
      <c r="G1465" s="0" t="n">
        <v>105.094273742088</v>
      </c>
      <c r="H1465" s="0" t="n">
        <v>103.646408839779</v>
      </c>
      <c r="I1465" s="0" t="n">
        <v>-1.44786490230869</v>
      </c>
    </row>
    <row r="1466" customFormat="false" ht="13.8" hidden="false" customHeight="false" outlineLevel="0" collapsed="false">
      <c r="A1466" s="2" t="n">
        <v>41509</v>
      </c>
      <c r="B1466" s="0" t="n">
        <v>1663.5</v>
      </c>
      <c r="C1466" s="0" t="n">
        <v>243.37</v>
      </c>
      <c r="D1466" s="3" t="n">
        <f aca="false">B1466*100/B$2</f>
        <v>114.949279969043</v>
      </c>
      <c r="E1466" s="3" t="n">
        <f aca="false">C1466*100/C$2</f>
        <v>103.429664258394</v>
      </c>
      <c r="F1466" s="0" t="n">
        <v>116.102573316012</v>
      </c>
      <c r="G1466" s="0" t="n">
        <v>105.213610090877</v>
      </c>
      <c r="H1466" s="0" t="n">
        <v>103.153421164471</v>
      </c>
      <c r="I1466" s="0" t="n">
        <v>-2.06018892640655</v>
      </c>
    </row>
    <row r="1467" customFormat="false" ht="13.8" hidden="false" customHeight="false" outlineLevel="0" collapsed="false">
      <c r="A1467" s="2" t="n">
        <v>41512</v>
      </c>
      <c r="B1467" s="0" t="n">
        <v>1656.78</v>
      </c>
      <c r="C1467" s="0" t="n">
        <v>245.71</v>
      </c>
      <c r="D1467" s="3" t="n">
        <f aca="false">B1467*100/B$2</f>
        <v>114.484922192432</v>
      </c>
      <c r="E1467" s="3" t="n">
        <f aca="false">C1467*100/C$2</f>
        <v>104.424139396515</v>
      </c>
      <c r="F1467" s="0" t="n">
        <v>116.262196301722</v>
      </c>
      <c r="G1467" s="0" t="n">
        <v>105.266930587145</v>
      </c>
      <c r="H1467" s="0" t="n">
        <v>103.455163620909</v>
      </c>
      <c r="I1467" s="0" t="n">
        <v>-1.81176696623574</v>
      </c>
    </row>
    <row r="1468" customFormat="false" ht="13.8" hidden="false" customHeight="false" outlineLevel="0" collapsed="false">
      <c r="A1468" s="2" t="n">
        <v>41513</v>
      </c>
      <c r="B1468" s="0" t="n">
        <v>1630.48</v>
      </c>
      <c r="C1468" s="0" t="n">
        <v>245.71</v>
      </c>
      <c r="D1468" s="3" t="n">
        <f aca="false">B1468*100/B$2</f>
        <v>112.667569584566</v>
      </c>
      <c r="E1468" s="3" t="n">
        <f aca="false">C1468*100/C$2</f>
        <v>104.424139396515</v>
      </c>
      <c r="F1468" s="0" t="n">
        <v>115.831006937726</v>
      </c>
      <c r="G1468" s="0" t="n">
        <v>105.122895999825</v>
      </c>
      <c r="H1468" s="0" t="n">
        <v>102.855928601785</v>
      </c>
      <c r="I1468" s="0" t="n">
        <v>-2.26696739803954</v>
      </c>
    </row>
    <row r="1469" customFormat="false" ht="13.8" hidden="false" customHeight="false" outlineLevel="0" collapsed="false">
      <c r="A1469" s="2" t="n">
        <v>41514</v>
      </c>
      <c r="B1469" s="0" t="n">
        <v>1634.96</v>
      </c>
      <c r="C1469" s="0" t="n">
        <v>245.67</v>
      </c>
      <c r="D1469" s="3" t="n">
        <f aca="false">B1469*100/B$2</f>
        <v>112.977141435639</v>
      </c>
      <c r="E1469" s="3" t="n">
        <f aca="false">C1469*100/C$2</f>
        <v>104.407139821504</v>
      </c>
      <c r="F1469" s="0" t="n">
        <v>116.152325934935</v>
      </c>
      <c r="G1469" s="0" t="n">
        <v>105.230229466338</v>
      </c>
      <c r="H1469" s="0" t="n">
        <v>104.045898852529</v>
      </c>
      <c r="I1469" s="0" t="n">
        <v>-1.18433061380885</v>
      </c>
    </row>
    <row r="1470" customFormat="false" ht="13.8" hidden="false" customHeight="false" outlineLevel="0" collapsed="false">
      <c r="A1470" s="2" t="n">
        <v>41515</v>
      </c>
      <c r="B1470" s="0" t="n">
        <v>1638.17</v>
      </c>
      <c r="C1470" s="0" t="n">
        <v>248.86</v>
      </c>
      <c r="D1470" s="3" t="n">
        <f aca="false">B1470*100/B$2</f>
        <v>113.198955195003</v>
      </c>
      <c r="E1470" s="3" t="n">
        <f aca="false">C1470*100/C$2</f>
        <v>105.762855928602</v>
      </c>
      <c r="F1470" s="0" t="n">
        <v>116.736919207275</v>
      </c>
      <c r="G1470" s="0" t="n">
        <v>105.425507127994</v>
      </c>
      <c r="H1470" s="0" t="n">
        <v>103.238419039524</v>
      </c>
      <c r="I1470" s="0" t="n">
        <v>-2.18708808846949</v>
      </c>
    </row>
    <row r="1471" customFormat="false" ht="13.8" hidden="false" customHeight="false" outlineLevel="0" collapsed="false">
      <c r="A1471" s="2" t="n">
        <v>41516</v>
      </c>
      <c r="B1471" s="0" t="n">
        <v>1632.97</v>
      </c>
      <c r="C1471" s="0" t="n">
        <v>251.74</v>
      </c>
      <c r="D1471" s="3" t="n">
        <f aca="false">B1471*100/B$2</f>
        <v>112.839630725006</v>
      </c>
      <c r="E1471" s="3" t="n">
        <f aca="false">C1471*100/C$2</f>
        <v>106.986825329367</v>
      </c>
      <c r="F1471" s="0" t="n">
        <v>116.924873545427</v>
      </c>
      <c r="G1471" s="0" t="n">
        <v>105.488291435287</v>
      </c>
      <c r="H1471" s="0" t="n">
        <v>102.860178495538</v>
      </c>
      <c r="I1471" s="0" t="n">
        <v>-2.62811293974954</v>
      </c>
    </row>
    <row r="1472" customFormat="false" ht="13.8" hidden="false" customHeight="false" outlineLevel="0" collapsed="false">
      <c r="A1472" s="2" t="n">
        <v>41519</v>
      </c>
      <c r="B1472" s="0" t="n">
        <v>1632.97</v>
      </c>
      <c r="C1472" s="0" t="n">
        <v>251.13</v>
      </c>
      <c r="D1472" s="3" t="n">
        <f aca="false">B1472*100/B$2</f>
        <v>112.839630725006</v>
      </c>
      <c r="E1472" s="3" t="n">
        <f aca="false">C1472*100/C$2</f>
        <v>106.727581810455</v>
      </c>
      <c r="F1472" s="0" t="n">
        <v>117.162580502501</v>
      </c>
      <c r="G1472" s="0" t="n">
        <v>105.567695118041</v>
      </c>
      <c r="H1472" s="0" t="n">
        <v>103.348916277093</v>
      </c>
      <c r="I1472" s="0" t="n">
        <v>-2.21877884094781</v>
      </c>
    </row>
    <row r="1473" customFormat="false" ht="13.8" hidden="false" customHeight="false" outlineLevel="0" collapsed="false">
      <c r="A1473" s="2" t="n">
        <v>41520</v>
      </c>
      <c r="B1473" s="0" t="n">
        <v>1639.77</v>
      </c>
      <c r="C1473" s="0" t="n">
        <v>252.05</v>
      </c>
      <c r="D1473" s="3" t="n">
        <f aca="false">B1473*100/B$2</f>
        <v>113.309516570386</v>
      </c>
      <c r="E1473" s="3" t="n">
        <f aca="false">C1473*100/C$2</f>
        <v>107.118572035699</v>
      </c>
      <c r="F1473" s="0" t="n">
        <v>116.945603803311</v>
      </c>
      <c r="G1473" s="0" t="n">
        <v>105.495216175062</v>
      </c>
      <c r="H1473" s="0" t="n">
        <v>104.815129621759</v>
      </c>
      <c r="I1473" s="0" t="n">
        <v>-0.680086553302729</v>
      </c>
    </row>
    <row r="1474" customFormat="false" ht="13.8" hidden="false" customHeight="false" outlineLevel="0" collapsed="false">
      <c r="A1474" s="2" t="n">
        <v>41521</v>
      </c>
      <c r="B1474" s="0" t="n">
        <v>1653.08</v>
      </c>
      <c r="C1474" s="0" t="n">
        <v>252.15</v>
      </c>
      <c r="D1474" s="3" t="n">
        <f aca="false">B1474*100/B$2</f>
        <v>114.229249011858</v>
      </c>
      <c r="E1474" s="3" t="n">
        <f aca="false">C1474*100/C$2</f>
        <v>107.161070973226</v>
      </c>
      <c r="F1474" s="0" t="n">
        <v>116.499903258797</v>
      </c>
      <c r="G1474" s="0" t="n">
        <v>105.346334269899</v>
      </c>
      <c r="H1474" s="0" t="n">
        <v>105.329366765831</v>
      </c>
      <c r="I1474" s="0" t="n">
        <v>-0.0169675040680772</v>
      </c>
    </row>
    <row r="1475" customFormat="false" ht="13.8" hidden="false" customHeight="false" outlineLevel="0" collapsed="false">
      <c r="A1475" s="2" t="n">
        <v>41522</v>
      </c>
      <c r="B1475" s="0" t="n">
        <v>1655.08</v>
      </c>
      <c r="C1475" s="0" t="n">
        <v>254.62</v>
      </c>
      <c r="D1475" s="3" t="n">
        <f aca="false">B1475*100/B$2</f>
        <v>114.367450731087</v>
      </c>
      <c r="E1475" s="3" t="n">
        <f aca="false">C1475*100/C$2</f>
        <v>108.210794730132</v>
      </c>
      <c r="F1475" s="0" t="n">
        <v>116.797727963736</v>
      </c>
      <c r="G1475" s="0" t="n">
        <v>105.445819698</v>
      </c>
      <c r="H1475" s="0" t="n">
        <v>105.274118147046</v>
      </c>
      <c r="I1475" s="0" t="n">
        <v>-0.171701550953941</v>
      </c>
    </row>
    <row r="1476" customFormat="false" ht="13.8" hidden="false" customHeight="false" outlineLevel="0" collapsed="false">
      <c r="A1476" s="2" t="n">
        <v>41523</v>
      </c>
      <c r="B1476" s="0" t="n">
        <v>1655.17</v>
      </c>
      <c r="C1476" s="0" t="n">
        <v>255.25</v>
      </c>
      <c r="D1476" s="3" t="n">
        <f aca="false">B1476*100/B$2</f>
        <v>114.373669808452</v>
      </c>
      <c r="E1476" s="3" t="n">
        <f aca="false">C1476*100/C$2</f>
        <v>108.478538036549</v>
      </c>
      <c r="F1476" s="0" t="n">
        <v>116.894469167196</v>
      </c>
      <c r="G1476" s="0" t="n">
        <v>105.478135150284</v>
      </c>
      <c r="H1476" s="0" t="n">
        <v>105.31236719082</v>
      </c>
      <c r="I1476" s="0" t="n">
        <v>-0.165767959463537</v>
      </c>
    </row>
    <row r="1477" customFormat="false" ht="13.8" hidden="false" customHeight="false" outlineLevel="0" collapsed="false">
      <c r="A1477" s="2" t="n">
        <v>41526</v>
      </c>
      <c r="B1477" s="0" t="n">
        <v>1671.71</v>
      </c>
      <c r="C1477" s="0" t="n">
        <v>258.12</v>
      </c>
      <c r="D1477" s="3" t="n">
        <f aca="false">B1477*100/B$2</f>
        <v>115.516598026479</v>
      </c>
      <c r="E1477" s="3" t="n">
        <f aca="false">C1477*100/C$2</f>
        <v>109.698257543561</v>
      </c>
      <c r="F1477" s="0" t="n">
        <v>116.457751734432</v>
      </c>
      <c r="G1477" s="0" t="n">
        <v>105.33225396569</v>
      </c>
      <c r="H1477" s="0" t="n">
        <v>104.772630684233</v>
      </c>
      <c r="I1477" s="0" t="n">
        <v>-0.559623281456808</v>
      </c>
    </row>
    <row r="1478" customFormat="false" ht="13.8" hidden="false" customHeight="false" outlineLevel="0" collapsed="false">
      <c r="A1478" s="2" t="n">
        <v>41527</v>
      </c>
      <c r="B1478" s="0" t="n">
        <v>1683.99</v>
      </c>
      <c r="C1478" s="0" t="n">
        <v>261.2</v>
      </c>
      <c r="D1478" s="3" t="n">
        <f aca="false">B1478*100/B$2</f>
        <v>116.365156582548</v>
      </c>
      <c r="E1478" s="3" t="n">
        <f aca="false">C1478*100/C$2</f>
        <v>111.00722481938</v>
      </c>
      <c r="F1478" s="0" t="n">
        <v>116.501285275989</v>
      </c>
      <c r="G1478" s="0" t="n">
        <v>105.346795919217</v>
      </c>
      <c r="H1478" s="0" t="n">
        <v>105.728856778581</v>
      </c>
      <c r="I1478" s="0" t="n">
        <v>0.382060859363264</v>
      </c>
    </row>
    <row r="1479" customFormat="false" ht="13.8" hidden="false" customHeight="false" outlineLevel="0" collapsed="false">
      <c r="A1479" s="2" t="n">
        <v>41528</v>
      </c>
      <c r="B1479" s="0" t="n">
        <v>1689.13</v>
      </c>
      <c r="C1479" s="0" t="n">
        <v>262.38</v>
      </c>
      <c r="D1479" s="3" t="n">
        <f aca="false">B1479*100/B$2</f>
        <v>116.720335000967</v>
      </c>
      <c r="E1479" s="3" t="n">
        <f aca="false">C1479*100/C$2</f>
        <v>111.508712282193</v>
      </c>
      <c r="F1479" s="0" t="n">
        <v>116.485392078277</v>
      </c>
      <c r="G1479" s="0" t="n">
        <v>105.341486952056</v>
      </c>
      <c r="H1479" s="0" t="n">
        <v>105.393115172121</v>
      </c>
      <c r="I1479" s="0" t="n">
        <v>0.0516282200642735</v>
      </c>
    </row>
    <row r="1480" customFormat="false" ht="13.8" hidden="false" customHeight="false" outlineLevel="0" collapsed="false">
      <c r="A1480" s="2" t="n">
        <v>41529</v>
      </c>
      <c r="B1480" s="0" t="n">
        <v>1683.42</v>
      </c>
      <c r="C1480" s="0" t="n">
        <v>262.32</v>
      </c>
      <c r="D1480" s="3" t="n">
        <f aca="false">B1480*100/B$2</f>
        <v>116.325769092567</v>
      </c>
      <c r="E1480" s="3" t="n">
        <f aca="false">C1480*100/C$2</f>
        <v>111.483212919677</v>
      </c>
      <c r="F1480" s="0" t="n">
        <v>117.946184250532</v>
      </c>
      <c r="G1480" s="0" t="n">
        <v>105.829450281537</v>
      </c>
      <c r="H1480" s="0" t="n">
        <v>105.77560560986</v>
      </c>
      <c r="I1480" s="0" t="n">
        <v>-0.0538446716774104</v>
      </c>
    </row>
    <row r="1481" customFormat="false" ht="13.8" hidden="false" customHeight="false" outlineLevel="0" collapsed="false">
      <c r="A1481" s="2" t="n">
        <v>41530</v>
      </c>
      <c r="B1481" s="0" t="n">
        <v>1687.99</v>
      </c>
      <c r="C1481" s="0" t="n">
        <v>260.83</v>
      </c>
      <c r="D1481" s="3" t="n">
        <f aca="false">B1481*100/B$2</f>
        <v>116.641560021007</v>
      </c>
      <c r="E1481" s="3" t="n">
        <f aca="false">C1481*100/C$2</f>
        <v>110.849978750531</v>
      </c>
      <c r="F1481" s="0" t="n">
        <v>118.139666657453</v>
      </c>
      <c r="G1481" s="0" t="n">
        <v>105.894081186104</v>
      </c>
      <c r="H1481" s="0" t="n">
        <v>105.962600934977</v>
      </c>
      <c r="I1481" s="0" t="n">
        <v>0.0685197488724612</v>
      </c>
    </row>
    <row r="1482" customFormat="false" ht="13.8" hidden="false" customHeight="false" outlineLevel="0" collapsed="false">
      <c r="A1482" s="2" t="n">
        <v>41533</v>
      </c>
      <c r="B1482" s="0" t="n">
        <v>1697.6</v>
      </c>
      <c r="C1482" s="0" t="n">
        <v>263.86</v>
      </c>
      <c r="D1482" s="3" t="n">
        <f aca="false">B1482*100/B$2</f>
        <v>117.305619281904</v>
      </c>
      <c r="E1482" s="3" t="n">
        <f aca="false">C1482*100/C$2</f>
        <v>112.137696557586</v>
      </c>
      <c r="F1482" s="0" t="n">
        <v>117.964841482628</v>
      </c>
      <c r="G1482" s="0" t="n">
        <v>105.835682547335</v>
      </c>
      <c r="H1482" s="0" t="n">
        <v>105.50361240969</v>
      </c>
      <c r="I1482" s="0" t="n">
        <v>-0.332070137644948</v>
      </c>
    </row>
    <row r="1483" customFormat="false" ht="13.8" hidden="false" customHeight="false" outlineLevel="0" collapsed="false">
      <c r="A1483" s="2" t="n">
        <v>41534</v>
      </c>
      <c r="B1483" s="0" t="n">
        <v>1704.76</v>
      </c>
      <c r="C1483" s="0" t="n">
        <v>262.56</v>
      </c>
      <c r="D1483" s="3" t="n">
        <f aca="false">B1483*100/B$2</f>
        <v>117.800381436745</v>
      </c>
      <c r="E1483" s="3" t="n">
        <f aca="false">C1483*100/C$2</f>
        <v>111.585210369741</v>
      </c>
      <c r="F1483" s="0" t="n">
        <v>117.289726084192</v>
      </c>
      <c r="G1483" s="0" t="n">
        <v>105.610166855328</v>
      </c>
      <c r="H1483" s="0" t="n">
        <v>104.887377815555</v>
      </c>
      <c r="I1483" s="0" t="n">
        <v>-0.722789039773147</v>
      </c>
    </row>
    <row r="1484" customFormat="false" ht="13.8" hidden="false" customHeight="false" outlineLevel="0" collapsed="false">
      <c r="A1484" s="2" t="n">
        <v>41535</v>
      </c>
      <c r="B1484" s="0" t="n">
        <v>1725.52</v>
      </c>
      <c r="C1484" s="0" t="n">
        <v>262.56</v>
      </c>
      <c r="D1484" s="3" t="n">
        <f aca="false">B1484*100/B$2</f>
        <v>119.234915282346</v>
      </c>
      <c r="E1484" s="3" t="n">
        <f aca="false">C1484*100/C$2</f>
        <v>111.585210369741</v>
      </c>
      <c r="F1484" s="0" t="n">
        <v>116.843334531082</v>
      </c>
      <c r="G1484" s="0" t="n">
        <v>105.461054125505</v>
      </c>
      <c r="H1484" s="0" t="n">
        <v>103.166170845729</v>
      </c>
      <c r="I1484" s="0" t="n">
        <v>-2.29488327977648</v>
      </c>
    </row>
    <row r="1485" customFormat="false" ht="13.8" hidden="false" customHeight="false" outlineLevel="0" collapsed="false">
      <c r="A1485" s="2" t="n">
        <v>41536</v>
      </c>
      <c r="B1485" s="0" t="n">
        <v>1722.34</v>
      </c>
      <c r="C1485" s="0" t="n">
        <v>262.56</v>
      </c>
      <c r="D1485" s="3" t="n">
        <f aca="false">B1485*100/B$2</f>
        <v>119.015174548771</v>
      </c>
      <c r="E1485" s="3" t="n">
        <f aca="false">C1485*100/C$2</f>
        <v>111.585210369741</v>
      </c>
      <c r="F1485" s="0" t="n">
        <v>117.29732717875</v>
      </c>
      <c r="G1485" s="0" t="n">
        <v>105.612705926579</v>
      </c>
      <c r="H1485" s="0" t="n">
        <v>103.438164045899</v>
      </c>
      <c r="I1485" s="0" t="n">
        <v>-2.17454188067975</v>
      </c>
    </row>
    <row r="1486" customFormat="false" ht="13.8" hidden="false" customHeight="false" outlineLevel="0" collapsed="false">
      <c r="A1486" s="2" t="n">
        <v>41537</v>
      </c>
      <c r="B1486" s="0" t="n">
        <v>1709.91</v>
      </c>
      <c r="C1486" s="0" t="n">
        <v>262.56</v>
      </c>
      <c r="D1486" s="3" t="n">
        <f aca="false">B1486*100/B$2</f>
        <v>118.156250863761</v>
      </c>
      <c r="E1486" s="3" t="n">
        <f aca="false">C1486*100/C$2</f>
        <v>111.585210369741</v>
      </c>
      <c r="F1486" s="0" t="n">
        <v>116.878575969485</v>
      </c>
      <c r="G1486" s="0" t="n">
        <v>105.472826183123</v>
      </c>
      <c r="H1486" s="0" t="n">
        <v>103.32766680833</v>
      </c>
      <c r="I1486" s="0" t="n">
        <v>-2.14515937479312</v>
      </c>
    </row>
    <row r="1487" customFormat="false" ht="13.8" hidden="false" customHeight="false" outlineLevel="0" collapsed="false">
      <c r="A1487" s="2" t="n">
        <v>41540</v>
      </c>
      <c r="B1487" s="0" t="n">
        <v>1701.84</v>
      </c>
      <c r="C1487" s="0" t="n">
        <v>263.02</v>
      </c>
      <c r="D1487" s="3" t="n">
        <f aca="false">B1487*100/B$2</f>
        <v>117.59860692667</v>
      </c>
      <c r="E1487" s="3" t="n">
        <f aca="false">C1487*100/C$2</f>
        <v>111.780705482363</v>
      </c>
      <c r="F1487" s="0" t="n">
        <v>116.743829293236</v>
      </c>
      <c r="G1487" s="0" t="n">
        <v>105.427815374585</v>
      </c>
      <c r="H1487" s="0" t="n">
        <v>103.603909902252</v>
      </c>
      <c r="I1487" s="0" t="n">
        <v>-1.82390547233274</v>
      </c>
    </row>
    <row r="1488" customFormat="false" ht="13.8" hidden="false" customHeight="false" outlineLevel="0" collapsed="false">
      <c r="A1488" s="2" t="n">
        <v>41541</v>
      </c>
      <c r="B1488" s="0" t="n">
        <v>1697.42</v>
      </c>
      <c r="C1488" s="0" t="n">
        <v>262.83</v>
      </c>
      <c r="D1488" s="3" t="n">
        <f aca="false">B1488*100/B$2</f>
        <v>117.293181127173</v>
      </c>
      <c r="E1488" s="3" t="n">
        <f aca="false">C1488*100/C$2</f>
        <v>111.699957501062</v>
      </c>
      <c r="F1488" s="0" t="n">
        <v>117.067912324829</v>
      </c>
      <c r="G1488" s="0" t="n">
        <v>105.536072139735</v>
      </c>
      <c r="H1488" s="0" t="n">
        <v>105.482362940926</v>
      </c>
      <c r="I1488" s="0" t="n">
        <v>-0.0537091988083915</v>
      </c>
    </row>
    <row r="1489" customFormat="false" ht="13.8" hidden="false" customHeight="false" outlineLevel="0" collapsed="false">
      <c r="A1489" s="2" t="n">
        <v>41542</v>
      </c>
      <c r="B1489" s="0" t="n">
        <v>1692.77</v>
      </c>
      <c r="C1489" s="0" t="n">
        <v>261.45</v>
      </c>
      <c r="D1489" s="3" t="n">
        <f aca="false">B1489*100/B$2</f>
        <v>116.971862129965</v>
      </c>
      <c r="E1489" s="3" t="n">
        <f aca="false">C1489*100/C$2</f>
        <v>111.113472163196</v>
      </c>
      <c r="F1489" s="0" t="n">
        <v>116.461897786008</v>
      </c>
      <c r="G1489" s="0" t="n">
        <v>105.333638913645</v>
      </c>
      <c r="H1489" s="0" t="n">
        <v>106.170845728857</v>
      </c>
      <c r="I1489" s="0" t="n">
        <v>0.83720681521207</v>
      </c>
    </row>
    <row r="1490" customFormat="false" ht="13.8" hidden="false" customHeight="false" outlineLevel="0" collapsed="false">
      <c r="A1490" s="2" t="n">
        <v>41543</v>
      </c>
      <c r="B1490" s="0" t="n">
        <v>1698.67</v>
      </c>
      <c r="C1490" s="0" t="n">
        <v>262.68</v>
      </c>
      <c r="D1490" s="3" t="n">
        <f aca="false">B1490*100/B$2</f>
        <v>117.379557201692</v>
      </c>
      <c r="E1490" s="3" t="n">
        <f aca="false">C1490*100/C$2</f>
        <v>111.636209094773</v>
      </c>
      <c r="F1490" s="0" t="n">
        <v>114.798640095083</v>
      </c>
      <c r="G1490" s="0" t="n">
        <v>104.778043959028</v>
      </c>
      <c r="H1490" s="0" t="n">
        <v>106.170845728857</v>
      </c>
      <c r="I1490" s="0" t="n">
        <v>1.39280176982899</v>
      </c>
    </row>
    <row r="1491" customFormat="false" ht="13.8" hidden="false" customHeight="false" outlineLevel="0" collapsed="false">
      <c r="A1491" s="2" t="n">
        <v>41544</v>
      </c>
      <c r="B1491" s="0" t="n">
        <v>1691.75</v>
      </c>
      <c r="C1491" s="0" t="n">
        <v>262.94</v>
      </c>
      <c r="D1491" s="3" t="n">
        <f aca="false">B1491*100/B$2</f>
        <v>116.901379253158</v>
      </c>
      <c r="E1491" s="3" t="n">
        <f aca="false">C1491*100/C$2</f>
        <v>111.746706332342</v>
      </c>
      <c r="F1491" s="0" t="n">
        <v>114.419276375798</v>
      </c>
      <c r="G1491" s="0" t="n">
        <v>104.651321221145</v>
      </c>
      <c r="H1491" s="0" t="n">
        <v>105.92010199745</v>
      </c>
      <c r="I1491" s="0" t="n">
        <v>1.26878077630541</v>
      </c>
    </row>
    <row r="1492" customFormat="false" ht="13.8" hidden="false" customHeight="false" outlineLevel="0" collapsed="false">
      <c r="A1492" s="2" t="n">
        <v>41547</v>
      </c>
      <c r="B1492" s="0" t="n">
        <v>1681.55</v>
      </c>
      <c r="C1492" s="0" t="n">
        <v>260.91</v>
      </c>
      <c r="D1492" s="3" t="n">
        <f aca="false">B1492*100/B$2</f>
        <v>116.196550485088</v>
      </c>
      <c r="E1492" s="3" t="n">
        <f aca="false">C1492*100/C$2</f>
        <v>110.883977900552</v>
      </c>
      <c r="F1492" s="0" t="n">
        <v>113.744160977363</v>
      </c>
      <c r="G1492" s="0" t="n">
        <v>104.425805529138</v>
      </c>
      <c r="H1492" s="0" t="n">
        <v>105.77560560986</v>
      </c>
      <c r="I1492" s="0" t="n">
        <v>1.34980008072205</v>
      </c>
    </row>
    <row r="1493" customFormat="false" ht="13.8" hidden="false" customHeight="false" outlineLevel="0" collapsed="false">
      <c r="A1493" s="2" t="n">
        <v>41548</v>
      </c>
      <c r="B1493" s="0" t="n">
        <v>1695</v>
      </c>
      <c r="C1493" s="0" t="n">
        <v>261.48</v>
      </c>
      <c r="D1493" s="3" t="n">
        <f aca="false">B1493*100/B$2</f>
        <v>117.125957046906</v>
      </c>
      <c r="E1493" s="3" t="n">
        <f aca="false">C1493*100/C$2</f>
        <v>111.126221844454</v>
      </c>
      <c r="F1493" s="0" t="n">
        <v>114.178805384339</v>
      </c>
      <c r="G1493" s="0" t="n">
        <v>104.570994239754</v>
      </c>
      <c r="H1493" s="0" t="n">
        <v>104.177645558861</v>
      </c>
      <c r="I1493" s="0" t="n">
        <v>-0.393348680893226</v>
      </c>
    </row>
    <row r="1494" customFormat="false" ht="13.8" hidden="false" customHeight="false" outlineLevel="0" collapsed="false">
      <c r="A1494" s="2" t="n">
        <v>41549</v>
      </c>
      <c r="B1494" s="0" t="n">
        <v>1693.87</v>
      </c>
      <c r="C1494" s="0" t="n">
        <v>261.87</v>
      </c>
      <c r="D1494" s="3" t="n">
        <f aca="false">B1494*100/B$2</f>
        <v>117.047873075541</v>
      </c>
      <c r="E1494" s="3" t="n">
        <f aca="false">C1494*100/C$2</f>
        <v>111.291967700807</v>
      </c>
      <c r="F1494" s="0" t="n">
        <v>113.518892175019</v>
      </c>
      <c r="G1494" s="0" t="n">
        <v>104.350556690249</v>
      </c>
      <c r="H1494" s="0" t="n">
        <v>103.05567360816</v>
      </c>
      <c r="I1494" s="0" t="n">
        <v>-1.2948830820892</v>
      </c>
    </row>
    <row r="1495" customFormat="false" ht="13.8" hidden="false" customHeight="false" outlineLevel="0" collapsed="false">
      <c r="A1495" s="2" t="n">
        <v>41550</v>
      </c>
      <c r="B1495" s="0" t="n">
        <v>1678.66</v>
      </c>
      <c r="C1495" s="0" t="n">
        <v>261.87</v>
      </c>
      <c r="D1495" s="3" t="n">
        <f aca="false">B1495*100/B$2</f>
        <v>115.996849000802</v>
      </c>
      <c r="E1495" s="3" t="n">
        <f aca="false">C1495*100/C$2</f>
        <v>111.291967700807</v>
      </c>
      <c r="F1495" s="0" t="n">
        <v>114.497360347163</v>
      </c>
      <c r="G1495" s="0" t="n">
        <v>104.677404407631</v>
      </c>
      <c r="H1495" s="0" t="n">
        <v>102.154696132597</v>
      </c>
      <c r="I1495" s="0" t="n">
        <v>-2.52270827503393</v>
      </c>
    </row>
    <row r="1496" customFormat="false" ht="13.8" hidden="false" customHeight="false" outlineLevel="0" collapsed="false">
      <c r="A1496" s="2" t="n">
        <v>41551</v>
      </c>
      <c r="B1496" s="0" t="n">
        <v>1690.5</v>
      </c>
      <c r="C1496" s="0" t="n">
        <v>261.78</v>
      </c>
      <c r="D1496" s="3" t="n">
        <f aca="false">B1496*100/B$2</f>
        <v>116.81500317864</v>
      </c>
      <c r="E1496" s="3" t="n">
        <f aca="false">C1496*100/C$2</f>
        <v>111.253718657034</v>
      </c>
      <c r="F1496" s="0" t="n">
        <v>114.949279969043</v>
      </c>
      <c r="G1496" s="0" t="n">
        <v>104.828363734726</v>
      </c>
      <c r="H1496" s="0" t="n">
        <v>103.429664258394</v>
      </c>
      <c r="I1496" s="0" t="n">
        <v>-1.39869947633284</v>
      </c>
    </row>
    <row r="1497" customFormat="false" ht="13.8" hidden="false" customHeight="false" outlineLevel="0" collapsed="false">
      <c r="A1497" s="2" t="n">
        <v>41554</v>
      </c>
      <c r="B1497" s="0" t="n">
        <v>1676.12</v>
      </c>
      <c r="C1497" s="0" t="n">
        <v>261.85</v>
      </c>
      <c r="D1497" s="3" t="n">
        <f aca="false">B1497*100/B$2</f>
        <v>115.82133281738</v>
      </c>
      <c r="E1497" s="3" t="n">
        <f aca="false">C1497*100/C$2</f>
        <v>111.283467913302</v>
      </c>
      <c r="F1497" s="0" t="n">
        <v>114.484922192432</v>
      </c>
      <c r="G1497" s="0" t="n">
        <v>104.673249563766</v>
      </c>
      <c r="H1497" s="0" t="n">
        <v>104.424139396515</v>
      </c>
      <c r="I1497" s="0" t="n">
        <v>-0.249110167250521</v>
      </c>
    </row>
    <row r="1498" customFormat="false" ht="13.8" hidden="false" customHeight="false" outlineLevel="0" collapsed="false">
      <c r="A1498" s="2" t="n">
        <v>41555</v>
      </c>
      <c r="B1498" s="0" t="n">
        <v>1655.45</v>
      </c>
      <c r="C1498" s="0" t="n">
        <v>263.14</v>
      </c>
      <c r="D1498" s="3" t="n">
        <f aca="false">B1498*100/B$2</f>
        <v>114.393018049145</v>
      </c>
      <c r="E1498" s="3" t="n">
        <f aca="false">C1498*100/C$2</f>
        <v>111.831704207395</v>
      </c>
      <c r="F1498" s="0" t="n">
        <v>112.667569584566</v>
      </c>
      <c r="G1498" s="0" t="n">
        <v>104.066180710154</v>
      </c>
      <c r="H1498" s="0" t="n">
        <v>104.424139396515</v>
      </c>
      <c r="I1498" s="0" t="n">
        <v>0.357958686360831</v>
      </c>
    </row>
    <row r="1499" customFormat="false" ht="13.8" hidden="false" customHeight="false" outlineLevel="0" collapsed="false">
      <c r="A1499" s="2" t="n">
        <v>41556</v>
      </c>
      <c r="B1499" s="0" t="n">
        <v>1656.4</v>
      </c>
      <c r="C1499" s="0" t="n">
        <v>263.14</v>
      </c>
      <c r="D1499" s="3" t="n">
        <f aca="false">B1499*100/B$2</f>
        <v>114.458663865779</v>
      </c>
      <c r="E1499" s="3" t="n">
        <f aca="false">C1499*100/C$2</f>
        <v>111.831704207395</v>
      </c>
      <c r="F1499" s="0" t="n">
        <v>112.977141435639</v>
      </c>
      <c r="G1499" s="0" t="n">
        <v>104.169590157461</v>
      </c>
      <c r="H1499" s="0" t="n">
        <v>104.407139821504</v>
      </c>
      <c r="I1499" s="0" t="n">
        <v>0.237549664043016</v>
      </c>
    </row>
    <row r="1500" customFormat="false" ht="13.8" hidden="false" customHeight="false" outlineLevel="0" collapsed="false">
      <c r="A1500" s="2" t="n">
        <v>41557</v>
      </c>
      <c r="B1500" s="0" t="n">
        <v>1692.56</v>
      </c>
      <c r="C1500" s="0" t="n">
        <v>262.9</v>
      </c>
      <c r="D1500" s="3" t="n">
        <f aca="false">B1500*100/B$2</f>
        <v>116.957350949446</v>
      </c>
      <c r="E1500" s="3" t="n">
        <f aca="false">C1500*100/C$2</f>
        <v>111.729706757331</v>
      </c>
      <c r="F1500" s="0" t="n">
        <v>113.198955195003</v>
      </c>
      <c r="G1500" s="0" t="n">
        <v>104.243684873054</v>
      </c>
      <c r="H1500" s="0" t="n">
        <v>105.762855928602</v>
      </c>
      <c r="I1500" s="0" t="n">
        <v>1.51917105554747</v>
      </c>
    </row>
    <row r="1501" customFormat="false" ht="13.8" hidden="false" customHeight="false" outlineLevel="0" collapsed="false">
      <c r="A1501" s="2" t="n">
        <v>41558</v>
      </c>
      <c r="B1501" s="0" t="n">
        <v>1703.2</v>
      </c>
      <c r="C1501" s="0" t="n">
        <v>266.35</v>
      </c>
      <c r="D1501" s="3" t="n">
        <f aca="false">B1501*100/B$2</f>
        <v>117.692584095746</v>
      </c>
      <c r="E1501" s="3" t="n">
        <f aca="false">C1501*100/C$2</f>
        <v>113.195920101997</v>
      </c>
      <c r="F1501" s="0" t="n">
        <v>112.839630725006</v>
      </c>
      <c r="G1501" s="0" t="n">
        <v>104.123656050287</v>
      </c>
      <c r="H1501" s="0" t="n">
        <v>106.986825329367</v>
      </c>
      <c r="I1501" s="0" t="n">
        <v>2.86316927907973</v>
      </c>
    </row>
    <row r="1502" customFormat="false" ht="13.8" hidden="false" customHeight="false" outlineLevel="0" collapsed="false">
      <c r="A1502" s="2" t="n">
        <v>41561</v>
      </c>
      <c r="B1502" s="0" t="n">
        <v>1710.14</v>
      </c>
      <c r="C1502" s="0" t="n">
        <v>265.81</v>
      </c>
      <c r="D1502" s="3" t="n">
        <f aca="false">B1502*100/B$2</f>
        <v>118.172144061472</v>
      </c>
      <c r="E1502" s="3" t="n">
        <f aca="false">C1502*100/C$2</f>
        <v>112.966425839354</v>
      </c>
      <c r="F1502" s="0" t="n">
        <v>112.839630725006</v>
      </c>
      <c r="G1502" s="0" t="n">
        <v>104.123656050287</v>
      </c>
      <c r="H1502" s="0" t="n">
        <v>106.727581810455</v>
      </c>
      <c r="I1502" s="0" t="n">
        <v>2.6039257601677</v>
      </c>
    </row>
    <row r="1503" customFormat="false" ht="13.8" hidden="false" customHeight="false" outlineLevel="0" collapsed="false">
      <c r="A1503" s="2" t="n">
        <v>41562</v>
      </c>
      <c r="B1503" s="0" t="n">
        <v>1698.06</v>
      </c>
      <c r="C1503" s="0" t="n">
        <v>269.02</v>
      </c>
      <c r="D1503" s="3" t="n">
        <f aca="false">B1503*100/B$2</f>
        <v>117.337405677327</v>
      </c>
      <c r="E1503" s="3" t="n">
        <f aca="false">C1503*100/C$2</f>
        <v>114.330641733957</v>
      </c>
      <c r="F1503" s="0" t="n">
        <v>113.309516570386</v>
      </c>
      <c r="G1503" s="0" t="n">
        <v>104.280616818521</v>
      </c>
      <c r="H1503" s="0" t="n">
        <v>107.118572035699</v>
      </c>
      <c r="I1503" s="0" t="n">
        <v>2.83795521717796</v>
      </c>
    </row>
    <row r="1504" customFormat="false" ht="13.8" hidden="false" customHeight="false" outlineLevel="0" collapsed="false">
      <c r="A1504" s="2" t="n">
        <v>41563</v>
      </c>
      <c r="B1504" s="0" t="n">
        <v>1721.54</v>
      </c>
      <c r="C1504" s="0" t="n">
        <v>268.25</v>
      </c>
      <c r="D1504" s="3" t="n">
        <f aca="false">B1504*100/B$2</f>
        <v>118.95989386108</v>
      </c>
      <c r="E1504" s="3" t="n">
        <f aca="false">C1504*100/C$2</f>
        <v>114.003399915002</v>
      </c>
      <c r="F1504" s="0" t="n">
        <v>114.229249011858</v>
      </c>
      <c r="G1504" s="0" t="n">
        <v>104.587844439874</v>
      </c>
      <c r="H1504" s="0" t="n">
        <v>107.161070973226</v>
      </c>
      <c r="I1504" s="0" t="n">
        <v>2.57322653335216</v>
      </c>
    </row>
    <row r="1505" customFormat="false" ht="13.8" hidden="false" customHeight="false" outlineLevel="0" collapsed="false">
      <c r="A1505" s="2" t="n">
        <v>41564</v>
      </c>
      <c r="B1505" s="0" t="n">
        <v>1733.15</v>
      </c>
      <c r="C1505" s="0" t="n">
        <v>269.59</v>
      </c>
      <c r="D1505" s="3" t="n">
        <f aca="false">B1505*100/B$2</f>
        <v>119.762154841206</v>
      </c>
      <c r="E1505" s="3" t="n">
        <f aca="false">C1505*100/C$2</f>
        <v>114.572885677858</v>
      </c>
      <c r="F1505" s="0" t="n">
        <v>114.367450731087</v>
      </c>
      <c r="G1505" s="0" t="n">
        <v>104.634009371707</v>
      </c>
      <c r="H1505" s="0" t="n">
        <v>108.210794730132</v>
      </c>
      <c r="I1505" s="0" t="n">
        <v>3.57678535842467</v>
      </c>
    </row>
    <row r="1506" customFormat="false" ht="13.8" hidden="false" customHeight="false" outlineLevel="0" collapsed="false">
      <c r="A1506" s="2" t="n">
        <v>41565</v>
      </c>
      <c r="B1506" s="0" t="n">
        <v>1744.5</v>
      </c>
      <c r="C1506" s="0" t="n">
        <v>271.24</v>
      </c>
      <c r="D1506" s="3" t="n">
        <f aca="false">B1506*100/B$2</f>
        <v>120.546449597833</v>
      </c>
      <c r="E1506" s="3" t="n">
        <f aca="false">C1506*100/C$2</f>
        <v>115.274118147046</v>
      </c>
      <c r="F1506" s="0" t="n">
        <v>114.373669808452</v>
      </c>
      <c r="G1506" s="0" t="n">
        <v>104.63608679364</v>
      </c>
      <c r="H1506" s="0" t="n">
        <v>108.478538036549</v>
      </c>
      <c r="I1506" s="0" t="n">
        <v>3.8424512429095</v>
      </c>
    </row>
    <row r="1507" customFormat="false" ht="13.8" hidden="false" customHeight="false" outlineLevel="0" collapsed="false">
      <c r="A1507" s="2" t="n">
        <v>41568</v>
      </c>
      <c r="B1507" s="0" t="n">
        <v>1744.66</v>
      </c>
      <c r="C1507" s="0" t="n">
        <v>271.22</v>
      </c>
      <c r="D1507" s="3" t="n">
        <f aca="false">B1507*100/B$2</f>
        <v>120.557505735371</v>
      </c>
      <c r="E1507" s="3" t="n">
        <f aca="false">C1507*100/C$2</f>
        <v>115.265618359541</v>
      </c>
      <c r="F1507" s="0" t="n">
        <v>115.516598026479</v>
      </c>
      <c r="G1507" s="0" t="n">
        <v>105.017870779903</v>
      </c>
      <c r="H1507" s="0" t="n">
        <v>109.698257543561</v>
      </c>
      <c r="I1507" s="0" t="n">
        <v>4.68038676365826</v>
      </c>
    </row>
    <row r="1508" customFormat="false" ht="13.8" hidden="false" customHeight="false" outlineLevel="0" collapsed="false">
      <c r="A1508" s="2" t="n">
        <v>41569</v>
      </c>
      <c r="B1508" s="0" t="n">
        <v>1754.67</v>
      </c>
      <c r="C1508" s="0" t="n">
        <v>271.11</v>
      </c>
      <c r="D1508" s="3" t="n">
        <f aca="false">B1508*100/B$2</f>
        <v>121.249205340114</v>
      </c>
      <c r="E1508" s="3" t="n">
        <f aca="false">C1508*100/C$2</f>
        <v>115.218869528262</v>
      </c>
      <c r="F1508" s="0" t="n">
        <v>116.365156582548</v>
      </c>
      <c r="G1508" s="0" t="n">
        <v>105.301323461361</v>
      </c>
      <c r="H1508" s="0" t="n">
        <v>111.00722481938</v>
      </c>
      <c r="I1508" s="0" t="n">
        <v>5.7059013580183</v>
      </c>
    </row>
    <row r="1509" customFormat="false" ht="13.8" hidden="false" customHeight="false" outlineLevel="0" collapsed="false">
      <c r="A1509" s="2" t="n">
        <v>41570</v>
      </c>
      <c r="B1509" s="0" t="n">
        <v>1746.38</v>
      </c>
      <c r="C1509" s="0" t="n">
        <v>268.03</v>
      </c>
      <c r="D1509" s="3" t="n">
        <f aca="false">B1509*100/B$2</f>
        <v>120.676359213909</v>
      </c>
      <c r="E1509" s="3" t="n">
        <f aca="false">C1509*100/C$2</f>
        <v>113.909902252444</v>
      </c>
      <c r="F1509" s="0" t="n">
        <v>116.720335000967</v>
      </c>
      <c r="G1509" s="0" t="n">
        <v>105.419967336173</v>
      </c>
      <c r="H1509" s="0" t="n">
        <v>111.508712282193</v>
      </c>
      <c r="I1509" s="0" t="n">
        <v>6.08874494601947</v>
      </c>
    </row>
    <row r="1510" customFormat="false" ht="13.8" hidden="false" customHeight="false" outlineLevel="0" collapsed="false">
      <c r="A1510" s="2" t="n">
        <v>41571</v>
      </c>
      <c r="B1510" s="0" t="n">
        <v>1752.07</v>
      </c>
      <c r="C1510" s="0" t="n">
        <v>269.36</v>
      </c>
      <c r="D1510" s="3" t="n">
        <f aca="false">B1510*100/B$2</f>
        <v>121.069543105116</v>
      </c>
      <c r="E1510" s="3" t="n">
        <f aca="false">C1510*100/C$2</f>
        <v>114.475138121547</v>
      </c>
      <c r="F1510" s="0" t="n">
        <v>116.325769092567</v>
      </c>
      <c r="G1510" s="0" t="n">
        <v>105.288166455789</v>
      </c>
      <c r="H1510" s="0" t="n">
        <v>111.483212919677</v>
      </c>
      <c r="I1510" s="0" t="n">
        <v>6.19504646388835</v>
      </c>
    </row>
    <row r="1511" customFormat="false" ht="13.8" hidden="false" customHeight="false" outlineLevel="0" collapsed="false">
      <c r="A1511" s="2" t="n">
        <v>41572</v>
      </c>
      <c r="B1511" s="0" t="n">
        <v>1759.77</v>
      </c>
      <c r="C1511" s="0" t="n">
        <v>267.51</v>
      </c>
      <c r="D1511" s="3" t="n">
        <f aca="false">B1511*100/B$2</f>
        <v>121.601619724149</v>
      </c>
      <c r="E1511" s="3" t="n">
        <f aca="false">C1511*100/C$2</f>
        <v>113.688907777306</v>
      </c>
      <c r="F1511" s="0" t="n">
        <v>116.641560021007</v>
      </c>
      <c r="G1511" s="0" t="n">
        <v>105.393653325028</v>
      </c>
      <c r="H1511" s="0" t="n">
        <v>110.849978750531</v>
      </c>
      <c r="I1511" s="0" t="n">
        <v>5.4563254255029</v>
      </c>
    </row>
    <row r="1512" customFormat="false" ht="13.8" hidden="false" customHeight="false" outlineLevel="0" collapsed="false">
      <c r="A1512" s="2" t="n">
        <v>41575</v>
      </c>
      <c r="B1512" s="0" t="n">
        <v>1762.11</v>
      </c>
      <c r="C1512" s="0" t="n">
        <v>269.74</v>
      </c>
      <c r="D1512" s="3" t="n">
        <f aca="false">B1512*100/B$2</f>
        <v>121.763315735648</v>
      </c>
      <c r="E1512" s="3" t="n">
        <f aca="false">C1512*100/C$2</f>
        <v>114.636634084148</v>
      </c>
      <c r="F1512" s="0" t="n">
        <v>117.305619281904</v>
      </c>
      <c r="G1512" s="0" t="n">
        <v>105.615475822489</v>
      </c>
      <c r="H1512" s="0" t="n">
        <v>112.137696557586</v>
      </c>
      <c r="I1512" s="0" t="n">
        <v>6.52222073509745</v>
      </c>
    </row>
    <row r="1513" customFormat="false" ht="13.8" hidden="false" customHeight="false" outlineLevel="0" collapsed="false">
      <c r="A1513" s="2" t="n">
        <v>41576</v>
      </c>
      <c r="B1513" s="0" t="n">
        <v>1771.95</v>
      </c>
      <c r="C1513" s="0" t="n">
        <v>270.28</v>
      </c>
      <c r="D1513" s="3" t="n">
        <f aca="false">B1513*100/B$2</f>
        <v>122.443268194256</v>
      </c>
      <c r="E1513" s="3" t="n">
        <f aca="false">C1513*100/C$2</f>
        <v>114.866128346791</v>
      </c>
      <c r="F1513" s="0" t="n">
        <v>117.800381436745</v>
      </c>
      <c r="G1513" s="0" t="n">
        <v>105.780746278453</v>
      </c>
      <c r="H1513" s="0" t="n">
        <v>111.585210369741</v>
      </c>
      <c r="I1513" s="0" t="n">
        <v>5.80446409128798</v>
      </c>
    </row>
    <row r="1514" customFormat="false" ht="13.8" hidden="false" customHeight="false" outlineLevel="0" collapsed="false">
      <c r="A1514" s="2" t="n">
        <v>41577</v>
      </c>
      <c r="B1514" s="0" t="n">
        <v>1763.31</v>
      </c>
      <c r="C1514" s="0" t="n">
        <v>271.44</v>
      </c>
      <c r="D1514" s="3" t="n">
        <f aca="false">B1514*100/B$2</f>
        <v>121.846236767185</v>
      </c>
      <c r="E1514" s="3" t="n">
        <f aca="false">C1514*100/C$2</f>
        <v>115.359116022099</v>
      </c>
      <c r="F1514" s="0" t="n">
        <v>119.234915282346</v>
      </c>
      <c r="G1514" s="0" t="n">
        <v>106.259938270885</v>
      </c>
      <c r="H1514" s="0" t="n">
        <v>111.585210369741</v>
      </c>
      <c r="I1514" s="0" t="n">
        <v>5.32527209885561</v>
      </c>
    </row>
    <row r="1515" customFormat="false" ht="13.8" hidden="false" customHeight="false" outlineLevel="0" collapsed="false">
      <c r="A1515" s="2" t="n">
        <v>41578</v>
      </c>
      <c r="B1515" s="0" t="n">
        <v>1756.54</v>
      </c>
      <c r="C1515" s="0" t="n">
        <v>266.91</v>
      </c>
      <c r="D1515" s="3" t="n">
        <f aca="false">B1515*100/B$2</f>
        <v>121.378423947594</v>
      </c>
      <c r="E1515" s="3" t="n">
        <f aca="false">C1515*100/C$2</f>
        <v>113.433914152146</v>
      </c>
      <c r="F1515" s="0" t="n">
        <v>119.015174548771</v>
      </c>
      <c r="G1515" s="0" t="n">
        <v>106.18653602927</v>
      </c>
      <c r="H1515" s="0" t="n">
        <v>111.585210369741</v>
      </c>
      <c r="I1515" s="0" t="n">
        <v>5.39867434047098</v>
      </c>
    </row>
    <row r="1516" customFormat="false" ht="13.8" hidden="false" customHeight="false" outlineLevel="0" collapsed="false">
      <c r="A1516" s="2" t="n">
        <v>41579</v>
      </c>
      <c r="B1516" s="0" t="n">
        <v>1761.64</v>
      </c>
      <c r="C1516" s="0" t="n">
        <v>268.63</v>
      </c>
      <c r="D1516" s="3" t="n">
        <f aca="false">B1516*100/B$2</f>
        <v>121.730838331629</v>
      </c>
      <c r="E1516" s="3" t="n">
        <f aca="false">C1516*100/C$2</f>
        <v>114.164895877603</v>
      </c>
      <c r="F1516" s="0" t="n">
        <v>118.156250863761</v>
      </c>
      <c r="G1516" s="0" t="n">
        <v>105.899620977924</v>
      </c>
      <c r="H1516" s="0" t="n">
        <v>111.585210369741</v>
      </c>
      <c r="I1516" s="0" t="n">
        <v>5.68558939181656</v>
      </c>
    </row>
    <row r="1517" customFormat="false" ht="13.8" hidden="false" customHeight="false" outlineLevel="0" collapsed="false">
      <c r="A1517" s="2" t="n">
        <v>41582</v>
      </c>
      <c r="B1517" s="0" t="n">
        <v>1767.93</v>
      </c>
      <c r="C1517" s="0" t="n">
        <v>266.59</v>
      </c>
      <c r="D1517" s="3" t="n">
        <f aca="false">B1517*100/B$2</f>
        <v>122.165482738605</v>
      </c>
      <c r="E1517" s="3" t="n">
        <f aca="false">C1517*100/C$2</f>
        <v>113.297917552061</v>
      </c>
      <c r="F1517" s="0" t="n">
        <v>117.59860692667</v>
      </c>
      <c r="G1517" s="0" t="n">
        <v>105.713345477976</v>
      </c>
      <c r="H1517" s="0" t="n">
        <v>111.780705482363</v>
      </c>
      <c r="I1517" s="0" t="n">
        <v>6.06736000438717</v>
      </c>
    </row>
    <row r="1518" customFormat="false" ht="13.8" hidden="false" customHeight="false" outlineLevel="0" collapsed="false">
      <c r="A1518" s="2" t="n">
        <v>41583</v>
      </c>
      <c r="B1518" s="0" t="n">
        <v>1762.97</v>
      </c>
      <c r="C1518" s="0" t="n">
        <v>264.96</v>
      </c>
      <c r="D1518" s="3" t="n">
        <f aca="false">B1518*100/B$2</f>
        <v>121.822742474916</v>
      </c>
      <c r="E1518" s="3" t="n">
        <f aca="false">C1518*100/C$2</f>
        <v>112.605184870378</v>
      </c>
      <c r="F1518" s="0" t="n">
        <v>117.293181127173</v>
      </c>
      <c r="G1518" s="0" t="n">
        <v>105.611320978624</v>
      </c>
      <c r="H1518" s="0" t="n">
        <v>111.699957501062</v>
      </c>
      <c r="I1518" s="0" t="n">
        <v>6.08863652243889</v>
      </c>
    </row>
    <row r="1519" customFormat="false" ht="13.8" hidden="false" customHeight="false" outlineLevel="0" collapsed="false">
      <c r="A1519" s="2" t="n">
        <v>41584</v>
      </c>
      <c r="B1519" s="0" t="n">
        <v>1770.49</v>
      </c>
      <c r="C1519" s="0" t="n">
        <v>264.62</v>
      </c>
      <c r="D1519" s="3" t="n">
        <f aca="false">B1519*100/B$2</f>
        <v>122.342380939219</v>
      </c>
      <c r="E1519" s="3" t="n">
        <f aca="false">C1519*100/C$2</f>
        <v>112.460688482788</v>
      </c>
      <c r="F1519" s="0" t="n">
        <v>116.971862129965</v>
      </c>
      <c r="G1519" s="0" t="n">
        <v>105.503987512111</v>
      </c>
      <c r="H1519" s="0" t="n">
        <v>111.113472163196</v>
      </c>
      <c r="I1519" s="0" t="n">
        <v>5.60948465108535</v>
      </c>
    </row>
    <row r="1520" customFormat="false" ht="13.8" hidden="false" customHeight="false" outlineLevel="0" collapsed="false">
      <c r="A1520" s="2" t="n">
        <v>41585</v>
      </c>
      <c r="B1520" s="0" t="n">
        <v>1747.15</v>
      </c>
      <c r="C1520" s="0" t="n">
        <v>263.34</v>
      </c>
      <c r="D1520" s="3" t="n">
        <f aca="false">B1520*100/B$2</f>
        <v>120.729566875812</v>
      </c>
      <c r="E1520" s="3" t="n">
        <f aca="false">C1520*100/C$2</f>
        <v>111.916702082448</v>
      </c>
      <c r="F1520" s="0" t="n">
        <v>117.379557201692</v>
      </c>
      <c r="G1520" s="0" t="n">
        <v>105.64017406102</v>
      </c>
      <c r="H1520" s="0" t="n">
        <v>111.636209094773</v>
      </c>
      <c r="I1520" s="0" t="n">
        <v>5.99603503375306</v>
      </c>
    </row>
    <row r="1521" customFormat="false" ht="13.8" hidden="false" customHeight="false" outlineLevel="0" collapsed="false">
      <c r="A1521" s="2" t="n">
        <v>41586</v>
      </c>
      <c r="B1521" s="0" t="n">
        <v>1770.61</v>
      </c>
      <c r="C1521" s="0" t="n">
        <v>260.53</v>
      </c>
      <c r="D1521" s="3" t="n">
        <f aca="false">B1521*100/B$2</f>
        <v>122.350673042373</v>
      </c>
      <c r="E1521" s="3" t="n">
        <f aca="false">C1521*100/C$2</f>
        <v>110.722481937952</v>
      </c>
      <c r="F1521" s="0" t="n">
        <v>116.901379253158</v>
      </c>
      <c r="G1521" s="0" t="n">
        <v>105.480443396875</v>
      </c>
      <c r="H1521" s="0" t="n">
        <v>111.746706332342</v>
      </c>
      <c r="I1521" s="0" t="n">
        <v>6.26626293546624</v>
      </c>
    </row>
    <row r="1522" customFormat="false" ht="13.8" hidden="false" customHeight="false" outlineLevel="0" collapsed="false">
      <c r="A1522" s="2" t="n">
        <v>41589</v>
      </c>
      <c r="B1522" s="0" t="n">
        <v>1771.89</v>
      </c>
      <c r="C1522" s="0" t="n">
        <v>260.15</v>
      </c>
      <c r="D1522" s="3" t="n">
        <f aca="false">B1522*100/B$2</f>
        <v>122.439122142679</v>
      </c>
      <c r="E1522" s="3" t="n">
        <f aca="false">C1522*100/C$2</f>
        <v>110.560985975351</v>
      </c>
      <c r="F1522" s="0" t="n">
        <v>116.196550485088</v>
      </c>
      <c r="G1522" s="0" t="n">
        <v>105.245002244524</v>
      </c>
      <c r="H1522" s="0" t="n">
        <v>110.883977900552</v>
      </c>
      <c r="I1522" s="0" t="n">
        <v>5.63897565602822</v>
      </c>
    </row>
    <row r="1523" customFormat="false" ht="13.8" hidden="false" customHeight="false" outlineLevel="0" collapsed="false">
      <c r="A1523" s="2" t="n">
        <v>41590</v>
      </c>
      <c r="B1523" s="0" t="n">
        <v>1767.69</v>
      </c>
      <c r="C1523" s="0" t="n">
        <v>262.81</v>
      </c>
      <c r="D1523" s="3" t="n">
        <f aca="false">B1523*100/B$2</f>
        <v>122.148898532298</v>
      </c>
      <c r="E1523" s="3" t="n">
        <f aca="false">C1523*100/C$2</f>
        <v>111.691457713557</v>
      </c>
      <c r="F1523" s="0" t="n">
        <v>117.125957046906</v>
      </c>
      <c r="G1523" s="0" t="n">
        <v>105.555461411105</v>
      </c>
      <c r="H1523" s="0" t="n">
        <v>111.126221844454</v>
      </c>
      <c r="I1523" s="0" t="n">
        <v>5.57076043334891</v>
      </c>
    </row>
    <row r="1524" customFormat="false" ht="13.8" hidden="false" customHeight="false" outlineLevel="0" collapsed="false">
      <c r="A1524" s="2" t="n">
        <v>41591</v>
      </c>
      <c r="B1524" s="0" t="n">
        <v>1782</v>
      </c>
      <c r="C1524" s="0" t="n">
        <v>258.04</v>
      </c>
      <c r="D1524" s="3" t="n">
        <f aca="false">B1524*100/B$2</f>
        <v>123.137731833384</v>
      </c>
      <c r="E1524" s="3" t="n">
        <f aca="false">C1524*100/C$2</f>
        <v>109.66425839354</v>
      </c>
      <c r="F1524" s="0" t="n">
        <v>117.047873075541</v>
      </c>
      <c r="G1524" s="0" t="n">
        <v>105.529378224619</v>
      </c>
      <c r="H1524" s="0" t="n">
        <v>111.291967700807</v>
      </c>
      <c r="I1524" s="0" t="n">
        <v>5.76258947618845</v>
      </c>
    </row>
    <row r="1525" customFormat="false" ht="13.8" hidden="false" customHeight="false" outlineLevel="0" collapsed="false">
      <c r="A1525" s="2" t="n">
        <v>41592</v>
      </c>
      <c r="B1525" s="0" t="n">
        <v>1790.62</v>
      </c>
      <c r="C1525" s="0" t="n">
        <v>258.44</v>
      </c>
      <c r="D1525" s="3" t="n">
        <f aca="false">B1525*100/B$2</f>
        <v>123.733381243263</v>
      </c>
      <c r="E1525" s="3" t="n">
        <f aca="false">C1525*100/C$2</f>
        <v>109.834254143646</v>
      </c>
      <c r="F1525" s="0" t="n">
        <v>115.996849000802</v>
      </c>
      <c r="G1525" s="0" t="n">
        <v>105.178293918025</v>
      </c>
      <c r="H1525" s="0" t="n">
        <v>111.291967700807</v>
      </c>
      <c r="I1525" s="0" t="n">
        <v>6.11367378278271</v>
      </c>
    </row>
    <row r="1526" customFormat="false" ht="13.8" hidden="false" customHeight="false" outlineLevel="0" collapsed="false">
      <c r="A1526" s="2" t="n">
        <v>41593</v>
      </c>
      <c r="B1526" s="0" t="n">
        <v>1798.18</v>
      </c>
      <c r="C1526" s="0" t="n">
        <v>264.2</v>
      </c>
      <c r="D1526" s="3" t="n">
        <f aca="false">B1526*100/B$2</f>
        <v>124.25578374195</v>
      </c>
      <c r="E1526" s="3" t="n">
        <f aca="false">C1526*100/C$2</f>
        <v>112.282192945176</v>
      </c>
      <c r="F1526" s="0" t="n">
        <v>116.81500317864</v>
      </c>
      <c r="G1526" s="0" t="n">
        <v>105.451590314479</v>
      </c>
      <c r="H1526" s="0" t="n">
        <v>111.253718657034</v>
      </c>
      <c r="I1526" s="0" t="n">
        <v>5.8021283425541</v>
      </c>
    </row>
    <row r="1527" customFormat="false" ht="13.8" hidden="false" customHeight="false" outlineLevel="0" collapsed="false">
      <c r="A1527" s="2" t="n">
        <v>41596</v>
      </c>
      <c r="B1527" s="0" t="n">
        <v>1791.53</v>
      </c>
      <c r="C1527" s="0" t="n">
        <v>265.03</v>
      </c>
      <c r="D1527" s="3" t="n">
        <f aca="false">B1527*100/B$2</f>
        <v>123.796263025512</v>
      </c>
      <c r="E1527" s="3" t="n">
        <f aca="false">C1527*100/C$2</f>
        <v>112.634934126647</v>
      </c>
      <c r="F1527" s="0" t="n">
        <v>115.82133281738</v>
      </c>
      <c r="G1527" s="0" t="n">
        <v>105.119664454596</v>
      </c>
      <c r="H1527" s="0" t="n">
        <v>111.283467913302</v>
      </c>
      <c r="I1527" s="0" t="n">
        <v>6.16380345870603</v>
      </c>
    </row>
    <row r="1528" customFormat="false" ht="13.8" hidden="false" customHeight="false" outlineLevel="0" collapsed="false">
      <c r="A1528" s="2" t="n">
        <v>41597</v>
      </c>
      <c r="B1528" s="0" t="n">
        <v>1787.87</v>
      </c>
      <c r="C1528" s="0" t="n">
        <v>267.81</v>
      </c>
      <c r="D1528" s="3" t="n">
        <f aca="false">B1528*100/B$2</f>
        <v>123.543353879322</v>
      </c>
      <c r="E1528" s="3" t="n">
        <f aca="false">C1528*100/C$2</f>
        <v>113.816404589885</v>
      </c>
      <c r="F1528" s="0" t="n">
        <v>114.393018049145</v>
      </c>
      <c r="G1528" s="0" t="n">
        <v>104.642549884096</v>
      </c>
      <c r="H1528" s="0" t="n">
        <v>111.831704207395</v>
      </c>
      <c r="I1528" s="0" t="n">
        <v>7.18915432329852</v>
      </c>
    </row>
    <row r="1529" customFormat="false" ht="13.8" hidden="false" customHeight="false" outlineLevel="0" collapsed="false">
      <c r="A1529" s="2" t="n">
        <v>41598</v>
      </c>
      <c r="B1529" s="0" t="n">
        <v>1781.37</v>
      </c>
      <c r="C1529" s="0" t="n">
        <v>265.62</v>
      </c>
      <c r="D1529" s="3" t="n">
        <f aca="false">B1529*100/B$2</f>
        <v>123.094198291827</v>
      </c>
      <c r="E1529" s="3" t="n">
        <f aca="false">C1529*100/C$2</f>
        <v>112.885677858054</v>
      </c>
      <c r="F1529" s="0" t="n">
        <v>114.458663865779</v>
      </c>
      <c r="G1529" s="0" t="n">
        <v>104.664478226717</v>
      </c>
      <c r="H1529" s="0" t="n">
        <v>111.831704207395</v>
      </c>
      <c r="I1529" s="0" t="n">
        <v>7.16722598067759</v>
      </c>
    </row>
    <row r="1530" customFormat="false" ht="13.8" hidden="false" customHeight="false" outlineLevel="0" collapsed="false">
      <c r="A1530" s="2" t="n">
        <v>41599</v>
      </c>
      <c r="B1530" s="0" t="n">
        <v>1795.85</v>
      </c>
      <c r="C1530" s="0" t="n">
        <v>262.2</v>
      </c>
      <c r="D1530" s="3" t="n">
        <f aca="false">B1530*100/B$2</f>
        <v>124.094778739048</v>
      </c>
      <c r="E1530" s="3" t="n">
        <f aca="false">C1530*100/C$2</f>
        <v>111.432214194645</v>
      </c>
      <c r="F1530" s="0" t="n">
        <v>116.957350949446</v>
      </c>
      <c r="G1530" s="0" t="n">
        <v>105.499140194268</v>
      </c>
      <c r="H1530" s="0" t="n">
        <v>111.729706757331</v>
      </c>
      <c r="I1530" s="0" t="n">
        <v>6.23056656306301</v>
      </c>
    </row>
    <row r="1531" customFormat="false" ht="13.8" hidden="false" customHeight="false" outlineLevel="0" collapsed="false">
      <c r="A1531" s="2" t="n">
        <v>41600</v>
      </c>
      <c r="B1531" s="0" t="n">
        <v>1804.76</v>
      </c>
      <c r="C1531" s="0" t="n">
        <v>263.86</v>
      </c>
      <c r="D1531" s="3" t="n">
        <f aca="false">B1531*100/B$2</f>
        <v>124.710467398214</v>
      </c>
      <c r="E1531" s="3" t="n">
        <f aca="false">C1531*100/C$2</f>
        <v>112.137696557586</v>
      </c>
      <c r="F1531" s="0" t="n">
        <v>117.692584095746</v>
      </c>
      <c r="G1531" s="0" t="n">
        <v>105.744737631623</v>
      </c>
      <c r="H1531" s="0" t="n">
        <v>113.195920101997</v>
      </c>
      <c r="I1531" s="0" t="n">
        <v>7.45118247037487</v>
      </c>
    </row>
    <row r="1532" customFormat="false" ht="13.8" hidden="false" customHeight="false" outlineLevel="0" collapsed="false">
      <c r="A1532" s="2" t="n">
        <v>41603</v>
      </c>
      <c r="B1532" s="0" t="n">
        <v>1802.48</v>
      </c>
      <c r="C1532" s="0" t="n">
        <v>265.21</v>
      </c>
      <c r="D1532" s="3" t="n">
        <f aca="false">B1532*100/B$2</f>
        <v>124.552917438293</v>
      </c>
      <c r="E1532" s="3" t="n">
        <f aca="false">C1532*100/C$2</f>
        <v>112.711432214195</v>
      </c>
      <c r="F1532" s="0" t="n">
        <v>118.172144061472</v>
      </c>
      <c r="G1532" s="0" t="n">
        <v>105.904929945085</v>
      </c>
      <c r="H1532" s="0" t="n">
        <v>112.966425839354</v>
      </c>
      <c r="I1532" s="0" t="n">
        <v>7.06149589426897</v>
      </c>
    </row>
    <row r="1533" customFormat="false" ht="13.8" hidden="false" customHeight="false" outlineLevel="0" collapsed="false">
      <c r="A1533" s="2" t="n">
        <v>41604</v>
      </c>
      <c r="B1533" s="0" t="n">
        <v>1802.75</v>
      </c>
      <c r="C1533" s="0" t="n">
        <v>266.26</v>
      </c>
      <c r="D1533" s="3" t="n">
        <f aca="false">B1533*100/B$2</f>
        <v>124.571574670389</v>
      </c>
      <c r="E1533" s="3" t="n">
        <f aca="false">C1533*100/C$2</f>
        <v>113.157671058224</v>
      </c>
      <c r="F1533" s="0" t="n">
        <v>117.337405677327</v>
      </c>
      <c r="G1533" s="0" t="n">
        <v>105.62609375681</v>
      </c>
      <c r="H1533" s="0" t="n">
        <v>114.330641733957</v>
      </c>
      <c r="I1533" s="0" t="n">
        <v>8.70454797714632</v>
      </c>
    </row>
    <row r="1534" customFormat="false" ht="13.8" hidden="false" customHeight="false" outlineLevel="0" collapsed="false">
      <c r="A1534" s="2" t="n">
        <v>41605</v>
      </c>
      <c r="B1534" s="0" t="n">
        <v>1807.23</v>
      </c>
      <c r="C1534" s="0" t="n">
        <v>267.15</v>
      </c>
      <c r="D1534" s="3" t="n">
        <f aca="false">B1534*100/B$2</f>
        <v>124.881146521463</v>
      </c>
      <c r="E1534" s="3" t="n">
        <f aca="false">C1534*100/C$2</f>
        <v>113.53591160221</v>
      </c>
      <c r="F1534" s="0" t="n">
        <v>118.95989386108</v>
      </c>
      <c r="G1534" s="0" t="n">
        <v>106.168070056536</v>
      </c>
      <c r="H1534" s="0" t="n">
        <v>114.003399915002</v>
      </c>
      <c r="I1534" s="0" t="n">
        <v>7.83532985846577</v>
      </c>
    </row>
    <row r="1535" customFormat="false" ht="13.8" hidden="false" customHeight="false" outlineLevel="0" collapsed="false">
      <c r="A1535" s="2" t="n">
        <v>41606</v>
      </c>
      <c r="B1535" s="0" t="n">
        <v>1807.23</v>
      </c>
      <c r="C1535" s="0" t="n">
        <v>269.7</v>
      </c>
      <c r="D1535" s="3" t="n">
        <f aca="false">B1535*100/B$2</f>
        <v>124.881146521463</v>
      </c>
      <c r="E1535" s="3" t="n">
        <f aca="false">C1535*100/C$2</f>
        <v>114.619634509137</v>
      </c>
      <c r="F1535" s="0" t="n">
        <v>119.762154841206</v>
      </c>
      <c r="G1535" s="0" t="n">
        <v>106.43605748583</v>
      </c>
      <c r="H1535" s="0" t="n">
        <v>114.572885677858</v>
      </c>
      <c r="I1535" s="0" t="n">
        <v>8.13682819202786</v>
      </c>
    </row>
    <row r="1536" customFormat="false" ht="13.8" hidden="false" customHeight="false" outlineLevel="0" collapsed="false">
      <c r="A1536" s="2" t="n">
        <v>41607</v>
      </c>
      <c r="B1536" s="0" t="n">
        <v>1805.81</v>
      </c>
      <c r="C1536" s="0" t="n">
        <v>269.57</v>
      </c>
      <c r="D1536" s="3" t="n">
        <f aca="false">B1536*100/B$2</f>
        <v>124.78302330081</v>
      </c>
      <c r="E1536" s="3" t="n">
        <f aca="false">C1536*100/C$2</f>
        <v>114.564385890353</v>
      </c>
      <c r="F1536" s="0" t="n">
        <v>120.546449597833</v>
      </c>
      <c r="G1536" s="0" t="n">
        <v>106.698043473986</v>
      </c>
      <c r="H1536" s="0" t="n">
        <v>115.274118147046</v>
      </c>
      <c r="I1536" s="0" t="n">
        <v>8.57607467306067</v>
      </c>
    </row>
    <row r="1537" customFormat="false" ht="13.8" hidden="false" customHeight="false" outlineLevel="0" collapsed="false">
      <c r="A1537" s="2" t="n">
        <v>41610</v>
      </c>
      <c r="B1537" s="0" t="n">
        <v>1800.9</v>
      </c>
      <c r="C1537" s="0" t="n">
        <v>267.58</v>
      </c>
      <c r="D1537" s="3" t="n">
        <f aca="false">B1537*100/B$2</f>
        <v>124.443738080102</v>
      </c>
      <c r="E1537" s="3" t="n">
        <f aca="false">C1537*100/C$2</f>
        <v>113.718657033574</v>
      </c>
      <c r="F1537" s="0" t="n">
        <v>120.557505735371</v>
      </c>
      <c r="G1537" s="0" t="n">
        <v>106.701736668532</v>
      </c>
      <c r="H1537" s="0" t="n">
        <v>115.265618359541</v>
      </c>
      <c r="I1537" s="0" t="n">
        <v>8.56388169100869</v>
      </c>
    </row>
    <row r="1538" customFormat="false" ht="13.8" hidden="false" customHeight="false" outlineLevel="0" collapsed="false">
      <c r="A1538" s="2" t="n">
        <v>41611</v>
      </c>
      <c r="B1538" s="0" t="n">
        <v>1795.15</v>
      </c>
      <c r="C1538" s="0" t="n">
        <v>264.84</v>
      </c>
      <c r="D1538" s="3" t="n">
        <f aca="false">B1538*100/B$2</f>
        <v>124.046408137317</v>
      </c>
      <c r="E1538" s="3" t="n">
        <f aca="false">C1538*100/C$2</f>
        <v>112.554186145346</v>
      </c>
      <c r="F1538" s="0" t="n">
        <v>121.249205340114</v>
      </c>
      <c r="G1538" s="0" t="n">
        <v>106.932792152359</v>
      </c>
      <c r="H1538" s="0" t="n">
        <v>115.218869528262</v>
      </c>
      <c r="I1538" s="0" t="n">
        <v>8.28607737590248</v>
      </c>
    </row>
    <row r="1539" customFormat="false" ht="13.8" hidden="false" customHeight="false" outlineLevel="0" collapsed="false">
      <c r="A1539" s="2" t="n">
        <v>41612</v>
      </c>
      <c r="B1539" s="0" t="n">
        <v>1792.81</v>
      </c>
      <c r="C1539" s="0" t="n">
        <v>261.48</v>
      </c>
      <c r="D1539" s="3" t="n">
        <f aca="false">B1539*100/B$2</f>
        <v>123.884712125819</v>
      </c>
      <c r="E1539" s="3" t="n">
        <f aca="false">C1539*100/C$2</f>
        <v>111.126221844454</v>
      </c>
      <c r="F1539" s="0" t="n">
        <v>120.676359213909</v>
      </c>
      <c r="G1539" s="0" t="n">
        <v>106.741438509909</v>
      </c>
      <c r="H1539" s="0" t="n">
        <v>113.909902252444</v>
      </c>
      <c r="I1539" s="0" t="n">
        <v>7.16846374253448</v>
      </c>
    </row>
    <row r="1540" customFormat="false" ht="13.8" hidden="false" customHeight="false" outlineLevel="0" collapsed="false">
      <c r="A1540" s="2" t="n">
        <v>41613</v>
      </c>
      <c r="B1540" s="0" t="n">
        <v>1785.03</v>
      </c>
      <c r="C1540" s="0" t="n">
        <v>261.1</v>
      </c>
      <c r="D1540" s="3" t="n">
        <f aca="false">B1540*100/B$2</f>
        <v>123.347107438017</v>
      </c>
      <c r="E1540" s="3" t="n">
        <f aca="false">C1540*100/C$2</f>
        <v>110.964725881853</v>
      </c>
      <c r="F1540" s="0" t="n">
        <v>121.069543105116</v>
      </c>
      <c r="G1540" s="0" t="n">
        <v>106.872777740976</v>
      </c>
      <c r="H1540" s="0" t="n">
        <v>114.475138121547</v>
      </c>
      <c r="I1540" s="0" t="n">
        <v>7.60236038057127</v>
      </c>
    </row>
    <row r="1541" customFormat="false" ht="13.8" hidden="false" customHeight="false" outlineLevel="0" collapsed="false">
      <c r="A1541" s="2" t="n">
        <v>41614</v>
      </c>
      <c r="B1541" s="0" t="n">
        <v>1805.09</v>
      </c>
      <c r="C1541" s="0" t="n">
        <v>260.71</v>
      </c>
      <c r="D1541" s="3" t="n">
        <f aca="false">B1541*100/B$2</f>
        <v>124.733270681887</v>
      </c>
      <c r="E1541" s="3" t="n">
        <f aca="false">C1541*100/C$2</f>
        <v>110.798980025499</v>
      </c>
      <c r="F1541" s="0" t="n">
        <v>121.601619724149</v>
      </c>
      <c r="G1541" s="0" t="n">
        <v>107.050512728535</v>
      </c>
      <c r="H1541" s="0" t="n">
        <v>113.688907777306</v>
      </c>
      <c r="I1541" s="0" t="n">
        <v>6.63839504877066</v>
      </c>
    </row>
    <row r="1542" customFormat="false" ht="13.8" hidden="false" customHeight="false" outlineLevel="0" collapsed="false">
      <c r="A1542" s="2" t="n">
        <v>41617</v>
      </c>
      <c r="B1542" s="0" t="n">
        <v>1808.37</v>
      </c>
      <c r="C1542" s="0" t="n">
        <v>263.7</v>
      </c>
      <c r="D1542" s="3" t="n">
        <f aca="false">B1542*100/B$2</f>
        <v>124.959921501423</v>
      </c>
      <c r="E1542" s="3" t="n">
        <f aca="false">C1542*100/C$2</f>
        <v>112.069698257544</v>
      </c>
      <c r="F1542" s="0" t="n">
        <v>121.763315735648</v>
      </c>
      <c r="G1542" s="0" t="n">
        <v>107.10452569878</v>
      </c>
      <c r="H1542" s="0" t="n">
        <v>114.636634084148</v>
      </c>
      <c r="I1542" s="0" t="n">
        <v>7.53210838536772</v>
      </c>
    </row>
    <row r="1543" customFormat="false" ht="13.8" hidden="false" customHeight="false" outlineLevel="0" collapsed="false">
      <c r="A1543" s="2" t="n">
        <v>41618</v>
      </c>
      <c r="B1543" s="0" t="n">
        <v>1802.62</v>
      </c>
      <c r="C1543" s="0" t="n">
        <v>262.68</v>
      </c>
      <c r="D1543" s="3" t="n">
        <f aca="false">B1543*100/B$2</f>
        <v>124.562591558639</v>
      </c>
      <c r="E1543" s="3" t="n">
        <f aca="false">C1543*100/C$2</f>
        <v>111.636209094773</v>
      </c>
      <c r="F1543" s="0" t="n">
        <v>122.443268194256</v>
      </c>
      <c r="G1543" s="0" t="n">
        <v>107.331657163401</v>
      </c>
      <c r="H1543" s="0" t="n">
        <v>114.866128346791</v>
      </c>
      <c r="I1543" s="0" t="n">
        <v>7.53447118339001</v>
      </c>
    </row>
    <row r="1544" customFormat="false" ht="13.8" hidden="false" customHeight="false" outlineLevel="0" collapsed="false">
      <c r="A1544" s="2" t="n">
        <v>41619</v>
      </c>
      <c r="B1544" s="0" t="n">
        <v>1782.22</v>
      </c>
      <c r="C1544" s="0" t="n">
        <v>260.55</v>
      </c>
      <c r="D1544" s="3" t="n">
        <f aca="false">B1544*100/B$2</f>
        <v>123.152934022499</v>
      </c>
      <c r="E1544" s="3" t="n">
        <f aca="false">C1544*100/C$2</f>
        <v>110.730981725457</v>
      </c>
      <c r="F1544" s="0" t="n">
        <v>121.846236767185</v>
      </c>
      <c r="G1544" s="0" t="n">
        <v>107.13222465788</v>
      </c>
      <c r="H1544" s="0" t="n">
        <v>115.359116022099</v>
      </c>
      <c r="I1544" s="0" t="n">
        <v>8.22689136421914</v>
      </c>
    </row>
    <row r="1545" customFormat="false" ht="13.8" hidden="false" customHeight="false" outlineLevel="0" collapsed="false">
      <c r="A1545" s="2" t="n">
        <v>41620</v>
      </c>
      <c r="B1545" s="0" t="n">
        <v>1775.5</v>
      </c>
      <c r="C1545" s="0" t="n">
        <v>259.05</v>
      </c>
      <c r="D1545" s="3" t="n">
        <f aca="false">B1545*100/B$2</f>
        <v>122.688576245889</v>
      </c>
      <c r="E1545" s="3" t="n">
        <f aca="false">C1545*100/C$2</f>
        <v>110.093497662558</v>
      </c>
      <c r="F1545" s="0" t="n">
        <v>121.378423947594</v>
      </c>
      <c r="G1545" s="0" t="n">
        <v>106.975956363624</v>
      </c>
      <c r="H1545" s="0" t="n">
        <v>113.433914152146</v>
      </c>
      <c r="I1545" s="0" t="n">
        <v>6.45795778852251</v>
      </c>
    </row>
    <row r="1546" customFormat="false" ht="13.8" hidden="false" customHeight="false" outlineLevel="0" collapsed="false">
      <c r="A1546" s="2" t="n">
        <v>41621</v>
      </c>
      <c r="B1546" s="0" t="n">
        <v>1775.32</v>
      </c>
      <c r="C1546" s="0" t="n">
        <v>258.04</v>
      </c>
      <c r="D1546" s="3" t="n">
        <f aca="false">B1546*100/B$2</f>
        <v>122.676138091158</v>
      </c>
      <c r="E1546" s="3" t="n">
        <f aca="false">C1546*100/C$2</f>
        <v>109.66425839354</v>
      </c>
      <c r="F1546" s="0" t="n">
        <v>121.730838331629</v>
      </c>
      <c r="G1546" s="0" t="n">
        <v>107.093676939799</v>
      </c>
      <c r="H1546" s="0" t="n">
        <v>114.164895877603</v>
      </c>
      <c r="I1546" s="0" t="n">
        <v>7.07121893780378</v>
      </c>
    </row>
    <row r="1547" customFormat="false" ht="13.8" hidden="false" customHeight="false" outlineLevel="0" collapsed="false">
      <c r="A1547" s="2" t="n">
        <v>41624</v>
      </c>
      <c r="B1547" s="0" t="n">
        <v>1786.54</v>
      </c>
      <c r="C1547" s="0" t="n">
        <v>257.9</v>
      </c>
      <c r="D1547" s="3" t="n">
        <f aca="false">B1547*100/B$2</f>
        <v>123.451449736035</v>
      </c>
      <c r="E1547" s="3" t="n">
        <f aca="false">C1547*100/C$2</f>
        <v>109.604759881003</v>
      </c>
      <c r="F1547" s="0" t="n">
        <v>122.165482738605</v>
      </c>
      <c r="G1547" s="0" t="n">
        <v>107.238865650416</v>
      </c>
      <c r="H1547" s="0" t="n">
        <v>113.297917552061</v>
      </c>
      <c r="I1547" s="0" t="n">
        <v>6.05905190164535</v>
      </c>
    </row>
    <row r="1548" customFormat="false" ht="13.8" hidden="false" customHeight="false" outlineLevel="0" collapsed="false">
      <c r="A1548" s="2" t="n">
        <v>41625</v>
      </c>
      <c r="B1548" s="0" t="n">
        <v>1781</v>
      </c>
      <c r="C1548" s="0" t="n">
        <v>258.72</v>
      </c>
      <c r="D1548" s="3" t="n">
        <f aca="false">B1548*100/B$2</f>
        <v>123.068630973769</v>
      </c>
      <c r="E1548" s="3" t="n">
        <f aca="false">C1548*100/C$2</f>
        <v>109.953251168721</v>
      </c>
      <c r="F1548" s="0" t="n">
        <v>121.822742474916</v>
      </c>
      <c r="G1548" s="0" t="n">
        <v>107.124376619469</v>
      </c>
      <c r="H1548" s="0" t="n">
        <v>112.605184870378</v>
      </c>
      <c r="I1548" s="0" t="n">
        <v>5.48080825090963</v>
      </c>
    </row>
    <row r="1549" customFormat="false" ht="13.8" hidden="false" customHeight="false" outlineLevel="0" collapsed="false">
      <c r="A1549" s="2" t="n">
        <v>41626</v>
      </c>
      <c r="B1549" s="0" t="n">
        <v>1810.65</v>
      </c>
      <c r="C1549" s="0" t="n">
        <v>259.98</v>
      </c>
      <c r="D1549" s="3" t="n">
        <f aca="false">B1549*100/B$2</f>
        <v>125.117471461345</v>
      </c>
      <c r="E1549" s="3" t="n">
        <f aca="false">C1549*100/C$2</f>
        <v>110.488737781555</v>
      </c>
      <c r="F1549" s="0" t="n">
        <v>122.342380939219</v>
      </c>
      <c r="G1549" s="0" t="n">
        <v>107.297956763163</v>
      </c>
      <c r="H1549" s="0" t="n">
        <v>112.460688482788</v>
      </c>
      <c r="I1549" s="0" t="n">
        <v>5.16273171962514</v>
      </c>
    </row>
    <row r="1550" customFormat="false" ht="13.8" hidden="false" customHeight="false" outlineLevel="0" collapsed="false">
      <c r="A1550" s="2" t="n">
        <v>41627</v>
      </c>
      <c r="B1550" s="0" t="n">
        <v>1809.6</v>
      </c>
      <c r="C1550" s="0" t="n">
        <v>260.2</v>
      </c>
      <c r="D1550" s="3" t="n">
        <f aca="false">B1550*100/B$2</f>
        <v>125.04491555875</v>
      </c>
      <c r="E1550" s="3" t="n">
        <f aca="false">C1550*100/C$2</f>
        <v>110.582235444114</v>
      </c>
      <c r="F1550" s="0" t="n">
        <v>120.729566875812</v>
      </c>
      <c r="G1550" s="0" t="n">
        <v>106.759212008665</v>
      </c>
      <c r="H1550" s="0" t="n">
        <v>111.916702082448</v>
      </c>
      <c r="I1550" s="0" t="n">
        <v>5.1574900737828</v>
      </c>
    </row>
    <row r="1551" customFormat="false" ht="13.8" hidden="false" customHeight="false" outlineLevel="0" collapsed="false">
      <c r="A1551" s="2" t="n">
        <v>41628</v>
      </c>
      <c r="B1551" s="0" t="n">
        <v>1818.32</v>
      </c>
      <c r="C1551" s="0" t="n">
        <v>261.27</v>
      </c>
      <c r="D1551" s="3" t="n">
        <f aca="false">B1551*100/B$2</f>
        <v>125.64747505459</v>
      </c>
      <c r="E1551" s="3" t="n">
        <f aca="false">C1551*100/C$2</f>
        <v>111.036974075648</v>
      </c>
      <c r="F1551" s="0" t="n">
        <v>122.350673042373</v>
      </c>
      <c r="G1551" s="0" t="n">
        <v>107.300726659073</v>
      </c>
      <c r="H1551" s="0" t="n">
        <v>110.722481937952</v>
      </c>
      <c r="I1551" s="0" t="n">
        <v>3.42175527887872</v>
      </c>
    </row>
    <row r="1552" customFormat="false" ht="13.8" hidden="false" customHeight="false" outlineLevel="0" collapsed="false">
      <c r="A1552" s="2" t="n">
        <v>41631</v>
      </c>
      <c r="B1552" s="0" t="n">
        <v>1827.99</v>
      </c>
      <c r="C1552" s="0" t="n">
        <v>263.24</v>
      </c>
      <c r="D1552" s="3" t="n">
        <f aca="false">B1552*100/B$2</f>
        <v>126.315680367064</v>
      </c>
      <c r="E1552" s="3" t="n">
        <f aca="false">C1552*100/C$2</f>
        <v>111.874203144921</v>
      </c>
      <c r="F1552" s="0" t="n">
        <v>122.439122142679</v>
      </c>
      <c r="G1552" s="0" t="n">
        <v>107.330272215446</v>
      </c>
      <c r="H1552" s="0" t="n">
        <v>110.560985975351</v>
      </c>
      <c r="I1552" s="0" t="n">
        <v>3.2307137599043</v>
      </c>
    </row>
    <row r="1553" customFormat="false" ht="13.8" hidden="false" customHeight="false" outlineLevel="0" collapsed="false">
      <c r="A1553" s="2" t="n">
        <v>41632</v>
      </c>
      <c r="B1553" s="0" t="n">
        <v>1833.32</v>
      </c>
      <c r="C1553" s="0" t="n">
        <v>263.58</v>
      </c>
      <c r="D1553" s="3" t="n">
        <f aca="false">B1553*100/B$2</f>
        <v>126.68398794881</v>
      </c>
      <c r="E1553" s="3" t="n">
        <f aca="false">C1553*100/C$2</f>
        <v>112.018699532512</v>
      </c>
      <c r="F1553" s="0" t="n">
        <v>122.148898532298</v>
      </c>
      <c r="G1553" s="0" t="n">
        <v>107.233325858596</v>
      </c>
      <c r="H1553" s="0" t="n">
        <v>111.691457713557</v>
      </c>
      <c r="I1553" s="0" t="n">
        <v>4.45813185496135</v>
      </c>
    </row>
    <row r="1554" customFormat="false" ht="13.8" hidden="false" customHeight="false" outlineLevel="0" collapsed="false">
      <c r="A1554" s="2" t="n">
        <v>41634</v>
      </c>
      <c r="B1554" s="0" t="n">
        <v>1842.02</v>
      </c>
      <c r="C1554" s="0" t="n">
        <v>263.15</v>
      </c>
      <c r="D1554" s="3" t="n">
        <f aca="false">B1554*100/B$2</f>
        <v>127.285165427458</v>
      </c>
      <c r="E1554" s="3" t="n">
        <f aca="false">C1554*100/C$2</f>
        <v>111.835954101147</v>
      </c>
      <c r="F1554" s="0" t="n">
        <v>123.137731833384</v>
      </c>
      <c r="G1554" s="0" t="n">
        <v>107.563635945865</v>
      </c>
      <c r="H1554" s="0" t="n">
        <v>109.66425839354</v>
      </c>
      <c r="I1554" s="0" t="n">
        <v>2.10062244767522</v>
      </c>
    </row>
    <row r="1555" customFormat="false" ht="13.8" hidden="false" customHeight="false" outlineLevel="0" collapsed="false">
      <c r="A1555" s="2" t="n">
        <v>41635</v>
      </c>
      <c r="B1555" s="0" t="n">
        <v>1841.4</v>
      </c>
      <c r="C1555" s="0" t="n">
        <v>263.32</v>
      </c>
      <c r="D1555" s="3" t="n">
        <f aca="false">B1555*100/B$2</f>
        <v>127.242322894497</v>
      </c>
      <c r="E1555" s="3" t="n">
        <f aca="false">C1555*100/C$2</f>
        <v>111.908202294943</v>
      </c>
      <c r="F1555" s="0" t="n">
        <v>123.733381243263</v>
      </c>
      <c r="G1555" s="0" t="n">
        <v>107.762606802068</v>
      </c>
      <c r="H1555" s="0" t="n">
        <v>109.834254143646</v>
      </c>
      <c r="I1555" s="0" t="n">
        <v>2.07164734157881</v>
      </c>
    </row>
    <row r="1556" customFormat="false" ht="13.8" hidden="false" customHeight="false" outlineLevel="0" collapsed="false">
      <c r="A1556" s="2" t="n">
        <v>41638</v>
      </c>
      <c r="B1556" s="0" t="n">
        <v>1841.07</v>
      </c>
      <c r="C1556" s="0" t="n">
        <v>264.24</v>
      </c>
      <c r="D1556" s="3" t="n">
        <f aca="false">B1556*100/B$2</f>
        <v>127.219519610824</v>
      </c>
      <c r="E1556" s="3" t="n">
        <f aca="false">C1556*100/C$2</f>
        <v>112.299192520187</v>
      </c>
      <c r="F1556" s="0" t="n">
        <v>124.25578374195</v>
      </c>
      <c r="G1556" s="0" t="n">
        <v>107.937110244398</v>
      </c>
      <c r="H1556" s="0" t="n">
        <v>112.282192945176</v>
      </c>
      <c r="I1556" s="0" t="n">
        <v>4.34508270077789</v>
      </c>
    </row>
    <row r="1557" customFormat="false" ht="13.8" hidden="false" customHeight="false" outlineLevel="0" collapsed="false">
      <c r="A1557" s="2" t="n">
        <v>41639</v>
      </c>
      <c r="B1557" s="0" t="n">
        <v>1848.36</v>
      </c>
      <c r="C1557" s="0" t="n">
        <v>264.24</v>
      </c>
      <c r="D1557" s="3" t="n">
        <f aca="false">B1557*100/B$2</f>
        <v>127.723264877415</v>
      </c>
      <c r="E1557" s="3" t="n">
        <f aca="false">C1557*100/C$2</f>
        <v>112.299192520187</v>
      </c>
      <c r="F1557" s="0" t="n">
        <v>123.796263025512</v>
      </c>
      <c r="G1557" s="0" t="n">
        <v>107.783611846052</v>
      </c>
      <c r="H1557" s="0" t="n">
        <v>112.634934126647</v>
      </c>
      <c r="I1557" s="0" t="n">
        <v>4.85132228059494</v>
      </c>
    </row>
    <row r="1558" customFormat="false" ht="13.8" hidden="false" customHeight="false" outlineLevel="0" collapsed="false">
      <c r="A1558" s="2" t="n">
        <v>41641</v>
      </c>
      <c r="B1558" s="0" t="n">
        <v>1831.98</v>
      </c>
      <c r="C1558" s="0" t="n">
        <v>257.64</v>
      </c>
      <c r="D1558" s="3" t="n">
        <f aca="false">B1558*100/B$2</f>
        <v>126.591392796926</v>
      </c>
      <c r="E1558" s="3" t="n">
        <f aca="false">C1558*100/C$2</f>
        <v>109.494262643434</v>
      </c>
      <c r="F1558" s="0" t="n">
        <v>123.543353879322</v>
      </c>
      <c r="G1558" s="0" t="n">
        <v>107.699130020796</v>
      </c>
      <c r="H1558" s="0" t="n">
        <v>113.816404589885</v>
      </c>
      <c r="I1558" s="0" t="n">
        <v>6.11727456908881</v>
      </c>
    </row>
    <row r="1559" customFormat="false" ht="13.8" hidden="false" customHeight="false" outlineLevel="0" collapsed="false">
      <c r="A1559" s="2" t="n">
        <v>41642</v>
      </c>
      <c r="B1559" s="0" t="n">
        <v>1831.37</v>
      </c>
      <c r="C1559" s="0" t="n">
        <v>254.48</v>
      </c>
      <c r="D1559" s="3" t="n">
        <f aca="false">B1559*100/B$2</f>
        <v>126.549241272561</v>
      </c>
      <c r="E1559" s="3" t="n">
        <f aca="false">C1559*100/C$2</f>
        <v>108.151296217595</v>
      </c>
      <c r="F1559" s="0" t="n">
        <v>123.094198291827</v>
      </c>
      <c r="G1559" s="0" t="n">
        <v>107.549093992337</v>
      </c>
      <c r="H1559" s="0" t="n">
        <v>112.885677858054</v>
      </c>
      <c r="I1559" s="0" t="n">
        <v>5.33658386571618</v>
      </c>
    </row>
    <row r="1560" customFormat="false" ht="13.8" hidden="false" customHeight="false" outlineLevel="0" collapsed="false">
      <c r="A1560" s="2" t="n">
        <v>41645</v>
      </c>
      <c r="B1560" s="0" t="n">
        <v>1826.77</v>
      </c>
      <c r="C1560" s="0" t="n">
        <v>255.41</v>
      </c>
      <c r="D1560" s="3" t="n">
        <f aca="false">B1560*100/B$2</f>
        <v>126.231377318334</v>
      </c>
      <c r="E1560" s="3" t="n">
        <f aca="false">C1560*100/C$2</f>
        <v>108.546536336592</v>
      </c>
      <c r="F1560" s="0" t="n">
        <v>124.094778739048</v>
      </c>
      <c r="G1560" s="0" t="n">
        <v>107.883328098812</v>
      </c>
      <c r="H1560" s="0" t="n">
        <v>111.432214194645</v>
      </c>
      <c r="I1560" s="0" t="n">
        <v>3.54888609583276</v>
      </c>
    </row>
    <row r="1561" customFormat="false" ht="13.8" hidden="false" customHeight="false" outlineLevel="0" collapsed="false">
      <c r="A1561" s="2" t="n">
        <v>41646</v>
      </c>
      <c r="B1561" s="0" t="n">
        <v>1837.88</v>
      </c>
      <c r="C1561" s="0" t="n">
        <v>255.98</v>
      </c>
      <c r="D1561" s="3" t="n">
        <f aca="false">B1561*100/B$2</f>
        <v>126.999087868653</v>
      </c>
      <c r="E1561" s="3" t="n">
        <f aca="false">C1561*100/C$2</f>
        <v>108.788780280493</v>
      </c>
      <c r="F1561" s="0" t="n">
        <v>124.710467398214</v>
      </c>
      <c r="G1561" s="0" t="n">
        <v>108.088992870131</v>
      </c>
      <c r="H1561" s="0" t="n">
        <v>112.137696557586</v>
      </c>
      <c r="I1561" s="0" t="n">
        <v>4.04870368745517</v>
      </c>
    </row>
    <row r="1562" customFormat="false" ht="13.8" hidden="false" customHeight="false" outlineLevel="0" collapsed="false">
      <c r="A1562" s="2" t="n">
        <v>41647</v>
      </c>
      <c r="B1562" s="0" t="n">
        <v>1837.49</v>
      </c>
      <c r="C1562" s="0" t="n">
        <v>255.76</v>
      </c>
      <c r="D1562" s="3" t="n">
        <f aca="false">B1562*100/B$2</f>
        <v>126.972138533403</v>
      </c>
      <c r="E1562" s="3" t="n">
        <f aca="false">C1562*100/C$2</f>
        <v>108.695282617935</v>
      </c>
      <c r="F1562" s="0" t="n">
        <v>124.552917438293</v>
      </c>
      <c r="G1562" s="0" t="n">
        <v>108.036364847841</v>
      </c>
      <c r="H1562" s="0" t="n">
        <v>112.711432214195</v>
      </c>
      <c r="I1562" s="0" t="n">
        <v>4.67506736635401</v>
      </c>
    </row>
    <row r="1563" customFormat="false" ht="13.8" hidden="false" customHeight="false" outlineLevel="0" collapsed="false">
      <c r="A1563" s="2" t="n">
        <v>41648</v>
      </c>
      <c r="B1563" s="0" t="n">
        <v>1838.13</v>
      </c>
      <c r="C1563" s="0" t="n">
        <v>253.63</v>
      </c>
      <c r="D1563" s="3" t="n">
        <f aca="false">B1563*100/B$2</f>
        <v>127.016363083557</v>
      </c>
      <c r="E1563" s="3" t="n">
        <f aca="false">C1563*100/C$2</f>
        <v>107.790055248619</v>
      </c>
      <c r="F1563" s="0" t="n">
        <v>124.571574670389</v>
      </c>
      <c r="G1563" s="0" t="n">
        <v>108.042597113638</v>
      </c>
      <c r="H1563" s="0" t="n">
        <v>113.157671058224</v>
      </c>
      <c r="I1563" s="0" t="n">
        <v>5.11507394458539</v>
      </c>
    </row>
    <row r="1564" customFormat="false" ht="13.8" hidden="false" customHeight="false" outlineLevel="0" collapsed="false">
      <c r="A1564" s="2" t="n">
        <v>41649</v>
      </c>
      <c r="B1564" s="0" t="n">
        <v>1842.37</v>
      </c>
      <c r="C1564" s="0" t="n">
        <v>252.48</v>
      </c>
      <c r="D1564" s="3" t="n">
        <f aca="false">B1564*100/B$2</f>
        <v>127.309350728323</v>
      </c>
      <c r="E1564" s="3" t="n">
        <f aca="false">C1564*100/C$2</f>
        <v>107.301317467063</v>
      </c>
      <c r="F1564" s="0" t="n">
        <v>124.881146521463</v>
      </c>
      <c r="G1564" s="0" t="n">
        <v>108.146006560945</v>
      </c>
      <c r="H1564" s="0" t="n">
        <v>113.53591160221</v>
      </c>
      <c r="I1564" s="0" t="n">
        <v>5.38990504126458</v>
      </c>
    </row>
    <row r="1565" customFormat="false" ht="13.8" hidden="false" customHeight="false" outlineLevel="0" collapsed="false">
      <c r="A1565" s="2" t="n">
        <v>41652</v>
      </c>
      <c r="B1565" s="0" t="n">
        <v>1819.2</v>
      </c>
      <c r="C1565" s="0" t="n">
        <v>254.08</v>
      </c>
      <c r="D1565" s="3" t="n">
        <f aca="false">B1565*100/B$2</f>
        <v>125.708283811051</v>
      </c>
      <c r="E1565" s="3" t="n">
        <f aca="false">C1565*100/C$2</f>
        <v>107.981300467488</v>
      </c>
      <c r="F1565" s="0" t="n">
        <v>124.881146521463</v>
      </c>
      <c r="G1565" s="0" t="n">
        <v>108.146006560945</v>
      </c>
      <c r="H1565" s="0" t="n">
        <v>114.619634509137</v>
      </c>
      <c r="I1565" s="0" t="n">
        <v>6.47362794819193</v>
      </c>
    </row>
    <row r="1566" customFormat="false" ht="13.8" hidden="false" customHeight="false" outlineLevel="0" collapsed="false">
      <c r="A1566" s="2" t="n">
        <v>41653</v>
      </c>
      <c r="B1566" s="0" t="n">
        <v>1838.88</v>
      </c>
      <c r="C1566" s="0" t="n">
        <v>253.97</v>
      </c>
      <c r="D1566" s="3" t="n">
        <f aca="false">B1566*100/B$2</f>
        <v>127.068188728268</v>
      </c>
      <c r="E1566" s="3" t="n">
        <f aca="false">C1566*100/C$2</f>
        <v>107.934551636209</v>
      </c>
      <c r="F1566" s="0" t="n">
        <v>124.78302330081</v>
      </c>
      <c r="G1566" s="0" t="n">
        <v>108.113229459344</v>
      </c>
      <c r="H1566" s="0" t="n">
        <v>114.564385890353</v>
      </c>
      <c r="I1566" s="0" t="n">
        <v>6.45115643100924</v>
      </c>
    </row>
    <row r="1567" customFormat="false" ht="13.8" hidden="false" customHeight="false" outlineLevel="0" collapsed="false">
      <c r="A1567" s="2" t="n">
        <v>41654</v>
      </c>
      <c r="B1567" s="0" t="n">
        <v>1848.38</v>
      </c>
      <c r="C1567" s="0" t="n">
        <v>254.73</v>
      </c>
      <c r="D1567" s="3" t="n">
        <f aca="false">B1567*100/B$2</f>
        <v>127.724646894607</v>
      </c>
      <c r="E1567" s="3" t="n">
        <f aca="false">C1567*100/C$2</f>
        <v>108.257543561411</v>
      </c>
      <c r="F1567" s="0" t="n">
        <v>124.443738080102</v>
      </c>
      <c r="G1567" s="0" t="n">
        <v>107.999894551692</v>
      </c>
      <c r="H1567" s="0" t="n">
        <v>113.718657033574</v>
      </c>
      <c r="I1567" s="0" t="n">
        <v>5.71876248188205</v>
      </c>
    </row>
    <row r="1568" customFormat="false" ht="13.8" hidden="false" customHeight="false" outlineLevel="0" collapsed="false">
      <c r="A1568" s="2" t="n">
        <v>41655</v>
      </c>
      <c r="B1568" s="0" t="n">
        <v>1845.89</v>
      </c>
      <c r="C1568" s="0" t="n">
        <v>255.36</v>
      </c>
      <c r="D1568" s="3" t="n">
        <f aca="false">B1568*100/B$2</f>
        <v>127.552585754167</v>
      </c>
      <c r="E1568" s="3" t="n">
        <f aca="false">C1568*100/C$2</f>
        <v>108.525286867828</v>
      </c>
      <c r="F1568" s="0" t="n">
        <v>124.046408137317</v>
      </c>
      <c r="G1568" s="0" t="n">
        <v>107.867170372671</v>
      </c>
      <c r="H1568" s="0" t="n">
        <v>112.554186145346</v>
      </c>
      <c r="I1568" s="0" t="n">
        <v>4.68701577267574</v>
      </c>
    </row>
    <row r="1569" customFormat="false" ht="13.8" hidden="false" customHeight="false" outlineLevel="0" collapsed="false">
      <c r="A1569" s="2" t="n">
        <v>41656</v>
      </c>
      <c r="B1569" s="0" t="n">
        <v>1838.7</v>
      </c>
      <c r="C1569" s="0" t="n">
        <v>253.46</v>
      </c>
      <c r="D1569" s="3" t="n">
        <f aca="false">B1569*100/B$2</f>
        <v>127.055750573537</v>
      </c>
      <c r="E1569" s="3" t="n">
        <f aca="false">C1569*100/C$2</f>
        <v>107.717807054824</v>
      </c>
      <c r="F1569" s="0" t="n">
        <v>123.884712125819</v>
      </c>
      <c r="G1569" s="0" t="n">
        <v>107.813157402425</v>
      </c>
      <c r="H1569" s="0" t="n">
        <v>111.126221844454</v>
      </c>
      <c r="I1569" s="0" t="n">
        <v>3.31306444202853</v>
      </c>
    </row>
    <row r="1570" customFormat="false" ht="13.8" hidden="false" customHeight="false" outlineLevel="0" collapsed="false">
      <c r="A1570" s="2" t="n">
        <v>41659</v>
      </c>
      <c r="B1570" s="0" t="n">
        <v>1838.7</v>
      </c>
      <c r="C1570" s="0" t="n">
        <v>254.81</v>
      </c>
      <c r="D1570" s="3" t="n">
        <f aca="false">B1570*100/B$2</f>
        <v>127.055750573537</v>
      </c>
      <c r="E1570" s="3" t="n">
        <f aca="false">C1570*100/C$2</f>
        <v>108.291542711432</v>
      </c>
      <c r="F1570" s="0" t="n">
        <v>123.347107438017</v>
      </c>
      <c r="G1570" s="0" t="n">
        <v>107.633575817593</v>
      </c>
      <c r="H1570" s="0" t="n">
        <v>110.964725881853</v>
      </c>
      <c r="I1570" s="0" t="n">
        <v>3.33115006426017</v>
      </c>
    </row>
    <row r="1571" customFormat="false" ht="13.8" hidden="false" customHeight="false" outlineLevel="0" collapsed="false">
      <c r="A1571" s="2" t="n">
        <v>41660</v>
      </c>
      <c r="B1571" s="0" t="n">
        <v>1843.8</v>
      </c>
      <c r="C1571" s="0" t="n">
        <v>256.34</v>
      </c>
      <c r="D1571" s="3" t="n">
        <f aca="false">B1571*100/B$2</f>
        <v>127.408164957572</v>
      </c>
      <c r="E1571" s="3" t="n">
        <f aca="false">C1571*100/C$2</f>
        <v>108.941776455589</v>
      </c>
      <c r="F1571" s="0" t="n">
        <v>124.733270681887</v>
      </c>
      <c r="G1571" s="0" t="n">
        <v>108.096610083883</v>
      </c>
      <c r="H1571" s="0" t="n">
        <v>110.798980025499</v>
      </c>
      <c r="I1571" s="0" t="n">
        <v>2.70236994161593</v>
      </c>
    </row>
    <row r="1572" customFormat="false" ht="13.8" hidden="false" customHeight="false" outlineLevel="0" collapsed="false">
      <c r="A1572" s="2" t="n">
        <v>41661</v>
      </c>
      <c r="B1572" s="0" t="n">
        <v>1844.86</v>
      </c>
      <c r="C1572" s="0" t="n">
        <v>257.08</v>
      </c>
      <c r="D1572" s="3" t="n">
        <f aca="false">B1572*100/B$2</f>
        <v>127.481411868764</v>
      </c>
      <c r="E1572" s="3" t="n">
        <f aca="false">C1572*100/C$2</f>
        <v>109.256268593285</v>
      </c>
      <c r="F1572" s="0" t="n">
        <v>124.959921501423</v>
      </c>
      <c r="G1572" s="0" t="n">
        <v>108.17232057209</v>
      </c>
      <c r="H1572" s="0" t="n">
        <v>112.069698257544</v>
      </c>
      <c r="I1572" s="0" t="n">
        <v>3.89737768545309</v>
      </c>
    </row>
    <row r="1573" customFormat="false" ht="13.8" hidden="false" customHeight="false" outlineLevel="0" collapsed="false">
      <c r="A1573" s="2" t="n">
        <v>41662</v>
      </c>
      <c r="B1573" s="0" t="n">
        <v>1828.46</v>
      </c>
      <c r="C1573" s="0" t="n">
        <v>253.74</v>
      </c>
      <c r="D1573" s="3" t="n">
        <f aca="false">B1573*100/B$2</f>
        <v>126.348157771083</v>
      </c>
      <c r="E1573" s="3" t="n">
        <f aca="false">C1573*100/C$2</f>
        <v>107.836804079898</v>
      </c>
      <c r="F1573" s="0" t="n">
        <v>124.562591558639</v>
      </c>
      <c r="G1573" s="0" t="n">
        <v>108.039596393069</v>
      </c>
      <c r="H1573" s="0" t="n">
        <v>111.636209094773</v>
      </c>
      <c r="I1573" s="0" t="n">
        <v>3.59661270170365</v>
      </c>
    </row>
    <row r="1574" customFormat="false" ht="13.8" hidden="false" customHeight="false" outlineLevel="0" collapsed="false">
      <c r="A1574" s="2" t="n">
        <v>41663</v>
      </c>
      <c r="B1574" s="0" t="n">
        <v>1790.29</v>
      </c>
      <c r="C1574" s="0" t="n">
        <v>252.89</v>
      </c>
      <c r="D1574" s="3" t="n">
        <f aca="false">B1574*100/B$2</f>
        <v>123.71057795959</v>
      </c>
      <c r="E1574" s="3" t="n">
        <f aca="false">C1574*100/C$2</f>
        <v>107.475563110922</v>
      </c>
      <c r="F1574" s="0" t="n">
        <v>123.152934022499</v>
      </c>
      <c r="G1574" s="0" t="n">
        <v>107.568714088367</v>
      </c>
      <c r="H1574" s="0" t="n">
        <v>110.730981725457</v>
      </c>
      <c r="I1574" s="0" t="n">
        <v>3.16226763709021</v>
      </c>
    </row>
    <row r="1575" customFormat="false" ht="13.8" hidden="false" customHeight="false" outlineLevel="0" collapsed="false">
      <c r="A1575" s="2" t="n">
        <v>41666</v>
      </c>
      <c r="B1575" s="0" t="n">
        <v>1781.56</v>
      </c>
      <c r="C1575" s="0" t="n">
        <v>248.95</v>
      </c>
      <c r="D1575" s="3" t="n">
        <f aca="false">B1575*100/B$2</f>
        <v>123.107327455154</v>
      </c>
      <c r="E1575" s="3" t="n">
        <f aca="false">C1575*100/C$2</f>
        <v>105.801104972376</v>
      </c>
      <c r="F1575" s="0" t="n">
        <v>122.688576245889</v>
      </c>
      <c r="G1575" s="0" t="n">
        <v>107.413599917406</v>
      </c>
      <c r="H1575" s="0" t="n">
        <v>110.093497662558</v>
      </c>
      <c r="I1575" s="0" t="n">
        <v>2.67989774515257</v>
      </c>
    </row>
    <row r="1576" customFormat="false" ht="13.8" hidden="false" customHeight="false" outlineLevel="0" collapsed="false">
      <c r="A1576" s="2" t="n">
        <v>41667</v>
      </c>
      <c r="B1576" s="0" t="n">
        <v>1792.5</v>
      </c>
      <c r="C1576" s="0" t="n">
        <v>249.91</v>
      </c>
      <c r="D1576" s="3" t="n">
        <f aca="false">B1576*100/B$2</f>
        <v>123.863290859338</v>
      </c>
      <c r="E1576" s="3" t="n">
        <f aca="false">C1576*100/C$2</f>
        <v>106.209094772631</v>
      </c>
      <c r="F1576" s="0" t="n">
        <v>122.676138091158</v>
      </c>
      <c r="G1576" s="0" t="n">
        <v>107.409445073541</v>
      </c>
      <c r="H1576" s="0" t="n">
        <v>109.66425839354</v>
      </c>
      <c r="I1576" s="0" t="n">
        <v>2.25481331999933</v>
      </c>
    </row>
    <row r="1577" customFormat="false" ht="13.8" hidden="false" customHeight="false" outlineLevel="0" collapsed="false">
      <c r="A1577" s="2" t="n">
        <v>41668</v>
      </c>
      <c r="B1577" s="0" t="n">
        <v>1774.2</v>
      </c>
      <c r="C1577" s="0" t="n">
        <v>252.89</v>
      </c>
      <c r="D1577" s="3" t="n">
        <f aca="false">B1577*100/B$2</f>
        <v>122.598745128389</v>
      </c>
      <c r="E1577" s="3" t="n">
        <f aca="false">C1577*100/C$2</f>
        <v>107.475563110922</v>
      </c>
      <c r="F1577" s="0" t="n">
        <v>123.451449736035</v>
      </c>
      <c r="G1577" s="0" t="n">
        <v>107.668430341127</v>
      </c>
      <c r="H1577" s="0" t="n">
        <v>109.604759881003</v>
      </c>
      <c r="I1577" s="0" t="n">
        <v>1.93632953987581</v>
      </c>
    </row>
    <row r="1578" customFormat="false" ht="13.8" hidden="false" customHeight="false" outlineLevel="0" collapsed="false">
      <c r="A1578" s="2" t="n">
        <v>41669</v>
      </c>
      <c r="B1578" s="0" t="n">
        <v>1794.19</v>
      </c>
      <c r="C1578" s="0" t="n">
        <v>252.89</v>
      </c>
      <c r="D1578" s="3" t="n">
        <f aca="false">B1578*100/B$2</f>
        <v>123.980071312087</v>
      </c>
      <c r="E1578" s="3" t="n">
        <f aca="false">C1578*100/C$2</f>
        <v>107.475563110922</v>
      </c>
      <c r="F1578" s="0" t="n">
        <v>123.068630973769</v>
      </c>
      <c r="G1578" s="0" t="n">
        <v>107.540553479948</v>
      </c>
      <c r="H1578" s="0" t="n">
        <v>109.953251168721</v>
      </c>
      <c r="I1578" s="0" t="n">
        <v>2.41269768877264</v>
      </c>
    </row>
    <row r="1579" customFormat="false" ht="13.8" hidden="false" customHeight="false" outlineLevel="0" collapsed="false">
      <c r="A1579" s="2" t="n">
        <v>41670</v>
      </c>
      <c r="B1579" s="0" t="n">
        <v>1782.59</v>
      </c>
      <c r="C1579" s="0" t="n">
        <v>252.89</v>
      </c>
      <c r="D1579" s="3" t="n">
        <f aca="false">B1579*100/B$2</f>
        <v>123.178501340557</v>
      </c>
      <c r="E1579" s="3" t="n">
        <f aca="false">C1579*100/C$2</f>
        <v>107.475563110922</v>
      </c>
      <c r="F1579" s="0" t="n">
        <v>125.117471461345</v>
      </c>
      <c r="G1579" s="0" t="n">
        <v>108.224948594381</v>
      </c>
      <c r="H1579" s="0" t="n">
        <v>110.488737781555</v>
      </c>
      <c r="I1579" s="0" t="n">
        <v>2.26378918717474</v>
      </c>
    </row>
    <row r="1580" customFormat="false" ht="13.8" hidden="false" customHeight="false" outlineLevel="0" collapsed="false">
      <c r="A1580" s="2" t="n">
        <v>41673</v>
      </c>
      <c r="B1580" s="0" t="n">
        <v>1741.89</v>
      </c>
      <c r="C1580" s="0" t="n">
        <v>250.01</v>
      </c>
      <c r="D1580" s="3" t="n">
        <f aca="false">B1580*100/B$2</f>
        <v>120.366096354239</v>
      </c>
      <c r="E1580" s="3" t="n">
        <f aca="false">C1580*100/C$2</f>
        <v>106.251593710157</v>
      </c>
      <c r="F1580" s="0" t="n">
        <v>125.04491555875</v>
      </c>
      <c r="G1580" s="0" t="n">
        <v>108.200712005168</v>
      </c>
      <c r="H1580" s="0" t="n">
        <v>110.582235444114</v>
      </c>
      <c r="I1580" s="0" t="n">
        <v>2.38152343894579</v>
      </c>
    </row>
    <row r="1581" customFormat="false" ht="13.8" hidden="false" customHeight="false" outlineLevel="0" collapsed="false">
      <c r="A1581" s="2" t="n">
        <v>41674</v>
      </c>
      <c r="B1581" s="0" t="n">
        <v>1755.2</v>
      </c>
      <c r="C1581" s="0" t="n">
        <v>245.3</v>
      </c>
      <c r="D1581" s="3" t="n">
        <f aca="false">B1581*100/B$2</f>
        <v>121.28582879571</v>
      </c>
      <c r="E1581" s="3" t="n">
        <f aca="false">C1581*100/C$2</f>
        <v>104.249893752656</v>
      </c>
      <c r="F1581" s="0" t="n">
        <v>125.64747505459</v>
      </c>
      <c r="G1581" s="0" t="n">
        <v>108.401991107962</v>
      </c>
      <c r="H1581" s="0" t="n">
        <v>111.036974075648</v>
      </c>
      <c r="I1581" s="0" t="n">
        <v>2.63498296768567</v>
      </c>
    </row>
    <row r="1582" customFormat="false" ht="13.8" hidden="false" customHeight="false" outlineLevel="0" collapsed="false">
      <c r="A1582" s="2" t="n">
        <v>41675</v>
      </c>
      <c r="B1582" s="0" t="n">
        <v>1751.64</v>
      </c>
      <c r="C1582" s="0" t="n">
        <v>246.04</v>
      </c>
      <c r="D1582" s="3" t="n">
        <f aca="false">B1582*100/B$2</f>
        <v>121.039829735482</v>
      </c>
      <c r="E1582" s="3" t="n">
        <f aca="false">C1582*100/C$2</f>
        <v>104.564385890353</v>
      </c>
      <c r="F1582" s="0" t="n">
        <v>126.315680367064</v>
      </c>
      <c r="G1582" s="0" t="n">
        <v>108.625198553378</v>
      </c>
      <c r="H1582" s="0" t="n">
        <v>111.874203144921</v>
      </c>
      <c r="I1582" s="0" t="n">
        <v>3.24900459154365</v>
      </c>
    </row>
    <row r="1583" customFormat="false" ht="13.8" hidden="false" customHeight="false" outlineLevel="0" collapsed="false">
      <c r="A1583" s="2" t="n">
        <v>41676</v>
      </c>
      <c r="B1583" s="0" t="n">
        <v>1773.43</v>
      </c>
      <c r="C1583" s="0" t="n">
        <v>248.56</v>
      </c>
      <c r="D1583" s="3" t="n">
        <f aca="false">B1583*100/B$2</f>
        <v>122.545537466486</v>
      </c>
      <c r="E1583" s="3" t="n">
        <f aca="false">C1583*100/C$2</f>
        <v>105.635359116022</v>
      </c>
      <c r="F1583" s="0" t="n">
        <v>126.68398794881</v>
      </c>
      <c r="G1583" s="0" t="n">
        <v>108.748228096714</v>
      </c>
      <c r="H1583" s="0" t="n">
        <v>112.018699532512</v>
      </c>
      <c r="I1583" s="0" t="n">
        <v>3.27047143579753</v>
      </c>
    </row>
    <row r="1584" customFormat="false" ht="13.8" hidden="false" customHeight="false" outlineLevel="0" collapsed="false">
      <c r="A1584" s="2" t="n">
        <v>41677</v>
      </c>
      <c r="B1584" s="0" t="n">
        <v>1797.02</v>
      </c>
      <c r="C1584" s="0" t="n">
        <v>250.51</v>
      </c>
      <c r="D1584" s="3" t="n">
        <f aca="false">B1584*100/B$2</f>
        <v>124.175626744797</v>
      </c>
      <c r="E1584" s="3" t="n">
        <f aca="false">C1584*100/C$2</f>
        <v>106.46408839779</v>
      </c>
      <c r="F1584" s="0" t="n">
        <v>127.285165427458</v>
      </c>
      <c r="G1584" s="0" t="n">
        <v>108.94904555019</v>
      </c>
      <c r="H1584" s="0" t="n">
        <v>111.835954101147</v>
      </c>
      <c r="I1584" s="0" t="n">
        <v>2.8869085509573</v>
      </c>
    </row>
    <row r="1585" customFormat="false" ht="13.8" hidden="false" customHeight="false" outlineLevel="0" collapsed="false">
      <c r="A1585" s="2" t="n">
        <v>41680</v>
      </c>
      <c r="B1585" s="0" t="n">
        <v>1799.84</v>
      </c>
      <c r="C1585" s="0" t="n">
        <v>250.47</v>
      </c>
      <c r="D1585" s="3" t="n">
        <f aca="false">B1585*100/B$2</f>
        <v>124.37049116891</v>
      </c>
      <c r="E1585" s="3" t="n">
        <f aca="false">C1585*100/C$2</f>
        <v>106.447088822779</v>
      </c>
      <c r="F1585" s="0" t="n">
        <v>127.242322894497</v>
      </c>
      <c r="G1585" s="0" t="n">
        <v>108.934734421322</v>
      </c>
      <c r="H1585" s="0" t="n">
        <v>111.908202294943</v>
      </c>
      <c r="I1585" s="0" t="n">
        <v>2.97346787362089</v>
      </c>
    </row>
    <row r="1586" customFormat="false" ht="13.8" hidden="false" customHeight="false" outlineLevel="0" collapsed="false">
      <c r="A1586" s="2" t="n">
        <v>41681</v>
      </c>
      <c r="B1586" s="0" t="n">
        <v>1819.75</v>
      </c>
      <c r="C1586" s="0" t="n">
        <v>251.87</v>
      </c>
      <c r="D1586" s="3" t="n">
        <f aca="false">B1586*100/B$2</f>
        <v>125.746289283839</v>
      </c>
      <c r="E1586" s="3" t="n">
        <f aca="false">C1586*100/C$2</f>
        <v>107.042073948151</v>
      </c>
      <c r="F1586" s="0" t="n">
        <v>127.219519610824</v>
      </c>
      <c r="G1586" s="0" t="n">
        <v>108.927117207569</v>
      </c>
      <c r="H1586" s="0" t="n">
        <v>112.299192520187</v>
      </c>
      <c r="I1586" s="0" t="n">
        <v>3.37207531261778</v>
      </c>
    </row>
    <row r="1587" customFormat="false" ht="13.8" hidden="false" customHeight="false" outlineLevel="0" collapsed="false">
      <c r="A1587" s="2" t="n">
        <v>41682</v>
      </c>
      <c r="B1587" s="0" t="n">
        <v>1819.26</v>
      </c>
      <c r="C1587" s="0" t="n">
        <v>252.31</v>
      </c>
      <c r="D1587" s="3" t="n">
        <f aca="false">B1587*100/B$2</f>
        <v>125.712429862628</v>
      </c>
      <c r="E1587" s="3" t="n">
        <f aca="false">C1587*100/C$2</f>
        <v>107.229069273268</v>
      </c>
      <c r="F1587" s="0" t="n">
        <v>127.723264877415</v>
      </c>
      <c r="G1587" s="0" t="n">
        <v>109.095388384103</v>
      </c>
      <c r="H1587" s="0" t="n">
        <v>112.299192520187</v>
      </c>
      <c r="I1587" s="0" t="n">
        <v>3.20380413608446</v>
      </c>
    </row>
    <row r="1588" customFormat="false" ht="13.8" hidden="false" customHeight="false" outlineLevel="0" collapsed="false">
      <c r="A1588" s="2" t="n">
        <v>41683</v>
      </c>
      <c r="B1588" s="0" t="n">
        <v>1829.83</v>
      </c>
      <c r="C1588" s="0" t="n">
        <v>250.97</v>
      </c>
      <c r="D1588" s="3" t="n">
        <f aca="false">B1588*100/B$2</f>
        <v>126.442825948755</v>
      </c>
      <c r="E1588" s="3" t="n">
        <f aca="false">C1588*100/C$2</f>
        <v>106.659583510412</v>
      </c>
      <c r="F1588" s="0" t="n">
        <v>126.591392796926</v>
      </c>
      <c r="G1588" s="0" t="n">
        <v>108.717297592386</v>
      </c>
      <c r="H1588" s="0" t="n">
        <v>109.494262643434</v>
      </c>
      <c r="I1588" s="0" t="n">
        <v>0.776965051048236</v>
      </c>
    </row>
    <row r="1589" customFormat="false" ht="13.8" hidden="false" customHeight="false" outlineLevel="0" collapsed="false">
      <c r="A1589" s="2" t="n">
        <v>41684</v>
      </c>
      <c r="B1589" s="0" t="n">
        <v>1838.63</v>
      </c>
      <c r="C1589" s="0" t="n">
        <v>252.74</v>
      </c>
      <c r="D1589" s="3" t="n">
        <f aca="false">B1589*100/B$2</f>
        <v>127.050913513364</v>
      </c>
      <c r="E1589" s="3" t="n">
        <f aca="false">C1589*100/C$2</f>
        <v>107.411814704632</v>
      </c>
      <c r="F1589" s="0" t="n">
        <v>126.549241272561</v>
      </c>
      <c r="G1589" s="0" t="n">
        <v>108.703217288176</v>
      </c>
      <c r="H1589" s="0" t="n">
        <v>108.151296217595</v>
      </c>
      <c r="I1589" s="0" t="n">
        <v>-0.551921070581884</v>
      </c>
    </row>
    <row r="1590" customFormat="false" ht="13.8" hidden="false" customHeight="false" outlineLevel="0" collapsed="false">
      <c r="A1590" s="2" t="n">
        <v>41687</v>
      </c>
      <c r="B1590" s="0" t="n">
        <v>1838.63</v>
      </c>
      <c r="C1590" s="0" t="n">
        <v>253.64</v>
      </c>
      <c r="D1590" s="3" t="n">
        <f aca="false">B1590*100/B$2</f>
        <v>127.050913513364</v>
      </c>
      <c r="E1590" s="3" t="n">
        <f aca="false">C1590*100/C$2</f>
        <v>107.794305142371</v>
      </c>
      <c r="F1590" s="0" t="n">
        <v>126.231377318334</v>
      </c>
      <c r="G1590" s="0" t="n">
        <v>108.597037944959</v>
      </c>
      <c r="H1590" s="0" t="n">
        <v>108.546536336592</v>
      </c>
      <c r="I1590" s="0" t="n">
        <v>-0.0505016083676395</v>
      </c>
    </row>
    <row r="1591" customFormat="false" ht="13.8" hidden="false" customHeight="false" outlineLevel="0" collapsed="false">
      <c r="A1591" s="2" t="n">
        <v>41688</v>
      </c>
      <c r="B1591" s="0" t="n">
        <v>1840.76</v>
      </c>
      <c r="C1591" s="0" t="n">
        <v>253.66</v>
      </c>
      <c r="D1591" s="3" t="n">
        <f aca="false">B1591*100/B$2</f>
        <v>127.198098344343</v>
      </c>
      <c r="E1591" s="3" t="n">
        <f aca="false">C1591*100/C$2</f>
        <v>107.802804929877</v>
      </c>
      <c r="F1591" s="0" t="n">
        <v>126.999087868653</v>
      </c>
      <c r="G1591" s="0" t="n">
        <v>108.853484141295</v>
      </c>
      <c r="H1591" s="0" t="n">
        <v>108.788780280493</v>
      </c>
      <c r="I1591" s="0" t="n">
        <v>-0.0647038608016857</v>
      </c>
    </row>
    <row r="1592" customFormat="false" ht="13.8" hidden="false" customHeight="false" outlineLevel="0" collapsed="false">
      <c r="A1592" s="2" t="n">
        <v>41689</v>
      </c>
      <c r="B1592" s="0" t="n">
        <v>1828.75</v>
      </c>
      <c r="C1592" s="0" t="n">
        <v>252.92</v>
      </c>
      <c r="D1592" s="3" t="n">
        <f aca="false">B1592*100/B$2</f>
        <v>126.368197020371</v>
      </c>
      <c r="E1592" s="3" t="n">
        <f aca="false">C1592*100/C$2</f>
        <v>107.48831279218</v>
      </c>
      <c r="F1592" s="0" t="n">
        <v>126.972138533403</v>
      </c>
      <c r="G1592" s="0" t="n">
        <v>108.844481979587</v>
      </c>
      <c r="H1592" s="0" t="n">
        <v>108.695282617935</v>
      </c>
      <c r="I1592" s="0" t="n">
        <v>-0.149199361652578</v>
      </c>
    </row>
    <row r="1593" customFormat="false" ht="13.8" hidden="false" customHeight="false" outlineLevel="0" collapsed="false">
      <c r="A1593" s="2" t="n">
        <v>41690</v>
      </c>
      <c r="B1593" s="0" t="n">
        <v>1839.78</v>
      </c>
      <c r="C1593" s="0" t="n">
        <v>250.95</v>
      </c>
      <c r="D1593" s="3" t="n">
        <f aca="false">B1593*100/B$2</f>
        <v>127.130379501921</v>
      </c>
      <c r="E1593" s="3" t="n">
        <f aca="false">C1593*100/C$2</f>
        <v>106.651083722907</v>
      </c>
      <c r="F1593" s="0" t="n">
        <v>127.016363083557</v>
      </c>
      <c r="G1593" s="0" t="n">
        <v>108.859254757774</v>
      </c>
      <c r="H1593" s="0" t="n">
        <v>107.790055248619</v>
      </c>
      <c r="I1593" s="0" t="n">
        <v>-1.06919950915508</v>
      </c>
    </row>
    <row r="1594" customFormat="false" ht="13.8" hidden="false" customHeight="false" outlineLevel="0" collapsed="false">
      <c r="A1594" s="2" t="n">
        <v>41691</v>
      </c>
      <c r="B1594" s="0" t="n">
        <v>1836.25</v>
      </c>
      <c r="C1594" s="0" t="n">
        <v>255.22</v>
      </c>
      <c r="D1594" s="3" t="n">
        <f aca="false">B1594*100/B$2</f>
        <v>126.886453467481</v>
      </c>
      <c r="E1594" s="3" t="n">
        <f aca="false">C1594*100/C$2</f>
        <v>108.465788355291</v>
      </c>
      <c r="F1594" s="0" t="n">
        <v>127.309350728323</v>
      </c>
      <c r="G1594" s="0" t="n">
        <v>108.957124413261</v>
      </c>
      <c r="H1594" s="0" t="n">
        <v>107.301317467063</v>
      </c>
      <c r="I1594" s="0" t="n">
        <v>-1.65580694619771</v>
      </c>
    </row>
    <row r="1595" customFormat="false" ht="13.8" hidden="false" customHeight="false" outlineLevel="0" collapsed="false">
      <c r="A1595" s="2" t="n">
        <v>41694</v>
      </c>
      <c r="B1595" s="0" t="n">
        <v>1847.61</v>
      </c>
      <c r="C1595" s="0" t="n">
        <v>254.01</v>
      </c>
      <c r="D1595" s="3" t="n">
        <f aca="false">B1595*100/B$2</f>
        <v>127.671439232704</v>
      </c>
      <c r="E1595" s="3" t="n">
        <f aca="false">C1595*100/C$2</f>
        <v>107.95155121122</v>
      </c>
      <c r="F1595" s="0" t="n">
        <v>125.708283811051</v>
      </c>
      <c r="G1595" s="0" t="n">
        <v>108.422303677969</v>
      </c>
      <c r="H1595" s="0" t="n">
        <v>107.981300467488</v>
      </c>
      <c r="I1595" s="0" t="n">
        <v>-0.441003210480901</v>
      </c>
    </row>
    <row r="1596" customFormat="false" ht="13.8" hidden="false" customHeight="false" outlineLevel="0" collapsed="false">
      <c r="A1596" s="2" t="n">
        <v>41695</v>
      </c>
      <c r="B1596" s="0" t="n">
        <v>1845.12</v>
      </c>
      <c r="C1596" s="0" t="n">
        <v>256.24</v>
      </c>
      <c r="D1596" s="3" t="n">
        <f aca="false">B1596*100/B$2</f>
        <v>127.499378092263</v>
      </c>
      <c r="E1596" s="3" t="n">
        <f aca="false">C1596*100/C$2</f>
        <v>108.899277518062</v>
      </c>
      <c r="F1596" s="0" t="n">
        <v>127.068188728268</v>
      </c>
      <c r="G1596" s="0" t="n">
        <v>108.876566607211</v>
      </c>
      <c r="H1596" s="0" t="n">
        <v>107.934551636209</v>
      </c>
      <c r="I1596" s="0" t="n">
        <v>-0.942014971002365</v>
      </c>
    </row>
    <row r="1597" customFormat="false" ht="13.8" hidden="false" customHeight="false" outlineLevel="0" collapsed="false">
      <c r="A1597" s="2" t="n">
        <v>41696</v>
      </c>
      <c r="B1597" s="0" t="n">
        <v>1845.16</v>
      </c>
      <c r="C1597" s="0" t="n">
        <v>257.31</v>
      </c>
      <c r="D1597" s="3" t="n">
        <f aca="false">B1597*100/B$2</f>
        <v>127.502142126648</v>
      </c>
      <c r="E1597" s="3" t="n">
        <f aca="false">C1597*100/C$2</f>
        <v>109.354016149596</v>
      </c>
      <c r="F1597" s="0" t="n">
        <v>127.724646894607</v>
      </c>
      <c r="G1597" s="0" t="n">
        <v>109.095850033421</v>
      </c>
      <c r="H1597" s="0" t="n">
        <v>108.257543561411</v>
      </c>
      <c r="I1597" s="0" t="n">
        <v>-0.838306472009919</v>
      </c>
    </row>
    <row r="1598" customFormat="false" ht="13.8" hidden="false" customHeight="false" outlineLevel="0" collapsed="false">
      <c r="A1598" s="2" t="n">
        <v>41697</v>
      </c>
      <c r="B1598" s="0" t="n">
        <v>1854.29</v>
      </c>
      <c r="C1598" s="0" t="n">
        <v>258.28</v>
      </c>
      <c r="D1598" s="3" t="n">
        <f aca="false">B1598*100/B$2</f>
        <v>128.13303297493</v>
      </c>
      <c r="E1598" s="3" t="n">
        <f aca="false">C1598*100/C$2</f>
        <v>109.766255843604</v>
      </c>
      <c r="F1598" s="0" t="n">
        <v>127.552585754167</v>
      </c>
      <c r="G1598" s="0" t="n">
        <v>109.038374693288</v>
      </c>
      <c r="H1598" s="0" t="n">
        <v>108.525286867828</v>
      </c>
      <c r="I1598" s="0" t="n">
        <v>-0.513087825459792</v>
      </c>
    </row>
    <row r="1599" customFormat="false" ht="13.8" hidden="false" customHeight="false" outlineLevel="0" collapsed="false">
      <c r="A1599" s="2" t="n">
        <v>41698</v>
      </c>
      <c r="B1599" s="0" t="n">
        <v>1859.45</v>
      </c>
      <c r="C1599" s="0" t="n">
        <v>258.41</v>
      </c>
      <c r="D1599" s="3" t="n">
        <f aca="false">B1599*100/B$2</f>
        <v>128.489593410542</v>
      </c>
      <c r="E1599" s="3" t="n">
        <f aca="false">C1599*100/C$2</f>
        <v>109.821504462388</v>
      </c>
      <c r="F1599" s="0" t="n">
        <v>127.055750573537</v>
      </c>
      <c r="G1599" s="0" t="n">
        <v>108.872411763346</v>
      </c>
      <c r="H1599" s="0" t="n">
        <v>107.717807054824</v>
      </c>
      <c r="I1599" s="0" t="n">
        <v>-1.15460470852281</v>
      </c>
    </row>
    <row r="1600" customFormat="false" ht="13.8" hidden="false" customHeight="false" outlineLevel="0" collapsed="false">
      <c r="A1600" s="2" t="n">
        <v>41701</v>
      </c>
      <c r="B1600" s="0" t="n">
        <v>1845.73</v>
      </c>
      <c r="C1600" s="0" t="n">
        <v>256.29</v>
      </c>
      <c r="D1600" s="3" t="n">
        <f aca="false">B1600*100/B$2</f>
        <v>127.541529616628</v>
      </c>
      <c r="E1600" s="3" t="n">
        <f aca="false">C1600*100/C$2</f>
        <v>108.920526986825</v>
      </c>
      <c r="F1600" s="0" t="n">
        <v>127.055750573537</v>
      </c>
      <c r="G1600" s="0" t="n">
        <v>108.872411763346</v>
      </c>
      <c r="H1600" s="0" t="n">
        <v>108.291542711432</v>
      </c>
      <c r="I1600" s="0" t="n">
        <v>-0.58086905191422</v>
      </c>
    </row>
    <row r="1601" customFormat="false" ht="13.8" hidden="false" customHeight="false" outlineLevel="0" collapsed="false">
      <c r="A1601" s="2" t="n">
        <v>41702</v>
      </c>
      <c r="B1601" s="0" t="n">
        <v>1873.91</v>
      </c>
      <c r="C1601" s="0" t="n">
        <v>254.78</v>
      </c>
      <c r="D1601" s="3" t="n">
        <f aca="false">B1601*100/B$2</f>
        <v>129.488791840571</v>
      </c>
      <c r="E1601" s="3" t="n">
        <f aca="false">C1601*100/C$2</f>
        <v>108.278793030174</v>
      </c>
      <c r="F1601" s="0" t="n">
        <v>127.408164957572</v>
      </c>
      <c r="G1601" s="0" t="n">
        <v>108.990132339522</v>
      </c>
      <c r="H1601" s="0" t="n">
        <v>108.941776455589</v>
      </c>
      <c r="I1601" s="0" t="n">
        <v>-0.0483558839334251</v>
      </c>
    </row>
    <row r="1602" customFormat="false" ht="13.8" hidden="false" customHeight="false" outlineLevel="0" collapsed="false">
      <c r="A1602" s="2" t="n">
        <v>41703</v>
      </c>
      <c r="B1602" s="0" t="n">
        <v>1873.81</v>
      </c>
      <c r="C1602" s="0" t="n">
        <v>257.3</v>
      </c>
      <c r="D1602" s="3" t="n">
        <f aca="false">B1602*100/B$2</f>
        <v>129.481881754609</v>
      </c>
      <c r="E1602" s="3" t="n">
        <f aca="false">C1602*100/C$2</f>
        <v>109.349766255844</v>
      </c>
      <c r="F1602" s="0" t="n">
        <v>127.481411868764</v>
      </c>
      <c r="G1602" s="0" t="n">
        <v>109.014599753394</v>
      </c>
      <c r="H1602" s="0" t="n">
        <v>109.256268593285</v>
      </c>
      <c r="I1602" s="0" t="n">
        <v>0.241668839891346</v>
      </c>
    </row>
    <row r="1603" customFormat="false" ht="13.8" hidden="false" customHeight="false" outlineLevel="0" collapsed="false">
      <c r="A1603" s="2" t="n">
        <v>41704</v>
      </c>
      <c r="B1603" s="0" t="n">
        <v>1877.03</v>
      </c>
      <c r="C1603" s="0" t="n">
        <v>257.63</v>
      </c>
      <c r="D1603" s="3" t="n">
        <f aca="false">B1603*100/B$2</f>
        <v>129.704386522568</v>
      </c>
      <c r="E1603" s="3" t="n">
        <f aca="false">C1603*100/C$2</f>
        <v>109.490012749681</v>
      </c>
      <c r="F1603" s="0" t="n">
        <v>126.348157771083</v>
      </c>
      <c r="G1603" s="0" t="n">
        <v>108.636047312359</v>
      </c>
      <c r="H1603" s="0" t="n">
        <v>107.836804079898</v>
      </c>
      <c r="I1603" s="0" t="n">
        <v>-0.799243232460597</v>
      </c>
    </row>
    <row r="1604" customFormat="false" ht="13.8" hidden="false" customHeight="false" outlineLevel="0" collapsed="false">
      <c r="A1604" s="2" t="n">
        <v>41705</v>
      </c>
      <c r="B1604" s="0" t="n">
        <v>1878.04</v>
      </c>
      <c r="C1604" s="0" t="n">
        <v>257.35</v>
      </c>
      <c r="D1604" s="3" t="n">
        <f aca="false">B1604*100/B$2</f>
        <v>129.774178390779</v>
      </c>
      <c r="E1604" s="3" t="n">
        <f aca="false">C1604*100/C$2</f>
        <v>109.371015724607</v>
      </c>
      <c r="F1604" s="0" t="n">
        <v>123.71057795959</v>
      </c>
      <c r="G1604" s="0" t="n">
        <v>107.754989588315</v>
      </c>
      <c r="H1604" s="0" t="n">
        <v>107.475563110922</v>
      </c>
      <c r="I1604" s="0" t="n">
        <v>-0.279426477392832</v>
      </c>
    </row>
    <row r="1605" customFormat="false" ht="13.8" hidden="false" customHeight="false" outlineLevel="0" collapsed="false">
      <c r="A1605" s="2" t="n">
        <v>41708</v>
      </c>
      <c r="B1605" s="0" t="n">
        <v>1877.17</v>
      </c>
      <c r="C1605" s="0" t="n">
        <v>254.48</v>
      </c>
      <c r="D1605" s="3" t="n">
        <f aca="false">B1605*100/B$2</f>
        <v>129.714060642914</v>
      </c>
      <c r="E1605" s="3" t="n">
        <f aca="false">C1605*100/C$2</f>
        <v>108.151296217595</v>
      </c>
      <c r="F1605" s="0" t="n">
        <v>123.107327455154</v>
      </c>
      <c r="G1605" s="0" t="n">
        <v>107.553479660862</v>
      </c>
      <c r="H1605" s="0" t="n">
        <v>105.801104972376</v>
      </c>
      <c r="I1605" s="0" t="n">
        <v>-1.75237468848589</v>
      </c>
    </row>
    <row r="1606" customFormat="false" ht="13.8" hidden="false" customHeight="false" outlineLevel="0" collapsed="false">
      <c r="A1606" s="2" t="n">
        <v>41709</v>
      </c>
      <c r="B1606" s="0" t="n">
        <v>1867.63</v>
      </c>
      <c r="C1606" s="0" t="n">
        <v>255.49</v>
      </c>
      <c r="D1606" s="3" t="n">
        <f aca="false">B1606*100/B$2</f>
        <v>129.05483844219</v>
      </c>
      <c r="E1606" s="3" t="n">
        <f aca="false">C1606*100/C$2</f>
        <v>108.580535486613</v>
      </c>
      <c r="F1606" s="0" t="n">
        <v>123.863290859338</v>
      </c>
      <c r="G1606" s="0" t="n">
        <v>107.806001837991</v>
      </c>
      <c r="H1606" s="0" t="n">
        <v>106.209094772631</v>
      </c>
      <c r="I1606" s="0" t="n">
        <v>-1.59690706536047</v>
      </c>
    </row>
    <row r="1607" customFormat="false" ht="13.8" hidden="false" customHeight="false" outlineLevel="0" collapsed="false">
      <c r="A1607" s="2" t="n">
        <v>41710</v>
      </c>
      <c r="B1607" s="0" t="n">
        <v>1868.2</v>
      </c>
      <c r="C1607" s="0" t="n">
        <v>251.11</v>
      </c>
      <c r="D1607" s="3" t="n">
        <f aca="false">B1607*100/B$2</f>
        <v>129.094225932171</v>
      </c>
      <c r="E1607" s="3" t="n">
        <f aca="false">C1607*100/C$2</f>
        <v>106.719082022949</v>
      </c>
      <c r="F1607" s="0" t="n">
        <v>122.598745128389</v>
      </c>
      <c r="G1607" s="0" t="n">
        <v>107.383592711714</v>
      </c>
      <c r="H1607" s="0" t="n">
        <v>107.475563110922</v>
      </c>
      <c r="I1607" s="0" t="n">
        <v>0.0919703992081793</v>
      </c>
    </row>
    <row r="1608" customFormat="false" ht="13.8" hidden="false" customHeight="false" outlineLevel="0" collapsed="false">
      <c r="A1608" s="2" t="n">
        <v>41711</v>
      </c>
      <c r="B1608" s="0" t="n">
        <v>1846.34</v>
      </c>
      <c r="C1608" s="0" t="n">
        <v>251.09</v>
      </c>
      <c r="D1608" s="3" t="n">
        <f aca="false">B1608*100/B$2</f>
        <v>127.583681140993</v>
      </c>
      <c r="E1608" s="3" t="n">
        <f aca="false">C1608*100/C$2</f>
        <v>106.710582235444</v>
      </c>
      <c r="F1608" s="0" t="n">
        <v>123.980071312087</v>
      </c>
      <c r="G1608" s="0" t="n">
        <v>107.845011205391</v>
      </c>
      <c r="H1608" s="0" t="n">
        <v>107.475563110922</v>
      </c>
      <c r="I1608" s="0" t="n">
        <v>-0.369448094468282</v>
      </c>
    </row>
    <row r="1609" customFormat="false" ht="13.8" hidden="false" customHeight="false" outlineLevel="0" collapsed="false">
      <c r="A1609" s="2" t="n">
        <v>41712</v>
      </c>
      <c r="B1609" s="0" t="n">
        <v>1841.13</v>
      </c>
      <c r="C1609" s="0" t="n">
        <v>249.02</v>
      </c>
      <c r="D1609" s="3" t="n">
        <f aca="false">B1609*100/B$2</f>
        <v>127.223665662401</v>
      </c>
      <c r="E1609" s="3" t="n">
        <f aca="false">C1609*100/C$2</f>
        <v>105.830854228644</v>
      </c>
      <c r="F1609" s="0" t="n">
        <v>123.178501340557</v>
      </c>
      <c r="G1609" s="0" t="n">
        <v>107.577254600756</v>
      </c>
      <c r="H1609" s="0" t="n">
        <v>107.475563110922</v>
      </c>
      <c r="I1609" s="0" t="n">
        <v>-0.101691489833627</v>
      </c>
    </row>
    <row r="1610" customFormat="false" ht="13.8" hidden="false" customHeight="false" outlineLevel="0" collapsed="false">
      <c r="A1610" s="2" t="n">
        <v>41715</v>
      </c>
      <c r="B1610" s="0" t="n">
        <v>1858.83</v>
      </c>
      <c r="C1610" s="0" t="n">
        <v>250.15</v>
      </c>
      <c r="D1610" s="3" t="n">
        <f aca="false">B1610*100/B$2</f>
        <v>128.446750877581</v>
      </c>
      <c r="E1610" s="3" t="n">
        <f aca="false">C1610*100/C$2</f>
        <v>106.311092222694</v>
      </c>
      <c r="F1610" s="0" t="n">
        <v>120.366096354239</v>
      </c>
      <c r="G1610" s="0" t="n">
        <v>106.637798237943</v>
      </c>
      <c r="H1610" s="0" t="n">
        <v>106.251593710157</v>
      </c>
      <c r="I1610" s="0" t="n">
        <v>-0.386204527785608</v>
      </c>
    </row>
    <row r="1611" customFormat="false" ht="13.8" hidden="false" customHeight="false" outlineLevel="0" collapsed="false">
      <c r="A1611" s="2" t="n">
        <v>41716</v>
      </c>
      <c r="B1611" s="0" t="n">
        <v>1872.25</v>
      </c>
      <c r="C1611" s="0" t="n">
        <v>251.87</v>
      </c>
      <c r="D1611" s="3" t="n">
        <f aca="false">B1611*100/B$2</f>
        <v>129.37408441361</v>
      </c>
      <c r="E1611" s="3" t="n">
        <f aca="false">C1611*100/C$2</f>
        <v>107.042073948151</v>
      </c>
      <c r="F1611" s="0" t="n">
        <v>121.28582879571</v>
      </c>
      <c r="G1611" s="0" t="n">
        <v>106.945025859295</v>
      </c>
      <c r="H1611" s="0" t="n">
        <v>104.249893752656</v>
      </c>
      <c r="I1611" s="0" t="n">
        <v>-2.69513210663904</v>
      </c>
    </row>
    <row r="1612" customFormat="false" ht="13.8" hidden="false" customHeight="false" outlineLevel="0" collapsed="false">
      <c r="A1612" s="2" t="n">
        <v>41717</v>
      </c>
      <c r="B1612" s="0" t="n">
        <v>1860.77</v>
      </c>
      <c r="C1612" s="0" t="n">
        <v>251.32</v>
      </c>
      <c r="D1612" s="3" t="n">
        <f aca="false">B1612*100/B$2</f>
        <v>128.580806545233</v>
      </c>
      <c r="E1612" s="3" t="n">
        <f aca="false">C1612*100/C$2</f>
        <v>106.808329791755</v>
      </c>
      <c r="F1612" s="0" t="n">
        <v>121.039829735482</v>
      </c>
      <c r="G1612" s="0" t="n">
        <v>106.862852280631</v>
      </c>
      <c r="H1612" s="0" t="n">
        <v>104.564385890353</v>
      </c>
      <c r="I1612" s="0" t="n">
        <v>-2.29846639027873</v>
      </c>
    </row>
    <row r="1613" customFormat="false" ht="13.8" hidden="false" customHeight="false" outlineLevel="0" collapsed="false">
      <c r="A1613" s="2" t="n">
        <v>41718</v>
      </c>
      <c r="B1613" s="0" t="n">
        <v>1872.01</v>
      </c>
      <c r="C1613" s="0" t="n">
        <v>248.68</v>
      </c>
      <c r="D1613" s="3" t="n">
        <f aca="false">B1613*100/B$2</f>
        <v>129.357500207303</v>
      </c>
      <c r="E1613" s="3" t="n">
        <f aca="false">C1613*100/C$2</f>
        <v>105.686357841054</v>
      </c>
      <c r="F1613" s="0" t="n">
        <v>122.545537466486</v>
      </c>
      <c r="G1613" s="0" t="n">
        <v>107.365819212958</v>
      </c>
      <c r="H1613" s="0" t="n">
        <v>105.635359116022</v>
      </c>
      <c r="I1613" s="0" t="n">
        <v>-1.73046009693604</v>
      </c>
    </row>
    <row r="1614" customFormat="false" ht="13.8" hidden="false" customHeight="false" outlineLevel="0" collapsed="false">
      <c r="A1614" s="2" t="n">
        <v>41719</v>
      </c>
      <c r="B1614" s="0" t="n">
        <v>1866.52</v>
      </c>
      <c r="C1614" s="0" t="n">
        <v>250.68</v>
      </c>
      <c r="D1614" s="3" t="n">
        <f aca="false">B1614*100/B$2</f>
        <v>128.978136488018</v>
      </c>
      <c r="E1614" s="3" t="n">
        <f aca="false">C1614*100/C$2</f>
        <v>106.536336591585</v>
      </c>
      <c r="F1614" s="0" t="n">
        <v>124.175626744797</v>
      </c>
      <c r="G1614" s="0" t="n">
        <v>107.910334583935</v>
      </c>
      <c r="H1614" s="0" t="n">
        <v>106.46408839779</v>
      </c>
      <c r="I1614" s="0" t="n">
        <v>-1.44624618614495</v>
      </c>
    </row>
    <row r="1615" customFormat="false" ht="13.8" hidden="false" customHeight="false" outlineLevel="0" collapsed="false">
      <c r="A1615" s="2" t="n">
        <v>41722</v>
      </c>
      <c r="B1615" s="0" t="n">
        <v>1857.44</v>
      </c>
      <c r="C1615" s="0" t="n">
        <v>252.31</v>
      </c>
      <c r="D1615" s="3" t="n">
        <f aca="false">B1615*100/B$2</f>
        <v>128.350700682716</v>
      </c>
      <c r="E1615" s="3" t="n">
        <f aca="false">C1615*100/C$2</f>
        <v>107.229069273268</v>
      </c>
      <c r="F1615" s="0" t="n">
        <v>124.37049116891</v>
      </c>
      <c r="G1615" s="0" t="n">
        <v>107.97542713782</v>
      </c>
      <c r="H1615" s="0" t="n">
        <v>106.447088822779</v>
      </c>
      <c r="I1615" s="0" t="n">
        <v>-1.5283383150409</v>
      </c>
    </row>
    <row r="1616" customFormat="false" ht="13.8" hidden="false" customHeight="false" outlineLevel="0" collapsed="false">
      <c r="A1616" s="2" t="n">
        <v>41723</v>
      </c>
      <c r="B1616" s="0" t="n">
        <v>1865.62</v>
      </c>
      <c r="C1616" s="0" t="n">
        <v>251.56</v>
      </c>
      <c r="D1616" s="3" t="n">
        <f aca="false">B1616*100/B$2</f>
        <v>128.915945714365</v>
      </c>
      <c r="E1616" s="3" t="n">
        <f aca="false">C1616*100/C$2</f>
        <v>106.910327241819</v>
      </c>
      <c r="F1616" s="0" t="n">
        <v>125.746289283839</v>
      </c>
      <c r="G1616" s="0" t="n">
        <v>108.434999034223</v>
      </c>
      <c r="H1616" s="0" t="n">
        <v>107.042073948151</v>
      </c>
      <c r="I1616" s="0" t="n">
        <v>-1.39292508607215</v>
      </c>
    </row>
    <row r="1617" customFormat="false" ht="13.8" hidden="false" customHeight="false" outlineLevel="0" collapsed="false">
      <c r="A1617" s="2" t="n">
        <v>41724</v>
      </c>
      <c r="B1617" s="0" t="n">
        <v>1852.56</v>
      </c>
      <c r="C1617" s="0" t="n">
        <v>255.08</v>
      </c>
      <c r="D1617" s="3" t="n">
        <f aca="false">B1617*100/B$2</f>
        <v>128.013488487797</v>
      </c>
      <c r="E1617" s="3" t="n">
        <f aca="false">C1617*100/C$2</f>
        <v>108.406289842754</v>
      </c>
      <c r="F1617" s="0" t="n">
        <v>125.712429862628</v>
      </c>
      <c r="G1617" s="0" t="n">
        <v>108.423688625924</v>
      </c>
      <c r="H1617" s="0" t="n">
        <v>107.229069273268</v>
      </c>
      <c r="I1617" s="0" t="n">
        <v>-1.19461935265605</v>
      </c>
    </row>
    <row r="1618" customFormat="false" ht="13.8" hidden="false" customHeight="false" outlineLevel="0" collapsed="false">
      <c r="A1618" s="2" t="n">
        <v>41725</v>
      </c>
      <c r="B1618" s="0" t="n">
        <v>1849.04</v>
      </c>
      <c r="C1618" s="0" t="n">
        <v>257.26</v>
      </c>
      <c r="D1618" s="3" t="n">
        <f aca="false">B1618*100/B$2</f>
        <v>127.770253461953</v>
      </c>
      <c r="E1618" s="3" t="n">
        <f aca="false">C1618*100/C$2</f>
        <v>109.332766680833</v>
      </c>
      <c r="F1618" s="0" t="n">
        <v>126.442825948755</v>
      </c>
      <c r="G1618" s="0" t="n">
        <v>108.667670290665</v>
      </c>
      <c r="H1618" s="0" t="n">
        <v>106.659583510412</v>
      </c>
      <c r="I1618" s="0" t="n">
        <v>-2.00808678025236</v>
      </c>
    </row>
    <row r="1619" customFormat="false" ht="13.8" hidden="false" customHeight="false" outlineLevel="0" collapsed="false">
      <c r="A1619" s="2" t="n">
        <v>41726</v>
      </c>
      <c r="B1619" s="0" t="n">
        <v>1857.62</v>
      </c>
      <c r="C1619" s="0" t="n">
        <v>257.44</v>
      </c>
      <c r="D1619" s="3" t="n">
        <f aca="false">B1619*100/B$2</f>
        <v>128.363138837447</v>
      </c>
      <c r="E1619" s="3" t="n">
        <f aca="false">C1619*100/C$2</f>
        <v>109.409264768381</v>
      </c>
      <c r="F1619" s="0" t="n">
        <v>127.050913513364</v>
      </c>
      <c r="G1619" s="0" t="n">
        <v>108.870795990732</v>
      </c>
      <c r="H1619" s="0" t="n">
        <v>107.411814704632</v>
      </c>
      <c r="I1619" s="0" t="n">
        <v>-1.45898128609988</v>
      </c>
    </row>
    <row r="1620" customFormat="false" ht="13.8" hidden="false" customHeight="false" outlineLevel="0" collapsed="false">
      <c r="A1620" s="2" t="n">
        <v>41729</v>
      </c>
      <c r="B1620" s="0" t="n">
        <v>1872.34</v>
      </c>
      <c r="C1620" s="0" t="n">
        <v>258.11</v>
      </c>
      <c r="D1620" s="3" t="n">
        <f aca="false">B1620*100/B$2</f>
        <v>129.380303490975</v>
      </c>
      <c r="E1620" s="3" t="n">
        <f aca="false">C1620*100/C$2</f>
        <v>109.694007649809</v>
      </c>
      <c r="F1620" s="0" t="n">
        <v>127.050913513364</v>
      </c>
      <c r="G1620" s="0" t="n">
        <v>108.870795990732</v>
      </c>
      <c r="H1620" s="0" t="n">
        <v>107.794305142371</v>
      </c>
      <c r="I1620" s="0" t="n">
        <v>-1.07649084836082</v>
      </c>
    </row>
    <row r="1621" customFormat="false" ht="13.8" hidden="false" customHeight="false" outlineLevel="0" collapsed="false">
      <c r="A1621" s="2" t="n">
        <v>41730</v>
      </c>
      <c r="B1621" s="0" t="n">
        <v>1885.52</v>
      </c>
      <c r="C1621" s="0" t="n">
        <v>258.95</v>
      </c>
      <c r="D1621" s="3" t="n">
        <f aca="false">B1621*100/B$2</f>
        <v>130.291052820697</v>
      </c>
      <c r="E1621" s="3" t="n">
        <f aca="false">C1621*100/C$2</f>
        <v>110.050998725032</v>
      </c>
      <c r="F1621" s="0" t="n">
        <v>127.198098344343</v>
      </c>
      <c r="G1621" s="0" t="n">
        <v>108.919961643135</v>
      </c>
      <c r="H1621" s="0" t="n">
        <v>107.802804929877</v>
      </c>
      <c r="I1621" s="0" t="n">
        <v>-1.11715671325825</v>
      </c>
    </row>
    <row r="1622" customFormat="false" ht="13.8" hidden="false" customHeight="false" outlineLevel="0" collapsed="false">
      <c r="A1622" s="2" t="n">
        <v>41731</v>
      </c>
      <c r="B1622" s="0" t="n">
        <v>1890.9</v>
      </c>
      <c r="C1622" s="0" t="n">
        <v>259.7</v>
      </c>
      <c r="D1622" s="3" t="n">
        <f aca="false">B1622*100/B$2</f>
        <v>130.662815445424</v>
      </c>
      <c r="E1622" s="3" t="n">
        <f aca="false">C1622*100/C$2</f>
        <v>110.369740756481</v>
      </c>
      <c r="F1622" s="0" t="n">
        <v>126.368197020371</v>
      </c>
      <c r="G1622" s="0" t="n">
        <v>108.642741227474</v>
      </c>
      <c r="H1622" s="0" t="n">
        <v>107.48831279218</v>
      </c>
      <c r="I1622" s="0" t="n">
        <v>-1.15442843529426</v>
      </c>
    </row>
    <row r="1623" customFormat="false" ht="13.8" hidden="false" customHeight="false" outlineLevel="0" collapsed="false">
      <c r="A1623" s="2" t="n">
        <v>41732</v>
      </c>
      <c r="B1623" s="0" t="n">
        <v>1888.77</v>
      </c>
      <c r="C1623" s="0" t="n">
        <v>259.34</v>
      </c>
      <c r="D1623" s="3" t="n">
        <f aca="false">B1623*100/B$2</f>
        <v>130.515630614445</v>
      </c>
      <c r="E1623" s="3" t="n">
        <f aca="false">C1623*100/C$2</f>
        <v>110.216744581385</v>
      </c>
      <c r="F1623" s="0" t="n">
        <v>127.130379501921</v>
      </c>
      <c r="G1623" s="0" t="n">
        <v>108.897340826537</v>
      </c>
      <c r="H1623" s="0" t="n">
        <v>106.651083722907</v>
      </c>
      <c r="I1623" s="0" t="n">
        <v>-2.24625710362965</v>
      </c>
    </row>
    <row r="1624" customFormat="false" ht="13.8" hidden="false" customHeight="false" outlineLevel="0" collapsed="false">
      <c r="A1624" s="2" t="n">
        <v>41733</v>
      </c>
      <c r="B1624" s="0" t="n">
        <v>1865.09</v>
      </c>
      <c r="C1624" s="0" t="n">
        <v>259.47</v>
      </c>
      <c r="D1624" s="3" t="n">
        <f aca="false">B1624*100/B$2</f>
        <v>128.879322258769</v>
      </c>
      <c r="E1624" s="3" t="n">
        <f aca="false">C1624*100/C$2</f>
        <v>110.27199320017</v>
      </c>
      <c r="F1624" s="0" t="n">
        <v>126.886453467481</v>
      </c>
      <c r="G1624" s="0" t="n">
        <v>108.81585972185</v>
      </c>
      <c r="H1624" s="0" t="n">
        <v>108.465788355291</v>
      </c>
      <c r="I1624" s="0" t="n">
        <v>-0.35007136655922</v>
      </c>
    </row>
    <row r="1625" customFormat="false" ht="13.8" hidden="false" customHeight="false" outlineLevel="0" collapsed="false">
      <c r="A1625" s="2" t="n">
        <v>41736</v>
      </c>
      <c r="B1625" s="0" t="n">
        <v>1845.04</v>
      </c>
      <c r="C1625" s="0" t="n">
        <v>259.89</v>
      </c>
      <c r="D1625" s="3" t="n">
        <f aca="false">B1625*100/B$2</f>
        <v>127.493850023494</v>
      </c>
      <c r="E1625" s="3" t="n">
        <f aca="false">C1625*100/C$2</f>
        <v>110.450488737782</v>
      </c>
      <c r="F1625" s="0" t="n">
        <v>127.671439232704</v>
      </c>
      <c r="G1625" s="0" t="n">
        <v>109.078076534665</v>
      </c>
      <c r="H1625" s="0" t="n">
        <v>107.95155121122</v>
      </c>
      <c r="I1625" s="0" t="n">
        <v>-1.12652532344525</v>
      </c>
    </row>
    <row r="1626" customFormat="false" ht="13.8" hidden="false" customHeight="false" outlineLevel="0" collapsed="false">
      <c r="A1626" s="2" t="n">
        <v>41737</v>
      </c>
      <c r="B1626" s="0" t="n">
        <v>1851.96</v>
      </c>
      <c r="C1626" s="0" t="n">
        <v>260.47</v>
      </c>
      <c r="D1626" s="3" t="n">
        <f aca="false">B1626*100/B$2</f>
        <v>127.972027972028</v>
      </c>
      <c r="E1626" s="3" t="n">
        <f aca="false">C1626*100/C$2</f>
        <v>110.696982575436</v>
      </c>
      <c r="F1626" s="0" t="n">
        <v>127.499378092263</v>
      </c>
      <c r="G1626" s="0" t="n">
        <v>109.020601194532</v>
      </c>
      <c r="H1626" s="0" t="n">
        <v>108.899277518062</v>
      </c>
      <c r="I1626" s="0" t="n">
        <v>-0.121323676470112</v>
      </c>
    </row>
    <row r="1627" customFormat="false" ht="13.8" hidden="false" customHeight="false" outlineLevel="0" collapsed="false">
      <c r="A1627" s="2" t="n">
        <v>41738</v>
      </c>
      <c r="B1627" s="0" t="n">
        <v>1872.18</v>
      </c>
      <c r="C1627" s="0" t="n">
        <v>261.21</v>
      </c>
      <c r="D1627" s="3" t="n">
        <f aca="false">B1627*100/B$2</f>
        <v>129.369247353437</v>
      </c>
      <c r="E1627" s="3" t="n">
        <f aca="false">C1627*100/C$2</f>
        <v>111.011474713132</v>
      </c>
      <c r="F1627" s="0" t="n">
        <v>127.502142126648</v>
      </c>
      <c r="G1627" s="0" t="n">
        <v>109.021524493169</v>
      </c>
      <c r="H1627" s="0" t="n">
        <v>109.354016149596</v>
      </c>
      <c r="I1627" s="0" t="n">
        <v>0.332491656427408</v>
      </c>
    </row>
    <row r="1628" customFormat="false" ht="13.8" hidden="false" customHeight="false" outlineLevel="0" collapsed="false">
      <c r="A1628" s="2" t="n">
        <v>41739</v>
      </c>
      <c r="B1628" s="0" t="n">
        <v>1833.08</v>
      </c>
      <c r="C1628" s="0" t="n">
        <v>262.41</v>
      </c>
      <c r="D1628" s="3" t="n">
        <f aca="false">B1628*100/B$2</f>
        <v>126.667403742503</v>
      </c>
      <c r="E1628" s="3" t="n">
        <f aca="false">C1628*100/C$2</f>
        <v>111.521461963451</v>
      </c>
      <c r="F1628" s="0" t="n">
        <v>128.13303297493</v>
      </c>
      <c r="G1628" s="0" t="n">
        <v>109.232267406989</v>
      </c>
      <c r="H1628" s="0" t="n">
        <v>109.766255843604</v>
      </c>
      <c r="I1628" s="0" t="n">
        <v>0.533988436614834</v>
      </c>
    </row>
    <row r="1629" customFormat="false" ht="13.8" hidden="false" customHeight="false" outlineLevel="0" collapsed="false">
      <c r="A1629" s="2" t="n">
        <v>41740</v>
      </c>
      <c r="B1629" s="0" t="n">
        <v>1815.69</v>
      </c>
      <c r="C1629" s="0" t="n">
        <v>260.53</v>
      </c>
      <c r="D1629" s="3" t="n">
        <f aca="false">B1629*100/B$2</f>
        <v>125.465739793803</v>
      </c>
      <c r="E1629" s="3" t="n">
        <f aca="false">C1629*100/C$2</f>
        <v>110.722481937952</v>
      </c>
      <c r="F1629" s="0" t="n">
        <v>128.489593410542</v>
      </c>
      <c r="G1629" s="0" t="n">
        <v>109.35137293112</v>
      </c>
      <c r="H1629" s="0" t="n">
        <v>109.821504462388</v>
      </c>
      <c r="I1629" s="0" t="n">
        <v>0.470131531268805</v>
      </c>
    </row>
    <row r="1630" customFormat="false" ht="13.8" hidden="false" customHeight="false" outlineLevel="0" collapsed="false">
      <c r="A1630" s="2" t="n">
        <v>41743</v>
      </c>
      <c r="B1630" s="0" t="n">
        <v>1830.61</v>
      </c>
      <c r="C1630" s="0" t="n">
        <v>260.51</v>
      </c>
      <c r="D1630" s="3" t="n">
        <f aca="false">B1630*100/B$2</f>
        <v>126.496724619254</v>
      </c>
      <c r="E1630" s="3" t="n">
        <f aca="false">C1630*100/C$2</f>
        <v>110.713982150446</v>
      </c>
      <c r="F1630" s="0" t="n">
        <v>127.541529616628</v>
      </c>
      <c r="G1630" s="0" t="n">
        <v>109.034681498741</v>
      </c>
      <c r="H1630" s="0" t="n">
        <v>108.920526986825</v>
      </c>
      <c r="I1630" s="0" t="n">
        <v>-0.11415451191607</v>
      </c>
    </row>
    <row r="1631" customFormat="false" ht="13.8" hidden="false" customHeight="false" outlineLevel="0" collapsed="false">
      <c r="A1631" s="2" t="n">
        <v>41744</v>
      </c>
      <c r="B1631" s="0" t="n">
        <v>1842.98</v>
      </c>
      <c r="C1631" s="0" t="n">
        <v>259.74</v>
      </c>
      <c r="D1631" s="3" t="n">
        <f aca="false">B1631*100/B$2</f>
        <v>127.351502252688</v>
      </c>
      <c r="E1631" s="3" t="n">
        <f aca="false">C1631*100/C$2</f>
        <v>110.386740331492</v>
      </c>
      <c r="F1631" s="0" t="n">
        <v>129.488791840571</v>
      </c>
      <c r="G1631" s="0" t="n">
        <v>109.685145388276</v>
      </c>
      <c r="H1631" s="0" t="n">
        <v>108.278793030174</v>
      </c>
      <c r="I1631" s="0" t="n">
        <v>-1.40635235810207</v>
      </c>
    </row>
    <row r="1632" customFormat="false" ht="13.8" hidden="false" customHeight="false" outlineLevel="0" collapsed="false">
      <c r="A1632" s="2" t="n">
        <v>41745</v>
      </c>
      <c r="B1632" s="0" t="n">
        <v>1862.31</v>
      </c>
      <c r="C1632" s="0" t="n">
        <v>259.83</v>
      </c>
      <c r="D1632" s="3" t="n">
        <f aca="false">B1632*100/B$2</f>
        <v>128.68722186904</v>
      </c>
      <c r="E1632" s="3" t="n">
        <f aca="false">C1632*100/C$2</f>
        <v>110.424989375266</v>
      </c>
      <c r="F1632" s="0" t="n">
        <v>129.481881754609</v>
      </c>
      <c r="G1632" s="0" t="n">
        <v>109.682837141685</v>
      </c>
      <c r="H1632" s="0" t="n">
        <v>109.349766255844</v>
      </c>
      <c r="I1632" s="0" t="n">
        <v>-0.333070885841025</v>
      </c>
    </row>
    <row r="1633" customFormat="false" ht="13.8" hidden="false" customHeight="false" outlineLevel="0" collapsed="false">
      <c r="A1633" s="2" t="n">
        <v>41746</v>
      </c>
      <c r="B1633" s="0" t="n">
        <v>1864.85</v>
      </c>
      <c r="C1633" s="0" t="n">
        <v>259.66</v>
      </c>
      <c r="D1633" s="3" t="n">
        <f aca="false">B1633*100/B$2</f>
        <v>128.862738052461</v>
      </c>
      <c r="E1633" s="3" t="n">
        <f aca="false">C1633*100/C$2</f>
        <v>110.35274118147</v>
      </c>
      <c r="F1633" s="0" t="n">
        <v>129.704386522568</v>
      </c>
      <c r="G1633" s="0" t="n">
        <v>109.757162681937</v>
      </c>
      <c r="H1633" s="0" t="n">
        <v>109.490012749681</v>
      </c>
      <c r="I1633" s="0" t="n">
        <v>-0.267149932255407</v>
      </c>
    </row>
    <row r="1634" customFormat="false" ht="13.8" hidden="false" customHeight="false" outlineLevel="0" collapsed="false">
      <c r="A1634" s="2" t="n">
        <v>41747</v>
      </c>
      <c r="B1634" s="0" t="n">
        <v>1864.85</v>
      </c>
      <c r="C1634" s="0" t="n">
        <v>261.52</v>
      </c>
      <c r="D1634" s="3" t="n">
        <f aca="false">B1634*100/B$2</f>
        <v>128.862738052461</v>
      </c>
      <c r="E1634" s="3" t="n">
        <f aca="false">C1634*100/C$2</f>
        <v>111.143221419465</v>
      </c>
      <c r="F1634" s="0" t="n">
        <v>129.774178390779</v>
      </c>
      <c r="G1634" s="0" t="n">
        <v>109.780475972513</v>
      </c>
      <c r="H1634" s="0" t="n">
        <v>109.371015724607</v>
      </c>
      <c r="I1634" s="0" t="n">
        <v>-0.409460247905727</v>
      </c>
    </row>
    <row r="1635" customFormat="false" ht="13.8" hidden="false" customHeight="false" outlineLevel="0" collapsed="false">
      <c r="A1635" s="2" t="n">
        <v>41750</v>
      </c>
      <c r="B1635" s="0" t="n">
        <v>1871.89</v>
      </c>
      <c r="C1635" s="0" t="n">
        <v>260.9</v>
      </c>
      <c r="D1635" s="3" t="n">
        <f aca="false">B1635*100/B$2</f>
        <v>129.349208104149</v>
      </c>
      <c r="E1635" s="3" t="n">
        <f aca="false">C1635*100/C$2</f>
        <v>110.8797280068</v>
      </c>
      <c r="F1635" s="0" t="n">
        <v>129.714060642914</v>
      </c>
      <c r="G1635" s="0" t="n">
        <v>109.760394227165</v>
      </c>
      <c r="H1635" s="0" t="n">
        <v>108.151296217595</v>
      </c>
      <c r="I1635" s="0" t="n">
        <v>-1.60909800957047</v>
      </c>
    </row>
    <row r="1636" customFormat="false" ht="13.8" hidden="false" customHeight="false" outlineLevel="0" collapsed="false">
      <c r="A1636" s="2" t="n">
        <v>41751</v>
      </c>
      <c r="B1636" s="0" t="n">
        <v>1879.55</v>
      </c>
      <c r="C1636" s="0" t="n">
        <v>261.55</v>
      </c>
      <c r="D1636" s="3" t="n">
        <f aca="false">B1636*100/B$2</f>
        <v>129.878520688797</v>
      </c>
      <c r="E1636" s="3" t="n">
        <f aca="false">C1636*100/C$2</f>
        <v>111.155971100722</v>
      </c>
      <c r="F1636" s="0" t="n">
        <v>129.05483844219</v>
      </c>
      <c r="G1636" s="0" t="n">
        <v>109.540187502319</v>
      </c>
      <c r="H1636" s="0" t="n">
        <v>108.580535486613</v>
      </c>
      <c r="I1636" s="0" t="n">
        <v>-0.959652015706084</v>
      </c>
    </row>
    <row r="1637" customFormat="false" ht="13.8" hidden="false" customHeight="false" outlineLevel="0" collapsed="false">
      <c r="A1637" s="2" t="n">
        <v>41752</v>
      </c>
      <c r="B1637" s="0" t="n">
        <v>1875.39</v>
      </c>
      <c r="C1637" s="0" t="n">
        <v>261.2</v>
      </c>
      <c r="D1637" s="3" t="n">
        <f aca="false">B1637*100/B$2</f>
        <v>129.5910611128</v>
      </c>
      <c r="E1637" s="3" t="n">
        <f aca="false">C1637*100/C$2</f>
        <v>111.00722481938</v>
      </c>
      <c r="F1637" s="0" t="n">
        <v>129.094225932171</v>
      </c>
      <c r="G1637" s="0" t="n">
        <v>109.553344507891</v>
      </c>
      <c r="H1637" s="0" t="n">
        <v>106.719082022949</v>
      </c>
      <c r="I1637" s="0" t="n">
        <v>-2.83426248494206</v>
      </c>
    </row>
    <row r="1638" customFormat="false" ht="13.8" hidden="false" customHeight="false" outlineLevel="0" collapsed="false">
      <c r="A1638" s="2" t="n">
        <v>41753</v>
      </c>
      <c r="B1638" s="0" t="n">
        <v>1878.61</v>
      </c>
      <c r="C1638" s="0" t="n">
        <v>261.08</v>
      </c>
      <c r="D1638" s="3" t="n">
        <f aca="false">B1638*100/B$2</f>
        <v>129.81356588076</v>
      </c>
      <c r="E1638" s="3" t="n">
        <f aca="false">C1638*100/C$2</f>
        <v>110.956226094348</v>
      </c>
      <c r="F1638" s="0" t="n">
        <v>127.583681140993</v>
      </c>
      <c r="G1638" s="0" t="n">
        <v>109.048761802951</v>
      </c>
      <c r="H1638" s="0" t="n">
        <v>106.710582235444</v>
      </c>
      <c r="I1638" s="0" t="n">
        <v>-2.33817956750654</v>
      </c>
    </row>
    <row r="1639" customFormat="false" ht="13.8" hidden="false" customHeight="false" outlineLevel="0" collapsed="false">
      <c r="A1639" s="2" t="n">
        <v>41754</v>
      </c>
      <c r="B1639" s="0" t="n">
        <v>1863.4</v>
      </c>
      <c r="C1639" s="0" t="n">
        <v>257.42</v>
      </c>
      <c r="D1639" s="3" t="n">
        <f aca="false">B1639*100/B$2</f>
        <v>128.76254180602</v>
      </c>
      <c r="E1639" s="3" t="n">
        <f aca="false">C1639*100/C$2</f>
        <v>109.400764980875</v>
      </c>
      <c r="F1639" s="0" t="n">
        <v>127.223665662401</v>
      </c>
      <c r="G1639" s="0" t="n">
        <v>108.928502155524</v>
      </c>
      <c r="H1639" s="0" t="n">
        <v>105.830854228644</v>
      </c>
      <c r="I1639" s="0" t="n">
        <v>-3.09764792687993</v>
      </c>
    </row>
    <row r="1640" customFormat="false" ht="13.8" hidden="false" customHeight="false" outlineLevel="0" collapsed="false">
      <c r="A1640" s="2" t="n">
        <v>41757</v>
      </c>
      <c r="B1640" s="0" t="n">
        <v>1869.43</v>
      </c>
      <c r="C1640" s="0" t="n">
        <v>256.8</v>
      </c>
      <c r="D1640" s="3" t="n">
        <f aca="false">B1640*100/B$2</f>
        <v>129.179219989497</v>
      </c>
      <c r="E1640" s="3" t="n">
        <f aca="false">C1640*100/C$2</f>
        <v>109.137271568211</v>
      </c>
      <c r="F1640" s="0" t="n">
        <v>128.446750877581</v>
      </c>
      <c r="G1640" s="0" t="n">
        <v>109.337061802251</v>
      </c>
      <c r="H1640" s="0" t="n">
        <v>106.311092222694</v>
      </c>
      <c r="I1640" s="0" t="n">
        <v>-3.02596957955681</v>
      </c>
    </row>
    <row r="1641" customFormat="false" ht="13.8" hidden="false" customHeight="false" outlineLevel="0" collapsed="false">
      <c r="A1641" s="2" t="n">
        <v>41758</v>
      </c>
      <c r="B1641" s="0" t="n">
        <v>1878.33</v>
      </c>
      <c r="C1641" s="0" t="n">
        <v>255.8</v>
      </c>
      <c r="D1641" s="3" t="n">
        <f aca="false">B1641*100/B$2</f>
        <v>129.794217640067</v>
      </c>
      <c r="E1641" s="3" t="n">
        <f aca="false">C1641*100/C$2</f>
        <v>108.712282192945</v>
      </c>
      <c r="F1641" s="0" t="n">
        <v>129.37408441361</v>
      </c>
      <c r="G1641" s="0" t="n">
        <v>109.646828494854</v>
      </c>
      <c r="H1641" s="0" t="n">
        <v>107.042073948151</v>
      </c>
      <c r="I1641" s="0" t="n">
        <v>-2.60475454670316</v>
      </c>
    </row>
    <row r="1642" customFormat="false" ht="13.8" hidden="false" customHeight="false" outlineLevel="0" collapsed="false">
      <c r="A1642" s="2" t="n">
        <v>41759</v>
      </c>
      <c r="B1642" s="0" t="n">
        <v>1883.95</v>
      </c>
      <c r="C1642" s="0" t="n">
        <v>255.33</v>
      </c>
      <c r="D1642" s="3" t="n">
        <f aca="false">B1642*100/B$2</f>
        <v>130.182564471102</v>
      </c>
      <c r="E1642" s="3" t="n">
        <f aca="false">C1642*100/C$2</f>
        <v>108.51253718657</v>
      </c>
      <c r="F1642" s="0" t="n">
        <v>128.580806545233</v>
      </c>
      <c r="G1642" s="0" t="n">
        <v>109.38184178613</v>
      </c>
      <c r="H1642" s="0" t="n">
        <v>106.808329791755</v>
      </c>
      <c r="I1642" s="0" t="n">
        <v>-2.5735119943746</v>
      </c>
    </row>
    <row r="1643" customFormat="false" ht="13.8" hidden="false" customHeight="false" outlineLevel="0" collapsed="false">
      <c r="A1643" s="2" t="n">
        <v>41760</v>
      </c>
      <c r="B1643" s="0" t="n">
        <v>1883.68</v>
      </c>
      <c r="C1643" s="0" t="n">
        <v>255.33</v>
      </c>
      <c r="D1643" s="3" t="n">
        <f aca="false">B1643*100/B$2</f>
        <v>130.163907239006</v>
      </c>
      <c r="E1643" s="3" t="n">
        <f aca="false">C1643*100/C$2</f>
        <v>108.51253718657</v>
      </c>
      <c r="F1643" s="0" t="n">
        <v>129.357500207303</v>
      </c>
      <c r="G1643" s="0" t="n">
        <v>109.641288703034</v>
      </c>
      <c r="H1643" s="0" t="n">
        <v>105.686357841054</v>
      </c>
      <c r="I1643" s="0" t="n">
        <v>-3.95493086198046</v>
      </c>
    </row>
    <row r="1644" customFormat="false" ht="13.8" hidden="false" customHeight="false" outlineLevel="0" collapsed="false">
      <c r="A1644" s="2" t="n">
        <v>41761</v>
      </c>
      <c r="B1644" s="0" t="n">
        <v>1881.14</v>
      </c>
      <c r="C1644" s="0" t="n">
        <v>255.07</v>
      </c>
      <c r="D1644" s="3" t="n">
        <f aca="false">B1644*100/B$2</f>
        <v>129.988391055585</v>
      </c>
      <c r="E1644" s="3" t="n">
        <f aca="false">C1644*100/C$2</f>
        <v>108.402039949001</v>
      </c>
      <c r="F1644" s="0" t="n">
        <v>128.978136488018</v>
      </c>
      <c r="G1644" s="0" t="n">
        <v>109.514565965151</v>
      </c>
      <c r="H1644" s="0" t="n">
        <v>106.536336591585</v>
      </c>
      <c r="I1644" s="0" t="n">
        <v>-2.97822937356608</v>
      </c>
    </row>
    <row r="1645" customFormat="false" ht="13.8" hidden="false" customHeight="false" outlineLevel="0" collapsed="false">
      <c r="A1645" s="2" t="n">
        <v>41764</v>
      </c>
      <c r="B1645" s="0" t="n">
        <v>1884.66</v>
      </c>
      <c r="C1645" s="0" t="n">
        <v>255.07</v>
      </c>
      <c r="D1645" s="3" t="n">
        <f aca="false">B1645*100/B$2</f>
        <v>130.231626081428</v>
      </c>
      <c r="E1645" s="3" t="n">
        <f aca="false">C1645*100/C$2</f>
        <v>108.402039949001</v>
      </c>
      <c r="F1645" s="0" t="n">
        <v>128.350700682716</v>
      </c>
      <c r="G1645" s="0" t="n">
        <v>109.304977174627</v>
      </c>
      <c r="H1645" s="0" t="n">
        <v>107.229069273268</v>
      </c>
      <c r="I1645" s="0" t="n">
        <v>-2.07590790135875</v>
      </c>
    </row>
    <row r="1646" customFormat="false" ht="13.8" hidden="false" customHeight="false" outlineLevel="0" collapsed="false">
      <c r="A1646" s="2" t="n">
        <v>41765</v>
      </c>
      <c r="B1646" s="0" t="n">
        <v>1867.72</v>
      </c>
      <c r="C1646" s="0" t="n">
        <v>255.07</v>
      </c>
      <c r="D1646" s="3" t="n">
        <f aca="false">B1646*100/B$2</f>
        <v>129.061057519556</v>
      </c>
      <c r="E1646" s="3" t="n">
        <f aca="false">C1646*100/C$2</f>
        <v>108.402039949001</v>
      </c>
      <c r="F1646" s="0" t="n">
        <v>128.915945714365</v>
      </c>
      <c r="G1646" s="0" t="n">
        <v>109.493791745826</v>
      </c>
      <c r="H1646" s="0" t="n">
        <v>106.910327241819</v>
      </c>
      <c r="I1646" s="0" t="n">
        <v>-2.58346450400724</v>
      </c>
    </row>
    <row r="1647" customFormat="false" ht="13.8" hidden="false" customHeight="false" outlineLevel="0" collapsed="false">
      <c r="A1647" s="2" t="n">
        <v>41766</v>
      </c>
      <c r="B1647" s="0" t="n">
        <v>1878.21</v>
      </c>
      <c r="C1647" s="0" t="n">
        <v>252.35</v>
      </c>
      <c r="D1647" s="3" t="n">
        <f aca="false">B1647*100/B$2</f>
        <v>129.785925536914</v>
      </c>
      <c r="E1647" s="3" t="n">
        <f aca="false">C1647*100/C$2</f>
        <v>107.246068848279</v>
      </c>
      <c r="F1647" s="0" t="n">
        <v>128.013488487797</v>
      </c>
      <c r="G1647" s="0" t="n">
        <v>109.192334740953</v>
      </c>
      <c r="H1647" s="0" t="n">
        <v>108.406289842754</v>
      </c>
      <c r="I1647" s="0" t="n">
        <v>-0.786044898199108</v>
      </c>
    </row>
    <row r="1648" customFormat="false" ht="13.8" hidden="false" customHeight="false" outlineLevel="0" collapsed="false">
      <c r="A1648" s="2" t="n">
        <v>41767</v>
      </c>
      <c r="B1648" s="0" t="n">
        <v>1875.63</v>
      </c>
      <c r="C1648" s="0" t="n">
        <v>253.84</v>
      </c>
      <c r="D1648" s="3" t="n">
        <f aca="false">B1648*100/B$2</f>
        <v>129.607645319108</v>
      </c>
      <c r="E1648" s="3" t="n">
        <f aca="false">C1648*100/C$2</f>
        <v>107.879303017425</v>
      </c>
      <c r="F1648" s="0" t="n">
        <v>127.770253461953</v>
      </c>
      <c r="G1648" s="0" t="n">
        <v>109.111084460926</v>
      </c>
      <c r="H1648" s="0" t="n">
        <v>109.332766680833</v>
      </c>
      <c r="I1648" s="0" t="n">
        <v>0.221682219907024</v>
      </c>
    </row>
    <row r="1649" customFormat="false" ht="13.8" hidden="false" customHeight="false" outlineLevel="0" collapsed="false">
      <c r="A1649" s="2" t="n">
        <v>41768</v>
      </c>
      <c r="B1649" s="0" t="n">
        <v>1878.48</v>
      </c>
      <c r="C1649" s="0" t="n">
        <v>254.31</v>
      </c>
      <c r="D1649" s="3" t="n">
        <f aca="false">B1649*100/B$2</f>
        <v>129.80458276901</v>
      </c>
      <c r="E1649" s="3" t="n">
        <f aca="false">C1649*100/C$2</f>
        <v>108.079048023799</v>
      </c>
      <c r="F1649" s="0" t="n">
        <v>128.363138837447</v>
      </c>
      <c r="G1649" s="0" t="n">
        <v>109.309132018492</v>
      </c>
      <c r="H1649" s="0" t="n">
        <v>109.409264768381</v>
      </c>
      <c r="I1649" s="0" t="n">
        <v>0.100132749888843</v>
      </c>
    </row>
    <row r="1650" customFormat="false" ht="13.8" hidden="false" customHeight="false" outlineLevel="0" collapsed="false">
      <c r="A1650" s="2" t="n">
        <v>41771</v>
      </c>
      <c r="B1650" s="0" t="n">
        <v>1896.65</v>
      </c>
      <c r="C1650" s="0" t="n">
        <v>255.8</v>
      </c>
      <c r="D1650" s="3" t="n">
        <f aca="false">B1650*100/B$2</f>
        <v>131.060145388209</v>
      </c>
      <c r="E1650" s="3" t="n">
        <f aca="false">C1650*100/C$2</f>
        <v>108.712282192945</v>
      </c>
      <c r="F1650" s="0" t="n">
        <v>129.380303490975</v>
      </c>
      <c r="G1650" s="0" t="n">
        <v>109.648905916787</v>
      </c>
      <c r="H1650" s="0" t="n">
        <v>109.694007649809</v>
      </c>
      <c r="I1650" s="0" t="n">
        <v>0.0451017330217951</v>
      </c>
    </row>
    <row r="1651" customFormat="false" ht="13.8" hidden="false" customHeight="false" outlineLevel="0" collapsed="false">
      <c r="A1651" s="2" t="n">
        <v>41772</v>
      </c>
      <c r="B1651" s="0" t="n">
        <v>1897.45</v>
      </c>
      <c r="C1651" s="0" t="n">
        <v>258.4</v>
      </c>
      <c r="D1651" s="3" t="n">
        <f aca="false">B1651*100/B$2</f>
        <v>131.1154260759</v>
      </c>
      <c r="E1651" s="3" t="n">
        <f aca="false">C1651*100/C$2</f>
        <v>109.817254568636</v>
      </c>
      <c r="F1651" s="0" t="n">
        <v>130.291052820697</v>
      </c>
      <c r="G1651" s="0" t="n">
        <v>109.95313281757</v>
      </c>
      <c r="H1651" s="0" t="n">
        <v>110.050998725032</v>
      </c>
      <c r="I1651" s="0" t="n">
        <v>0.0978659074617525</v>
      </c>
    </row>
    <row r="1652" customFormat="false" ht="13.8" hidden="false" customHeight="false" outlineLevel="0" collapsed="false">
      <c r="A1652" s="2" t="n">
        <v>41773</v>
      </c>
      <c r="B1652" s="0" t="n">
        <v>1888.53</v>
      </c>
      <c r="C1652" s="0" t="n">
        <v>262.43</v>
      </c>
      <c r="D1652" s="3" t="n">
        <f aca="false">B1652*100/B$2</f>
        <v>130.499046408137</v>
      </c>
      <c r="E1652" s="3" t="n">
        <f aca="false">C1652*100/C$2</f>
        <v>111.529961750956</v>
      </c>
      <c r="F1652" s="0" t="n">
        <v>130.662815445424</v>
      </c>
      <c r="G1652" s="0" t="n">
        <v>110.077316484202</v>
      </c>
      <c r="H1652" s="0" t="n">
        <v>110.369740756481</v>
      </c>
      <c r="I1652" s="0" t="n">
        <v>0.292424272278666</v>
      </c>
    </row>
    <row r="1653" customFormat="false" ht="13.8" hidden="false" customHeight="false" outlineLevel="0" collapsed="false">
      <c r="A1653" s="2" t="n">
        <v>41774</v>
      </c>
      <c r="B1653" s="0" t="n">
        <v>1870.85</v>
      </c>
      <c r="C1653" s="0" t="n">
        <v>262.4</v>
      </c>
      <c r="D1653" s="3" t="n">
        <f aca="false">B1653*100/B$2</f>
        <v>129.27734321015</v>
      </c>
      <c r="E1653" s="3" t="n">
        <f aca="false">C1653*100/C$2</f>
        <v>111.517212069698</v>
      </c>
      <c r="F1653" s="0" t="n">
        <v>130.515630614445</v>
      </c>
      <c r="G1653" s="0" t="n">
        <v>110.0281508318</v>
      </c>
      <c r="H1653" s="0" t="n">
        <v>110.216744581385</v>
      </c>
      <c r="I1653" s="0" t="n">
        <v>0.188593749585763</v>
      </c>
    </row>
    <row r="1654" customFormat="false" ht="13.8" hidden="false" customHeight="false" outlineLevel="0" collapsed="false">
      <c r="A1654" s="2" t="n">
        <v>41775</v>
      </c>
      <c r="B1654" s="0" t="n">
        <v>1877.86</v>
      </c>
      <c r="C1654" s="0" t="n">
        <v>262.97</v>
      </c>
      <c r="D1654" s="3" t="n">
        <f aca="false">B1654*100/B$2</f>
        <v>129.761740236049</v>
      </c>
      <c r="E1654" s="3" t="n">
        <f aca="false">C1654*100/C$2</f>
        <v>111.7594560136</v>
      </c>
      <c r="F1654" s="0" t="n">
        <v>128.879322258769</v>
      </c>
      <c r="G1654" s="0" t="n">
        <v>109.48155803889</v>
      </c>
      <c r="H1654" s="0" t="n">
        <v>110.27199320017</v>
      </c>
      <c r="I1654" s="0" t="n">
        <v>0.790435161279717</v>
      </c>
    </row>
    <row r="1655" customFormat="false" ht="13.8" hidden="false" customHeight="false" outlineLevel="0" collapsed="false">
      <c r="A1655" s="2" t="n">
        <v>41778</v>
      </c>
      <c r="B1655" s="0" t="n">
        <v>1885.08</v>
      </c>
      <c r="C1655" s="0" t="n">
        <v>263.42</v>
      </c>
      <c r="D1655" s="3" t="n">
        <f aca="false">B1655*100/B$2</f>
        <v>130.260648442467</v>
      </c>
      <c r="E1655" s="3" t="n">
        <f aca="false">C1655*100/C$2</f>
        <v>111.950701232469</v>
      </c>
      <c r="F1655" s="0" t="n">
        <v>127.493850023494</v>
      </c>
      <c r="G1655" s="0" t="n">
        <v>109.018754597259</v>
      </c>
      <c r="H1655" s="0" t="n">
        <v>110.450488737782</v>
      </c>
      <c r="I1655" s="0" t="n">
        <v>1.43173414052272</v>
      </c>
    </row>
    <row r="1656" customFormat="false" ht="13.8" hidden="false" customHeight="false" outlineLevel="0" collapsed="false">
      <c r="A1656" s="2" t="n">
        <v>41779</v>
      </c>
      <c r="B1656" s="0" t="n">
        <v>1872.83</v>
      </c>
      <c r="C1656" s="0" t="n">
        <v>263.04</v>
      </c>
      <c r="D1656" s="3" t="n">
        <f aca="false">B1656*100/B$2</f>
        <v>129.414162912187</v>
      </c>
      <c r="E1656" s="3" t="n">
        <f aca="false">C1656*100/C$2</f>
        <v>111.789205269868</v>
      </c>
      <c r="F1656" s="0" t="n">
        <v>127.972027972028</v>
      </c>
      <c r="G1656" s="0" t="n">
        <v>109.178485261403</v>
      </c>
      <c r="H1656" s="0" t="n">
        <v>110.696982575436</v>
      </c>
      <c r="I1656" s="0" t="n">
        <v>1.51849731403267</v>
      </c>
    </row>
    <row r="1657" customFormat="false" ht="13.8" hidden="false" customHeight="false" outlineLevel="0" collapsed="false">
      <c r="A1657" s="2" t="n">
        <v>41780</v>
      </c>
      <c r="B1657" s="0" t="n">
        <v>1888.03</v>
      </c>
      <c r="C1657" s="0" t="n">
        <v>262.4</v>
      </c>
      <c r="D1657" s="3" t="n">
        <f aca="false">B1657*100/B$2</f>
        <v>130.46449597833</v>
      </c>
      <c r="E1657" s="3" t="n">
        <f aca="false">C1657*100/C$2</f>
        <v>111.517212069698</v>
      </c>
      <c r="F1657" s="0" t="n">
        <v>129.369247353437</v>
      </c>
      <c r="G1657" s="0" t="n">
        <v>109.64521272224</v>
      </c>
      <c r="H1657" s="0" t="n">
        <v>111.011474713132</v>
      </c>
      <c r="I1657" s="0" t="n">
        <v>1.36626199089187</v>
      </c>
    </row>
    <row r="1658" customFormat="false" ht="13.8" hidden="false" customHeight="false" outlineLevel="0" collapsed="false">
      <c r="A1658" s="2" t="n">
        <v>41781</v>
      </c>
      <c r="B1658" s="0" t="n">
        <v>1892.49</v>
      </c>
      <c r="C1658" s="0" t="n">
        <v>263.33</v>
      </c>
      <c r="D1658" s="3" t="n">
        <f aca="false">B1658*100/B$2</f>
        <v>130.772685812212</v>
      </c>
      <c r="E1658" s="3" t="n">
        <f aca="false">C1658*100/C$2</f>
        <v>111.912452188695</v>
      </c>
      <c r="F1658" s="0" t="n">
        <v>126.667403742503</v>
      </c>
      <c r="G1658" s="0" t="n">
        <v>108.742688304894</v>
      </c>
      <c r="H1658" s="0" t="n">
        <v>111.521461963451</v>
      </c>
      <c r="I1658" s="0" t="n">
        <v>2.77877365855679</v>
      </c>
    </row>
    <row r="1659" customFormat="false" ht="13.8" hidden="false" customHeight="false" outlineLevel="0" collapsed="false">
      <c r="A1659" s="2" t="n">
        <v>41782</v>
      </c>
      <c r="B1659" s="0" t="n">
        <v>1900.53</v>
      </c>
      <c r="C1659" s="0" t="n">
        <v>263.42</v>
      </c>
      <c r="D1659" s="3" t="n">
        <f aca="false">B1659*100/B$2</f>
        <v>131.328256723514</v>
      </c>
      <c r="E1659" s="3" t="n">
        <f aca="false">C1659*100/C$2</f>
        <v>111.950701232469</v>
      </c>
      <c r="F1659" s="0" t="n">
        <v>125.465739793803</v>
      </c>
      <c r="G1659" s="0" t="n">
        <v>108.341284222601</v>
      </c>
      <c r="H1659" s="0" t="n">
        <v>110.722481937952</v>
      </c>
      <c r="I1659" s="0" t="n">
        <v>2.38119771535023</v>
      </c>
    </row>
    <row r="1660" customFormat="false" ht="13.8" hidden="false" customHeight="false" outlineLevel="0" collapsed="false">
      <c r="A1660" s="2" t="n">
        <v>41785</v>
      </c>
      <c r="B1660" s="0" t="n">
        <v>1900.53</v>
      </c>
      <c r="C1660" s="0" t="n">
        <v>262.33</v>
      </c>
      <c r="D1660" s="3" t="n">
        <f aca="false">B1660*100/B$2</f>
        <v>131.328256723514</v>
      </c>
      <c r="E1660" s="3" t="n">
        <f aca="false">C1660*100/C$2</f>
        <v>111.48746281343</v>
      </c>
      <c r="F1660" s="0" t="n">
        <v>126.496724619254</v>
      </c>
      <c r="G1660" s="0" t="n">
        <v>108.68567461408</v>
      </c>
      <c r="H1660" s="0" t="n">
        <v>110.713982150446</v>
      </c>
      <c r="I1660" s="0" t="n">
        <v>2.02830753636655</v>
      </c>
    </row>
    <row r="1661" customFormat="false" ht="13.8" hidden="false" customHeight="false" outlineLevel="0" collapsed="false">
      <c r="A1661" s="2" t="n">
        <v>41786</v>
      </c>
      <c r="B1661" s="0" t="n">
        <v>1911.91</v>
      </c>
      <c r="C1661" s="0" t="n">
        <v>260.36</v>
      </c>
      <c r="D1661" s="3" t="n">
        <f aca="false">B1661*100/B$2</f>
        <v>132.114624505929</v>
      </c>
      <c r="E1661" s="3" t="n">
        <f aca="false">C1661*100/C$2</f>
        <v>110.650233744156</v>
      </c>
      <c r="F1661" s="0" t="n">
        <v>127.351502252688</v>
      </c>
      <c r="G1661" s="0" t="n">
        <v>108.97120471747</v>
      </c>
      <c r="H1661" s="0" t="n">
        <v>110.386740331492</v>
      </c>
      <c r="I1661" s="0" t="n">
        <v>1.41553561402144</v>
      </c>
    </row>
    <row r="1662" customFormat="false" ht="13.8" hidden="false" customHeight="false" outlineLevel="0" collapsed="false">
      <c r="A1662" s="2" t="n">
        <v>41787</v>
      </c>
      <c r="B1662" s="0" t="n">
        <v>1909.78</v>
      </c>
      <c r="C1662" s="0" t="n">
        <v>263.01</v>
      </c>
      <c r="D1662" s="3" t="n">
        <f aca="false">B1662*100/B$2</f>
        <v>131.96743967495</v>
      </c>
      <c r="E1662" s="3" t="n">
        <f aca="false">C1662*100/C$2</f>
        <v>111.77645558861</v>
      </c>
      <c r="F1662" s="0" t="n">
        <v>128.68722186904</v>
      </c>
      <c r="G1662" s="0" t="n">
        <v>109.417388783642</v>
      </c>
      <c r="H1662" s="0" t="n">
        <v>110.424989375266</v>
      </c>
      <c r="I1662" s="0" t="n">
        <v>1.00760059162397</v>
      </c>
    </row>
    <row r="1663" customFormat="false" ht="13.8" hidden="false" customHeight="false" outlineLevel="0" collapsed="false">
      <c r="A1663" s="2" t="n">
        <v>41788</v>
      </c>
      <c r="B1663" s="0" t="n">
        <v>1920.03</v>
      </c>
      <c r="C1663" s="0" t="n">
        <v>262.57</v>
      </c>
      <c r="D1663" s="3" t="n">
        <f aca="false">B1663*100/B$2</f>
        <v>132.675723486</v>
      </c>
      <c r="E1663" s="3" t="n">
        <f aca="false">C1663*100/C$2</f>
        <v>111.589460263493</v>
      </c>
      <c r="F1663" s="0" t="n">
        <v>128.862738052461</v>
      </c>
      <c r="G1663" s="0" t="n">
        <v>109.47601824707</v>
      </c>
      <c r="H1663" s="0" t="n">
        <v>110.35274118147</v>
      </c>
      <c r="I1663" s="0" t="n">
        <v>0.876722934400206</v>
      </c>
    </row>
    <row r="1664" customFormat="false" ht="13.8" hidden="false" customHeight="false" outlineLevel="0" collapsed="false">
      <c r="A1664" s="2" t="n">
        <v>41789</v>
      </c>
      <c r="B1664" s="0" t="n">
        <v>1923.57</v>
      </c>
      <c r="C1664" s="0" t="n">
        <v>259.94</v>
      </c>
      <c r="D1664" s="3" t="n">
        <f aca="false">B1664*100/B$2</f>
        <v>132.920340529036</v>
      </c>
      <c r="E1664" s="3" t="n">
        <f aca="false">C1664*100/C$2</f>
        <v>110.471738206545</v>
      </c>
      <c r="F1664" s="0" t="n">
        <v>128.862738052461</v>
      </c>
      <c r="G1664" s="0" t="n">
        <v>109.47601824707</v>
      </c>
      <c r="H1664" s="0" t="n">
        <v>111.143221419465</v>
      </c>
      <c r="I1664" s="0" t="n">
        <v>1.66720317239424</v>
      </c>
    </row>
    <row r="1665" customFormat="false" ht="13.8" hidden="false" customHeight="false" outlineLevel="0" collapsed="false">
      <c r="A1665" s="2" t="n">
        <v>41792</v>
      </c>
      <c r="B1665" s="0" t="n">
        <v>1924.97</v>
      </c>
      <c r="C1665" s="0" t="n">
        <v>261.4</v>
      </c>
      <c r="D1665" s="3" t="n">
        <f aca="false">B1665*100/B$2</f>
        <v>133.017081732497</v>
      </c>
      <c r="E1665" s="3" t="n">
        <f aca="false">C1665*100/C$2</f>
        <v>111.092222694433</v>
      </c>
      <c r="F1665" s="0" t="n">
        <v>129.349208104149</v>
      </c>
      <c r="G1665" s="0" t="n">
        <v>109.638518807124</v>
      </c>
      <c r="H1665" s="0" t="n">
        <v>110.8797280068</v>
      </c>
      <c r="I1665" s="0" t="n">
        <v>1.24120919967541</v>
      </c>
    </row>
    <row r="1666" customFormat="false" ht="13.8" hidden="false" customHeight="false" outlineLevel="0" collapsed="false">
      <c r="A1666" s="2" t="n">
        <v>41793</v>
      </c>
      <c r="B1666" s="0" t="n">
        <v>1924.24</v>
      </c>
      <c r="C1666" s="0" t="n">
        <v>262.22</v>
      </c>
      <c r="D1666" s="3" t="n">
        <f aca="false">B1666*100/B$2</f>
        <v>132.966638104978</v>
      </c>
      <c r="E1666" s="3" t="n">
        <f aca="false">C1666*100/C$2</f>
        <v>111.44071398215</v>
      </c>
      <c r="F1666" s="0" t="n">
        <v>129.878520688797</v>
      </c>
      <c r="G1666" s="0" t="n">
        <v>109.815330496047</v>
      </c>
      <c r="H1666" s="0" t="n">
        <v>111.155971100722</v>
      </c>
      <c r="I1666" s="0" t="n">
        <v>1.34064060467553</v>
      </c>
    </row>
    <row r="1667" customFormat="false" ht="13.8" hidden="false" customHeight="false" outlineLevel="0" collapsed="false">
      <c r="A1667" s="2" t="n">
        <v>41794</v>
      </c>
      <c r="B1667" s="0" t="n">
        <v>1927.88</v>
      </c>
      <c r="C1667" s="0" t="n">
        <v>262.22</v>
      </c>
      <c r="D1667" s="3" t="n">
        <f aca="false">B1667*100/B$2</f>
        <v>133.218165233976</v>
      </c>
      <c r="E1667" s="3" t="n">
        <f aca="false">C1667*100/C$2</f>
        <v>111.44071398215</v>
      </c>
      <c r="F1667" s="0" t="n">
        <v>129.5910611128</v>
      </c>
      <c r="G1667" s="0" t="n">
        <v>109.719307437833</v>
      </c>
      <c r="H1667" s="0" t="n">
        <v>111.00722481938</v>
      </c>
      <c r="I1667" s="0" t="n">
        <v>1.28791738154636</v>
      </c>
    </row>
    <row r="1668" customFormat="false" ht="13.8" hidden="false" customHeight="false" outlineLevel="0" collapsed="false">
      <c r="A1668" s="2" t="n">
        <v>41795</v>
      </c>
      <c r="B1668" s="0" t="n">
        <v>1940.46</v>
      </c>
      <c r="C1668" s="0" t="n">
        <v>260.56</v>
      </c>
      <c r="D1668" s="3" t="n">
        <f aca="false">B1668*100/B$2</f>
        <v>134.087454047928</v>
      </c>
      <c r="E1668" s="3" t="n">
        <f aca="false">C1668*100/C$2</f>
        <v>110.73523161921</v>
      </c>
      <c r="F1668" s="0" t="n">
        <v>129.81356588076</v>
      </c>
      <c r="G1668" s="0" t="n">
        <v>109.793632978085</v>
      </c>
      <c r="H1668" s="0" t="n">
        <v>110.956226094348</v>
      </c>
      <c r="I1668" s="0" t="n">
        <v>1.16259311626247</v>
      </c>
    </row>
    <row r="1669" customFormat="false" ht="13.8" hidden="false" customHeight="false" outlineLevel="0" collapsed="false">
      <c r="A1669" s="2" t="n">
        <v>41796</v>
      </c>
      <c r="B1669" s="0" t="n">
        <v>1949.44</v>
      </c>
      <c r="C1669" s="0" t="n">
        <v>260.56</v>
      </c>
      <c r="D1669" s="3" t="n">
        <f aca="false">B1669*100/B$2</f>
        <v>134.707979767268</v>
      </c>
      <c r="E1669" s="3" t="n">
        <f aca="false">C1669*100/C$2</f>
        <v>110.73523161921</v>
      </c>
      <c r="F1669" s="0" t="n">
        <v>128.76254180602</v>
      </c>
      <c r="G1669" s="0" t="n">
        <v>109.442548671491</v>
      </c>
      <c r="H1669" s="0" t="n">
        <v>109.400764980875</v>
      </c>
      <c r="I1669" s="0" t="n">
        <v>-0.0417836906154605</v>
      </c>
    </row>
    <row r="1670" customFormat="false" ht="13.8" hidden="false" customHeight="false" outlineLevel="0" collapsed="false">
      <c r="A1670" s="2" t="n">
        <v>41799</v>
      </c>
      <c r="B1670" s="0" t="n">
        <v>1951.27</v>
      </c>
      <c r="C1670" s="0" t="n">
        <v>259.68</v>
      </c>
      <c r="D1670" s="3" t="n">
        <f aca="false">B1670*100/B$2</f>
        <v>134.834434340363</v>
      </c>
      <c r="E1670" s="3" t="n">
        <f aca="false">C1670*100/C$2</f>
        <v>110.361240968976</v>
      </c>
      <c r="F1670" s="0" t="n">
        <v>129.179219989497</v>
      </c>
      <c r="G1670" s="0" t="n">
        <v>109.581735940969</v>
      </c>
      <c r="H1670" s="0" t="n">
        <v>109.137271568211</v>
      </c>
      <c r="I1670" s="0" t="n">
        <v>-0.444464372758333</v>
      </c>
    </row>
    <row r="1671" customFormat="false" ht="13.8" hidden="false" customHeight="false" outlineLevel="0" collapsed="false">
      <c r="A1671" s="2" t="n">
        <v>41800</v>
      </c>
      <c r="B1671" s="0" t="n">
        <v>1950.79</v>
      </c>
      <c r="C1671" s="0" t="n">
        <v>262.64</v>
      </c>
      <c r="D1671" s="3" t="n">
        <f aca="false">B1671*100/B$2</f>
        <v>134.801265927748</v>
      </c>
      <c r="E1671" s="3" t="n">
        <f aca="false">C1671*100/C$2</f>
        <v>111.619209519762</v>
      </c>
      <c r="F1671" s="0" t="n">
        <v>129.794217640067</v>
      </c>
      <c r="G1671" s="0" t="n">
        <v>109.787169887628</v>
      </c>
      <c r="H1671" s="0" t="n">
        <v>108.712282192945</v>
      </c>
      <c r="I1671" s="0" t="n">
        <v>-1.07488769468331</v>
      </c>
    </row>
    <row r="1672" customFormat="false" ht="13.8" hidden="false" customHeight="false" outlineLevel="0" collapsed="false">
      <c r="A1672" s="2" t="n">
        <v>41801</v>
      </c>
      <c r="B1672" s="0" t="n">
        <v>1943.89</v>
      </c>
      <c r="C1672" s="0" t="n">
        <v>262.62</v>
      </c>
      <c r="D1672" s="3" t="n">
        <f aca="false">B1672*100/B$2</f>
        <v>134.324469996407</v>
      </c>
      <c r="E1672" s="3" t="n">
        <f aca="false">C1672*100/C$2</f>
        <v>111.610709732257</v>
      </c>
      <c r="F1672" s="0" t="n">
        <v>130.182564471102</v>
      </c>
      <c r="G1672" s="0" t="n">
        <v>109.916893346081</v>
      </c>
      <c r="H1672" s="0" t="n">
        <v>108.51253718657</v>
      </c>
      <c r="I1672" s="0" t="n">
        <v>-1.40435615951047</v>
      </c>
    </row>
    <row r="1673" customFormat="false" ht="13.8" hidden="false" customHeight="false" outlineLevel="0" collapsed="false">
      <c r="A1673" s="2" t="n">
        <v>41802</v>
      </c>
      <c r="B1673" s="0" t="n">
        <v>1930.11</v>
      </c>
      <c r="C1673" s="0" t="n">
        <v>262.01</v>
      </c>
      <c r="D1673" s="3" t="n">
        <f aca="false">B1673*100/B$2</f>
        <v>133.372260150916</v>
      </c>
      <c r="E1673" s="3" t="n">
        <f aca="false">C1673*100/C$2</f>
        <v>111.351466213345</v>
      </c>
      <c r="F1673" s="0" t="n">
        <v>130.163907239006</v>
      </c>
      <c r="G1673" s="0" t="n">
        <v>109.910661080283</v>
      </c>
      <c r="H1673" s="0" t="n">
        <v>108.51253718657</v>
      </c>
      <c r="I1673" s="0" t="n">
        <v>-1.39812389371293</v>
      </c>
    </row>
    <row r="1674" customFormat="false" ht="13.8" hidden="false" customHeight="false" outlineLevel="0" collapsed="false">
      <c r="A1674" s="2" t="n">
        <v>41803</v>
      </c>
      <c r="B1674" s="0" t="n">
        <v>1936.16</v>
      </c>
      <c r="C1674" s="0" t="n">
        <v>258.75</v>
      </c>
      <c r="D1674" s="3" t="n">
        <f aca="false">B1674*100/B$2</f>
        <v>133.790320351585</v>
      </c>
      <c r="E1674" s="3" t="n">
        <f aca="false">C1674*100/C$2</f>
        <v>109.966000849979</v>
      </c>
      <c r="F1674" s="0" t="n">
        <v>129.988391055585</v>
      </c>
      <c r="G1674" s="0" t="n">
        <v>109.852031616855</v>
      </c>
      <c r="H1674" s="0" t="n">
        <v>108.402039949001</v>
      </c>
      <c r="I1674" s="0" t="n">
        <v>-1.44999166785337</v>
      </c>
    </row>
    <row r="1675" customFormat="false" ht="13.8" hidden="false" customHeight="false" outlineLevel="0" collapsed="false">
      <c r="A1675" s="2" t="n">
        <v>41806</v>
      </c>
      <c r="B1675" s="0" t="n">
        <v>1937.78</v>
      </c>
      <c r="C1675" s="0" t="n">
        <v>259.43</v>
      </c>
      <c r="D1675" s="3" t="n">
        <f aca="false">B1675*100/B$2</f>
        <v>133.902263744161</v>
      </c>
      <c r="E1675" s="3" t="n">
        <f aca="false">C1675*100/C$2</f>
        <v>110.254993625159</v>
      </c>
      <c r="F1675" s="0" t="n">
        <v>130.231626081428</v>
      </c>
      <c r="G1675" s="0" t="n">
        <v>109.933281896882</v>
      </c>
      <c r="H1675" s="0" t="n">
        <v>108.402039949001</v>
      </c>
      <c r="I1675" s="0" t="n">
        <v>-1.53124194788045</v>
      </c>
    </row>
    <row r="1676" customFormat="false" ht="13.8" hidden="false" customHeight="false" outlineLevel="0" collapsed="false">
      <c r="A1676" s="2" t="n">
        <v>41807</v>
      </c>
      <c r="B1676" s="0" t="n">
        <v>1941.99</v>
      </c>
      <c r="C1676" s="0" t="n">
        <v>260.43</v>
      </c>
      <c r="D1676" s="3" t="n">
        <f aca="false">B1676*100/B$2</f>
        <v>134.193178363139</v>
      </c>
      <c r="E1676" s="3" t="n">
        <f aca="false">C1676*100/C$2</f>
        <v>110.679983000425</v>
      </c>
      <c r="F1676" s="0" t="n">
        <v>129.061057519556</v>
      </c>
      <c r="G1676" s="0" t="n">
        <v>109.542264924251</v>
      </c>
      <c r="H1676" s="0" t="n">
        <v>108.402039949001</v>
      </c>
      <c r="I1676" s="0" t="n">
        <v>-1.14022497525016</v>
      </c>
    </row>
    <row r="1677" customFormat="false" ht="13.8" hidden="false" customHeight="false" outlineLevel="0" collapsed="false">
      <c r="A1677" s="2" t="n">
        <v>41808</v>
      </c>
      <c r="B1677" s="0" t="n">
        <v>1956.98</v>
      </c>
      <c r="C1677" s="0" t="n">
        <v>258.7</v>
      </c>
      <c r="D1677" s="3" t="n">
        <f aca="false">B1677*100/B$2</f>
        <v>135.229000248763</v>
      </c>
      <c r="E1677" s="3" t="n">
        <f aca="false">C1677*100/C$2</f>
        <v>109.944751381215</v>
      </c>
      <c r="F1677" s="0" t="n">
        <v>129.785925536914</v>
      </c>
      <c r="G1677" s="0" t="n">
        <v>109.784399991718</v>
      </c>
      <c r="H1677" s="0" t="n">
        <v>107.246068848279</v>
      </c>
      <c r="I1677" s="0" t="n">
        <v>-2.53833114343968</v>
      </c>
    </row>
    <row r="1678" customFormat="false" ht="13.8" hidden="false" customHeight="false" outlineLevel="0" collapsed="false">
      <c r="A1678" s="2" t="n">
        <v>41809</v>
      </c>
      <c r="B1678" s="0" t="n">
        <v>1959.48</v>
      </c>
      <c r="C1678" s="0" t="n">
        <v>258.83</v>
      </c>
      <c r="D1678" s="3" t="n">
        <f aca="false">B1678*100/B$2</f>
        <v>135.4017523978</v>
      </c>
      <c r="E1678" s="3" t="n">
        <f aca="false">C1678*100/C$2</f>
        <v>110</v>
      </c>
      <c r="F1678" s="0" t="n">
        <v>129.607645319108</v>
      </c>
      <c r="G1678" s="0" t="n">
        <v>109.724847229653</v>
      </c>
      <c r="H1678" s="0" t="n">
        <v>107.879303017425</v>
      </c>
      <c r="I1678" s="0" t="n">
        <v>-1.8455442122286</v>
      </c>
    </row>
    <row r="1679" customFormat="false" ht="13.8" hidden="false" customHeight="false" outlineLevel="0" collapsed="false">
      <c r="A1679" s="2" t="n">
        <v>41810</v>
      </c>
      <c r="B1679" s="0" t="n">
        <v>1962.87</v>
      </c>
      <c r="C1679" s="0" t="n">
        <v>255.31</v>
      </c>
      <c r="D1679" s="3" t="n">
        <f aca="false">B1679*100/B$2</f>
        <v>135.636004311894</v>
      </c>
      <c r="E1679" s="3" t="n">
        <f aca="false">C1679*100/C$2</f>
        <v>108.504037399065</v>
      </c>
      <c r="F1679" s="0" t="n">
        <v>129.80458276901</v>
      </c>
      <c r="G1679" s="0" t="n">
        <v>109.790632257516</v>
      </c>
      <c r="H1679" s="0" t="n">
        <v>108.079048023799</v>
      </c>
      <c r="I1679" s="0" t="n">
        <v>-1.71158423371659</v>
      </c>
    </row>
    <row r="1680" customFormat="false" ht="13.8" hidden="false" customHeight="false" outlineLevel="0" collapsed="false">
      <c r="A1680" s="2" t="n">
        <v>41813</v>
      </c>
      <c r="B1680" s="0" t="n">
        <v>1962.61</v>
      </c>
      <c r="C1680" s="0" t="n">
        <v>256.77</v>
      </c>
      <c r="D1680" s="3" t="n">
        <f aca="false">B1680*100/B$2</f>
        <v>135.618038088394</v>
      </c>
      <c r="E1680" s="3" t="n">
        <f aca="false">C1680*100/C$2</f>
        <v>109.124521886953</v>
      </c>
      <c r="F1680" s="0" t="n">
        <v>131.060145388209</v>
      </c>
      <c r="G1680" s="0" t="n">
        <v>110.210040663224</v>
      </c>
      <c r="H1680" s="0" t="n">
        <v>108.712282192945</v>
      </c>
      <c r="I1680" s="0" t="n">
        <v>-1.49775847027874</v>
      </c>
    </row>
    <row r="1681" customFormat="false" ht="13.8" hidden="false" customHeight="false" outlineLevel="0" collapsed="false">
      <c r="A1681" s="2" t="n">
        <v>41814</v>
      </c>
      <c r="B1681" s="0" t="n">
        <v>1949.98</v>
      </c>
      <c r="C1681" s="0" t="n">
        <v>259.75</v>
      </c>
      <c r="D1681" s="3" t="n">
        <f aca="false">B1681*100/B$2</f>
        <v>134.74529423146</v>
      </c>
      <c r="E1681" s="3" t="n">
        <f aca="false">C1681*100/C$2</f>
        <v>110.390990225244</v>
      </c>
      <c r="F1681" s="0" t="n">
        <v>131.1154260759</v>
      </c>
      <c r="G1681" s="0" t="n">
        <v>110.228506635957</v>
      </c>
      <c r="H1681" s="0" t="n">
        <v>109.817254568636</v>
      </c>
      <c r="I1681" s="0" t="n">
        <v>-0.41125206732157</v>
      </c>
    </row>
    <row r="1682" customFormat="false" ht="13.8" hidden="false" customHeight="false" outlineLevel="0" collapsed="false">
      <c r="A1682" s="2" t="n">
        <v>41815</v>
      </c>
      <c r="B1682" s="0" t="n">
        <v>1959.53</v>
      </c>
      <c r="C1682" s="0" t="n">
        <v>258.16</v>
      </c>
      <c r="D1682" s="3" t="n">
        <f aca="false">B1682*100/B$2</f>
        <v>135.405207440781</v>
      </c>
      <c r="E1682" s="3" t="n">
        <f aca="false">C1682*100/C$2</f>
        <v>109.715257118572</v>
      </c>
      <c r="F1682" s="0" t="n">
        <v>130.499046408137</v>
      </c>
      <c r="G1682" s="0" t="n">
        <v>110.02261103998</v>
      </c>
      <c r="H1682" s="0" t="n">
        <v>111.529961750956</v>
      </c>
      <c r="I1682" s="0" t="n">
        <v>1.50735071097658</v>
      </c>
    </row>
    <row r="1683" customFormat="false" ht="13.8" hidden="false" customHeight="false" outlineLevel="0" collapsed="false">
      <c r="A1683" s="2" t="n">
        <v>41816</v>
      </c>
      <c r="B1683" s="0" t="n">
        <v>1957.22</v>
      </c>
      <c r="C1683" s="0" t="n">
        <v>260.03</v>
      </c>
      <c r="D1683" s="3" t="n">
        <f aca="false">B1683*100/B$2</f>
        <v>135.245584455071</v>
      </c>
      <c r="E1683" s="3" t="n">
        <f aca="false">C1683*100/C$2</f>
        <v>110.509987250319</v>
      </c>
      <c r="F1683" s="0" t="n">
        <v>129.27734321015</v>
      </c>
      <c r="G1683" s="0" t="n">
        <v>109.614513042571</v>
      </c>
      <c r="H1683" s="0" t="n">
        <v>111.517212069698</v>
      </c>
      <c r="I1683" s="0" t="n">
        <v>1.90269902712727</v>
      </c>
    </row>
    <row r="1684" customFormat="false" ht="13.8" hidden="false" customHeight="false" outlineLevel="0" collapsed="false">
      <c r="A1684" s="2" t="n">
        <v>41817</v>
      </c>
      <c r="B1684" s="0" t="n">
        <v>1960.96</v>
      </c>
      <c r="C1684" s="0" t="n">
        <v>258.78</v>
      </c>
      <c r="D1684" s="3" t="n">
        <f aca="false">B1684*100/B$2</f>
        <v>135.50402167003</v>
      </c>
      <c r="E1684" s="3" t="n">
        <f aca="false">C1684*100/C$2</f>
        <v>109.978750531237</v>
      </c>
      <c r="F1684" s="0" t="n">
        <v>129.761740236049</v>
      </c>
      <c r="G1684" s="0" t="n">
        <v>109.776321128648</v>
      </c>
      <c r="H1684" s="0" t="n">
        <v>111.7594560136</v>
      </c>
      <c r="I1684" s="0" t="n">
        <v>1.98313488495208</v>
      </c>
    </row>
    <row r="1685" customFormat="false" ht="13.8" hidden="false" customHeight="false" outlineLevel="0" collapsed="false">
      <c r="A1685" s="2" t="n">
        <v>41820</v>
      </c>
      <c r="B1685" s="0" t="n">
        <v>1960.23</v>
      </c>
      <c r="C1685" s="0" t="n">
        <v>260.56</v>
      </c>
      <c r="D1685" s="3" t="n">
        <f aca="false">B1685*100/B$2</f>
        <v>135.453578042511</v>
      </c>
      <c r="E1685" s="3" t="n">
        <f aca="false">C1685*100/C$2</f>
        <v>110.73523161921</v>
      </c>
      <c r="F1685" s="0" t="n">
        <v>130.260648442467</v>
      </c>
      <c r="G1685" s="0" t="n">
        <v>109.942976532567</v>
      </c>
      <c r="H1685" s="0" t="n">
        <v>111.950701232469</v>
      </c>
      <c r="I1685" s="0" t="n">
        <v>2.00772469990244</v>
      </c>
    </row>
    <row r="1686" customFormat="false" ht="13.8" hidden="false" customHeight="false" outlineLevel="0" collapsed="false">
      <c r="A1686" s="2" t="n">
        <v>41821</v>
      </c>
      <c r="B1686" s="0" t="n">
        <v>1973.32</v>
      </c>
      <c r="C1686" s="0" t="n">
        <v>259.74</v>
      </c>
      <c r="D1686" s="3" t="n">
        <f aca="false">B1686*100/B$2</f>
        <v>136.358108294867</v>
      </c>
      <c r="E1686" s="3" t="n">
        <f aca="false">C1686*100/C$2</f>
        <v>110.386740331492</v>
      </c>
      <c r="F1686" s="0" t="n">
        <v>129.414162912187</v>
      </c>
      <c r="G1686" s="0" t="n">
        <v>109.660216325086</v>
      </c>
      <c r="H1686" s="0" t="n">
        <v>111.789205269868</v>
      </c>
      <c r="I1686" s="0" t="n">
        <v>2.12898894478209</v>
      </c>
    </row>
    <row r="1687" customFormat="false" ht="13.8" hidden="false" customHeight="false" outlineLevel="0" collapsed="false">
      <c r="A1687" s="2" t="n">
        <v>41822</v>
      </c>
      <c r="B1687" s="0" t="n">
        <v>1974.62</v>
      </c>
      <c r="C1687" s="0" t="n">
        <v>262.04</v>
      </c>
      <c r="D1687" s="3" t="n">
        <f aca="false">B1687*100/B$2</f>
        <v>136.447939412366</v>
      </c>
      <c r="E1687" s="3" t="n">
        <f aca="false">C1687*100/C$2</f>
        <v>111.364215894603</v>
      </c>
      <c r="F1687" s="0" t="n">
        <v>130.46449597833</v>
      </c>
      <c r="G1687" s="0" t="n">
        <v>110.011069807021</v>
      </c>
      <c r="H1687" s="0" t="n">
        <v>111.517212069698</v>
      </c>
      <c r="I1687" s="0" t="n">
        <v>1.50614226267699</v>
      </c>
    </row>
    <row r="1688" customFormat="false" ht="13.8" hidden="false" customHeight="false" outlineLevel="0" collapsed="false">
      <c r="A1688" s="2" t="n">
        <v>41823</v>
      </c>
      <c r="B1688" s="0" t="n">
        <v>1985.44</v>
      </c>
      <c r="C1688" s="0" t="n">
        <v>261.13</v>
      </c>
      <c r="D1688" s="3" t="n">
        <f aca="false">B1688*100/B$2</f>
        <v>137.195610713397</v>
      </c>
      <c r="E1688" s="3" t="n">
        <f aca="false">C1688*100/C$2</f>
        <v>110.977475563111</v>
      </c>
      <c r="F1688" s="0" t="n">
        <v>130.772685812212</v>
      </c>
      <c r="G1688" s="0" t="n">
        <v>110.11401760501</v>
      </c>
      <c r="H1688" s="0" t="n">
        <v>111.912452188695</v>
      </c>
      <c r="I1688" s="0" t="n">
        <v>1.79843458368518</v>
      </c>
    </row>
    <row r="1689" customFormat="false" ht="13.8" hidden="false" customHeight="false" outlineLevel="0" collapsed="false">
      <c r="A1689" s="2" t="n">
        <v>41824</v>
      </c>
      <c r="B1689" s="0" t="n">
        <v>1985.44</v>
      </c>
      <c r="C1689" s="0" t="n">
        <v>260.63</v>
      </c>
      <c r="D1689" s="3" t="n">
        <f aca="false">B1689*100/B$2</f>
        <v>137.195610713397</v>
      </c>
      <c r="E1689" s="3" t="n">
        <f aca="false">C1689*100/C$2</f>
        <v>110.764980875478</v>
      </c>
      <c r="F1689" s="0" t="n">
        <v>131.328256723514</v>
      </c>
      <c r="G1689" s="0" t="n">
        <v>110.299600630981</v>
      </c>
      <c r="H1689" s="0" t="n">
        <v>111.950701232469</v>
      </c>
      <c r="I1689" s="0" t="n">
        <v>1.65110060148817</v>
      </c>
    </row>
    <row r="1690" customFormat="false" ht="13.8" hidden="false" customHeight="false" outlineLevel="0" collapsed="false">
      <c r="A1690" s="2" t="n">
        <v>41827</v>
      </c>
      <c r="B1690" s="0" t="n">
        <v>1977.65</v>
      </c>
      <c r="C1690" s="0" t="n">
        <v>259.95</v>
      </c>
      <c r="D1690" s="3" t="n">
        <f aca="false">B1690*100/B$2</f>
        <v>136.657315016999</v>
      </c>
      <c r="E1690" s="3" t="n">
        <f aca="false">C1690*100/C$2</f>
        <v>110.475988100297</v>
      </c>
      <c r="F1690" s="0" t="n">
        <v>131.328256723514</v>
      </c>
      <c r="G1690" s="0" t="n">
        <v>110.299600630981</v>
      </c>
      <c r="H1690" s="0" t="n">
        <v>111.48746281343</v>
      </c>
      <c r="I1690" s="0" t="n">
        <v>1.18786218244864</v>
      </c>
    </row>
    <row r="1691" customFormat="false" ht="13.8" hidden="false" customHeight="false" outlineLevel="0" collapsed="false">
      <c r="A1691" s="2" t="n">
        <v>41828</v>
      </c>
      <c r="B1691" s="0" t="n">
        <v>1963.71</v>
      </c>
      <c r="C1691" s="0" t="n">
        <v>259.93</v>
      </c>
      <c r="D1691" s="3" t="n">
        <f aca="false">B1691*100/B$2</f>
        <v>135.69404903397</v>
      </c>
      <c r="E1691" s="3" t="n">
        <f aca="false">C1691*100/C$2</f>
        <v>110.467488312792</v>
      </c>
      <c r="F1691" s="0" t="n">
        <v>132.114624505929</v>
      </c>
      <c r="G1691" s="0" t="n">
        <v>110.562279093114</v>
      </c>
      <c r="H1691" s="0" t="n">
        <v>110.650233744156</v>
      </c>
      <c r="I1691" s="0" t="n">
        <v>0.087954651042395</v>
      </c>
    </row>
    <row r="1692" customFormat="false" ht="13.8" hidden="false" customHeight="false" outlineLevel="0" collapsed="false">
      <c r="A1692" s="2" t="n">
        <v>41829</v>
      </c>
      <c r="B1692" s="0" t="n">
        <v>1972.83</v>
      </c>
      <c r="C1692" s="0" t="n">
        <v>258.87</v>
      </c>
      <c r="D1692" s="3" t="n">
        <f aca="false">B1692*100/B$2</f>
        <v>136.324248873656</v>
      </c>
      <c r="E1692" s="3" t="n">
        <f aca="false">C1692*100/C$2</f>
        <v>110.016999575011</v>
      </c>
      <c r="F1692" s="0" t="n">
        <v>131.96743967495</v>
      </c>
      <c r="G1692" s="0" t="n">
        <v>110.513113440711</v>
      </c>
      <c r="H1692" s="0" t="n">
        <v>111.77645558861</v>
      </c>
      <c r="I1692" s="0" t="n">
        <v>1.26334214789902</v>
      </c>
    </row>
    <row r="1693" customFormat="false" ht="13.8" hidden="false" customHeight="false" outlineLevel="0" collapsed="false">
      <c r="A1693" s="2" t="n">
        <v>41830</v>
      </c>
      <c r="B1693" s="0" t="n">
        <v>1964.68</v>
      </c>
      <c r="C1693" s="0" t="n">
        <v>259.17</v>
      </c>
      <c r="D1693" s="3" t="n">
        <f aca="false">B1693*100/B$2</f>
        <v>135.761076867796</v>
      </c>
      <c r="E1693" s="3" t="n">
        <f aca="false">C1693*100/C$2</f>
        <v>110.14449638759</v>
      </c>
      <c r="F1693" s="0" t="n">
        <v>132.675723486</v>
      </c>
      <c r="G1693" s="0" t="n">
        <v>110.749708716358</v>
      </c>
      <c r="H1693" s="0" t="n">
        <v>111.589460263493</v>
      </c>
      <c r="I1693" s="0" t="n">
        <v>0.839751547135165</v>
      </c>
    </row>
    <row r="1694" customFormat="false" ht="13.8" hidden="false" customHeight="false" outlineLevel="0" collapsed="false">
      <c r="A1694" s="2" t="n">
        <v>41831</v>
      </c>
      <c r="B1694" s="0" t="n">
        <v>1967.57</v>
      </c>
      <c r="C1694" s="0" t="n">
        <v>256.72</v>
      </c>
      <c r="D1694" s="3" t="n">
        <f aca="false">B1694*100/B$2</f>
        <v>135.960778352083</v>
      </c>
      <c r="E1694" s="3" t="n">
        <f aca="false">C1694*100/C$2</f>
        <v>109.10327241819</v>
      </c>
      <c r="F1694" s="0" t="n">
        <v>132.920340529036</v>
      </c>
      <c r="G1694" s="0" t="n">
        <v>110.831420645704</v>
      </c>
      <c r="H1694" s="0" t="n">
        <v>110.471738206545</v>
      </c>
      <c r="I1694" s="0" t="n">
        <v>-0.359682439158831</v>
      </c>
    </row>
    <row r="1695" customFormat="false" ht="13.8" hidden="false" customHeight="false" outlineLevel="0" collapsed="false">
      <c r="A1695" s="2" t="n">
        <v>41834</v>
      </c>
      <c r="B1695" s="0" t="n">
        <v>1977.1</v>
      </c>
      <c r="C1695" s="0" t="n">
        <v>257.27</v>
      </c>
      <c r="D1695" s="3" t="n">
        <f aca="false">B1695*100/B$2</f>
        <v>136.619309544211</v>
      </c>
      <c r="E1695" s="3" t="n">
        <f aca="false">C1695*100/C$2</f>
        <v>109.337016574586</v>
      </c>
      <c r="F1695" s="0" t="n">
        <v>133.017081732497</v>
      </c>
      <c r="G1695" s="0" t="n">
        <v>110.863736097987</v>
      </c>
      <c r="H1695" s="0" t="n">
        <v>111.092222694433</v>
      </c>
      <c r="I1695" s="0" t="n">
        <v>0.228486596445464</v>
      </c>
    </row>
    <row r="1696" customFormat="false" ht="13.8" hidden="false" customHeight="false" outlineLevel="0" collapsed="false">
      <c r="A1696" s="2" t="n">
        <v>41835</v>
      </c>
      <c r="B1696" s="0" t="n">
        <v>1973.28</v>
      </c>
      <c r="C1696" s="0" t="n">
        <v>260.4</v>
      </c>
      <c r="D1696" s="3" t="n">
        <f aca="false">B1696*100/B$2</f>
        <v>136.355344260483</v>
      </c>
      <c r="E1696" s="3" t="n">
        <f aca="false">C1696*100/C$2</f>
        <v>110.667233319167</v>
      </c>
      <c r="F1696" s="0" t="n">
        <v>132.966638104978</v>
      </c>
      <c r="G1696" s="0" t="n">
        <v>110.846885897868</v>
      </c>
      <c r="H1696" s="0" t="n">
        <v>111.44071398215</v>
      </c>
      <c r="I1696" s="0" t="n">
        <v>0.593828084282549</v>
      </c>
    </row>
    <row r="1697" customFormat="false" ht="13.8" hidden="false" customHeight="false" outlineLevel="0" collapsed="false">
      <c r="A1697" s="2" t="n">
        <v>41836</v>
      </c>
      <c r="B1697" s="0" t="n">
        <v>1981.57</v>
      </c>
      <c r="C1697" s="0" t="n">
        <v>260.82</v>
      </c>
      <c r="D1697" s="3" t="n">
        <f aca="false">B1697*100/B$2</f>
        <v>136.928190386688</v>
      </c>
      <c r="E1697" s="3" t="n">
        <f aca="false">C1697*100/C$2</f>
        <v>110.845728856779</v>
      </c>
      <c r="F1697" s="0" t="n">
        <v>133.218165233976</v>
      </c>
      <c r="G1697" s="0" t="n">
        <v>110.930906073805</v>
      </c>
      <c r="H1697" s="0" t="n">
        <v>111.44071398215</v>
      </c>
      <c r="I1697" s="0" t="n">
        <v>0.509807908345479</v>
      </c>
    </row>
    <row r="1698" customFormat="false" ht="13.8" hidden="false" customHeight="false" outlineLevel="0" collapsed="false">
      <c r="A1698" s="2" t="n">
        <v>41837</v>
      </c>
      <c r="B1698" s="0" t="n">
        <v>1958.12</v>
      </c>
      <c r="C1698" s="0" t="n">
        <v>261.93</v>
      </c>
      <c r="D1698" s="3" t="n">
        <f aca="false">B1698*100/B$2</f>
        <v>135.307775228724</v>
      </c>
      <c r="E1698" s="3" t="n">
        <f aca="false">C1698*100/C$2</f>
        <v>111.317467063323</v>
      </c>
      <c r="F1698" s="0" t="n">
        <v>134.087454047928</v>
      </c>
      <c r="G1698" s="0" t="n">
        <v>111.221283495038</v>
      </c>
      <c r="H1698" s="0" t="n">
        <v>110.73523161921</v>
      </c>
      <c r="I1698" s="0" t="n">
        <v>-0.486051875828593</v>
      </c>
    </row>
    <row r="1699" customFormat="false" ht="13.8" hidden="false" customHeight="false" outlineLevel="0" collapsed="false">
      <c r="A1699" s="2" t="n">
        <v>41838</v>
      </c>
      <c r="B1699" s="0" t="n">
        <v>1978.22</v>
      </c>
      <c r="C1699" s="0" t="n">
        <v>261.66</v>
      </c>
      <c r="D1699" s="3" t="n">
        <f aca="false">B1699*100/B$2</f>
        <v>136.696702506979</v>
      </c>
      <c r="E1699" s="3" t="n">
        <f aca="false">C1699*100/C$2</f>
        <v>111.202719932002</v>
      </c>
      <c r="F1699" s="0" t="n">
        <v>134.707979767268</v>
      </c>
      <c r="G1699" s="0" t="n">
        <v>111.428564038971</v>
      </c>
      <c r="H1699" s="0" t="n">
        <v>110.73523161921</v>
      </c>
      <c r="I1699" s="0" t="n">
        <v>-0.693332419761276</v>
      </c>
    </row>
    <row r="1700" customFormat="false" ht="13.8" hidden="false" customHeight="false" outlineLevel="0" collapsed="false">
      <c r="A1700" s="2" t="n">
        <v>41841</v>
      </c>
      <c r="B1700" s="0" t="n">
        <v>1973.63</v>
      </c>
      <c r="C1700" s="0" t="n">
        <v>261.51</v>
      </c>
      <c r="D1700" s="3" t="n">
        <f aca="false">B1700*100/B$2</f>
        <v>136.379529561348</v>
      </c>
      <c r="E1700" s="3" t="n">
        <f aca="false">C1700*100/C$2</f>
        <v>111.138971525712</v>
      </c>
      <c r="F1700" s="0" t="n">
        <v>134.834434340363</v>
      </c>
      <c r="G1700" s="0" t="n">
        <v>111.470804951599</v>
      </c>
      <c r="H1700" s="0" t="n">
        <v>110.361240968976</v>
      </c>
      <c r="I1700" s="0" t="n">
        <v>-1.10956398262273</v>
      </c>
    </row>
    <row r="1701" customFormat="false" ht="13.8" hidden="false" customHeight="false" outlineLevel="0" collapsed="false">
      <c r="A1701" s="2" t="n">
        <v>41842</v>
      </c>
      <c r="B1701" s="0" t="n">
        <v>1983.53</v>
      </c>
      <c r="C1701" s="0" t="n">
        <v>262.86</v>
      </c>
      <c r="D1701" s="3" t="n">
        <f aca="false">B1701*100/B$2</f>
        <v>137.063628071533</v>
      </c>
      <c r="E1701" s="3" t="n">
        <f aca="false">C1701*100/C$2</f>
        <v>111.71270718232</v>
      </c>
      <c r="F1701" s="0" t="n">
        <v>134.801265927748</v>
      </c>
      <c r="G1701" s="0" t="n">
        <v>111.459725367958</v>
      </c>
      <c r="H1701" s="0" t="n">
        <v>111.619209519762</v>
      </c>
      <c r="I1701" s="0" t="n">
        <v>0.159484151803554</v>
      </c>
    </row>
    <row r="1702" customFormat="false" ht="13.8" hidden="false" customHeight="false" outlineLevel="0" collapsed="false">
      <c r="A1702" s="2" t="n">
        <v>41843</v>
      </c>
      <c r="B1702" s="0" t="n">
        <v>1987.01</v>
      </c>
      <c r="C1702" s="0" t="n">
        <v>262.56</v>
      </c>
      <c r="D1702" s="3" t="n">
        <f aca="false">B1702*100/B$2</f>
        <v>137.304099062992</v>
      </c>
      <c r="E1702" s="3" t="n">
        <f aca="false">C1702*100/C$2</f>
        <v>111.585210369741</v>
      </c>
      <c r="F1702" s="0" t="n">
        <v>134.324469996407</v>
      </c>
      <c r="G1702" s="0" t="n">
        <v>111.300456353133</v>
      </c>
      <c r="H1702" s="0" t="n">
        <v>111.610709732257</v>
      </c>
      <c r="I1702" s="0" t="n">
        <v>0.310253379124035</v>
      </c>
    </row>
    <row r="1703" customFormat="false" ht="13.8" hidden="false" customHeight="false" outlineLevel="0" collapsed="false">
      <c r="A1703" s="2" t="n">
        <v>41844</v>
      </c>
      <c r="B1703" s="0" t="n">
        <v>1987.98</v>
      </c>
      <c r="C1703" s="0" t="n">
        <v>262.72</v>
      </c>
      <c r="D1703" s="3" t="n">
        <f aca="false">B1703*100/B$2</f>
        <v>137.371126896819</v>
      </c>
      <c r="E1703" s="3" t="n">
        <f aca="false">C1703*100/C$2</f>
        <v>111.653208669783</v>
      </c>
      <c r="F1703" s="0" t="n">
        <v>133.372260150916</v>
      </c>
      <c r="G1703" s="0" t="n">
        <v>110.982379972799</v>
      </c>
      <c r="H1703" s="0" t="n">
        <v>111.351466213345</v>
      </c>
      <c r="I1703" s="0" t="n">
        <v>0.369086240545258</v>
      </c>
    </row>
    <row r="1704" customFormat="false" ht="13.8" hidden="false" customHeight="false" outlineLevel="0" collapsed="false">
      <c r="A1704" s="2" t="n">
        <v>41845</v>
      </c>
      <c r="B1704" s="0" t="n">
        <v>1978.34</v>
      </c>
      <c r="C1704" s="0" t="n">
        <v>263.47</v>
      </c>
      <c r="D1704" s="3" t="n">
        <f aca="false">B1704*100/B$2</f>
        <v>136.704994610133</v>
      </c>
      <c r="E1704" s="3" t="n">
        <f aca="false">C1704*100/C$2</f>
        <v>111.971950701232</v>
      </c>
      <c r="F1704" s="0" t="n">
        <v>133.790320351585</v>
      </c>
      <c r="G1704" s="0" t="n">
        <v>111.122028891596</v>
      </c>
      <c r="H1704" s="0" t="n">
        <v>109.966000849979</v>
      </c>
      <c r="I1704" s="0" t="n">
        <v>-1.15602804161719</v>
      </c>
    </row>
    <row r="1705" customFormat="false" ht="13.8" hidden="false" customHeight="false" outlineLevel="0" collapsed="false">
      <c r="A1705" s="2" t="n">
        <v>41848</v>
      </c>
      <c r="B1705" s="0" t="n">
        <v>1978.91</v>
      </c>
      <c r="C1705" s="0" t="n">
        <v>265.53</v>
      </c>
      <c r="D1705" s="3" t="n">
        <f aca="false">B1705*100/B$2</f>
        <v>136.744382100113</v>
      </c>
      <c r="E1705" s="3" t="n">
        <f aca="false">C1705*100/C$2</f>
        <v>112.84742881428</v>
      </c>
      <c r="F1705" s="0" t="n">
        <v>133.902263744161</v>
      </c>
      <c r="G1705" s="0" t="n">
        <v>111.159422486381</v>
      </c>
      <c r="H1705" s="0" t="n">
        <v>110.254993625159</v>
      </c>
      <c r="I1705" s="0" t="n">
        <v>-0.904428861221746</v>
      </c>
    </row>
    <row r="1706" customFormat="false" ht="13.8" hidden="false" customHeight="false" outlineLevel="0" collapsed="false">
      <c r="A1706" s="2" t="n">
        <v>41849</v>
      </c>
      <c r="B1706" s="0" t="n">
        <v>1969.95</v>
      </c>
      <c r="C1706" s="0" t="n">
        <v>268.01</v>
      </c>
      <c r="D1706" s="3" t="n">
        <f aca="false">B1706*100/B$2</f>
        <v>136.125238397966</v>
      </c>
      <c r="E1706" s="3" t="n">
        <f aca="false">C1706*100/C$2</f>
        <v>113.901402464938</v>
      </c>
      <c r="F1706" s="0" t="n">
        <v>134.193178363139</v>
      </c>
      <c r="G1706" s="0" t="n">
        <v>111.256599667891</v>
      </c>
      <c r="H1706" s="0" t="n">
        <v>110.679983000425</v>
      </c>
      <c r="I1706" s="0" t="n">
        <v>-0.576616667465785</v>
      </c>
    </row>
    <row r="1707" customFormat="false" ht="13.8" hidden="false" customHeight="false" outlineLevel="0" collapsed="false">
      <c r="A1707" s="2" t="n">
        <v>41850</v>
      </c>
      <c r="B1707" s="0" t="n">
        <v>1970.07</v>
      </c>
      <c r="C1707" s="0" t="n">
        <v>271.17</v>
      </c>
      <c r="D1707" s="3" t="n">
        <f aca="false">B1707*100/B$2</f>
        <v>136.133530501119</v>
      </c>
      <c r="E1707" s="3" t="n">
        <f aca="false">C1707*100/C$2</f>
        <v>115.244368890778</v>
      </c>
      <c r="F1707" s="0" t="n">
        <v>135.229000248763</v>
      </c>
      <c r="G1707" s="0" t="n">
        <v>111.602605831983</v>
      </c>
      <c r="H1707" s="0" t="n">
        <v>109.944751381215</v>
      </c>
      <c r="I1707" s="0" t="n">
        <v>-1.65785445076786</v>
      </c>
    </row>
    <row r="1708" customFormat="false" ht="13.8" hidden="false" customHeight="false" outlineLevel="0" collapsed="false">
      <c r="A1708" s="2" t="n">
        <v>41851</v>
      </c>
      <c r="B1708" s="0" t="n">
        <v>1930.67</v>
      </c>
      <c r="C1708" s="0" t="n">
        <v>269.68</v>
      </c>
      <c r="D1708" s="3" t="n">
        <f aca="false">B1708*100/B$2</f>
        <v>133.410956632301</v>
      </c>
      <c r="E1708" s="3" t="n">
        <f aca="false">C1708*100/C$2</f>
        <v>114.611134721632</v>
      </c>
      <c r="F1708" s="0" t="n">
        <v>135.4017523978</v>
      </c>
      <c r="G1708" s="0" t="n">
        <v>111.660311996775</v>
      </c>
      <c r="H1708" s="0" t="n">
        <v>110</v>
      </c>
      <c r="I1708" s="0" t="n">
        <v>-1.66031199677528</v>
      </c>
    </row>
    <row r="1709" customFormat="false" ht="13.8" hidden="false" customHeight="false" outlineLevel="0" collapsed="false">
      <c r="A1709" s="2" t="n">
        <v>41852</v>
      </c>
      <c r="B1709" s="0" t="n">
        <v>1925.15</v>
      </c>
      <c r="C1709" s="0" t="n">
        <v>268.56</v>
      </c>
      <c r="D1709" s="3" t="n">
        <f aca="false">B1709*100/B$2</f>
        <v>133.029519887227</v>
      </c>
      <c r="E1709" s="3" t="n">
        <f aca="false">C1709*100/C$2</f>
        <v>114.135146621334</v>
      </c>
      <c r="F1709" s="0" t="n">
        <v>135.636004311894</v>
      </c>
      <c r="G1709" s="0" t="n">
        <v>111.738561556233</v>
      </c>
      <c r="H1709" s="0" t="n">
        <v>108.504037399065</v>
      </c>
      <c r="I1709" s="0" t="n">
        <v>-3.23452415716814</v>
      </c>
    </row>
    <row r="1710" customFormat="false" ht="13.8" hidden="false" customHeight="false" outlineLevel="0" collapsed="false">
      <c r="A1710" s="2" t="n">
        <v>41855</v>
      </c>
      <c r="B1710" s="0" t="n">
        <v>1938.99</v>
      </c>
      <c r="C1710" s="0" t="n">
        <v>269.65</v>
      </c>
      <c r="D1710" s="3" t="n">
        <f aca="false">B1710*100/B$2</f>
        <v>133.985875784295</v>
      </c>
      <c r="E1710" s="3" t="n">
        <f aca="false">C1710*100/C$2</f>
        <v>114.598385040374</v>
      </c>
      <c r="F1710" s="0" t="n">
        <v>135.618038088394</v>
      </c>
      <c r="G1710" s="0" t="n">
        <v>111.732560115095</v>
      </c>
      <c r="H1710" s="0" t="n">
        <v>109.124521886953</v>
      </c>
      <c r="I1710" s="0" t="n">
        <v>-2.60803822814198</v>
      </c>
    </row>
    <row r="1711" customFormat="false" ht="13.8" hidden="false" customHeight="false" outlineLevel="0" collapsed="false">
      <c r="A1711" s="2" t="n">
        <v>41856</v>
      </c>
      <c r="B1711" s="0" t="n">
        <v>1920.21</v>
      </c>
      <c r="C1711" s="0" t="n">
        <v>267.63</v>
      </c>
      <c r="D1711" s="3" t="n">
        <f aca="false">B1711*100/B$2</f>
        <v>132.688161640731</v>
      </c>
      <c r="E1711" s="3" t="n">
        <f aca="false">C1711*100/C$2</f>
        <v>113.739906502337</v>
      </c>
      <c r="F1711" s="0" t="n">
        <v>134.74529423146</v>
      </c>
      <c r="G1711" s="0" t="n">
        <v>111.441028570566</v>
      </c>
      <c r="H1711" s="0" t="n">
        <v>110.390990225244</v>
      </c>
      <c r="I1711" s="0" t="n">
        <v>-1.0500383453215</v>
      </c>
    </row>
    <row r="1712" customFormat="false" ht="13.8" hidden="false" customHeight="false" outlineLevel="0" collapsed="false">
      <c r="A1712" s="2" t="n">
        <v>41857</v>
      </c>
      <c r="B1712" s="0" t="n">
        <v>1920.24</v>
      </c>
      <c r="C1712" s="0" t="n">
        <v>266.6</v>
      </c>
      <c r="D1712" s="3" t="n">
        <f aca="false">B1712*100/B$2</f>
        <v>132.690234666519</v>
      </c>
      <c r="E1712" s="3" t="n">
        <f aca="false">C1712*100/C$2</f>
        <v>113.302167445814</v>
      </c>
      <c r="F1712" s="0" t="n">
        <v>135.405207440781</v>
      </c>
      <c r="G1712" s="0" t="n">
        <v>111.661466120071</v>
      </c>
      <c r="H1712" s="0" t="n">
        <v>109.715257118572</v>
      </c>
      <c r="I1712" s="0" t="n">
        <v>-1.94620900149907</v>
      </c>
    </row>
    <row r="1713" customFormat="false" ht="13.8" hidden="false" customHeight="false" outlineLevel="0" collapsed="false">
      <c r="A1713" s="2" t="n">
        <v>41858</v>
      </c>
      <c r="B1713" s="0" t="n">
        <v>1909.57</v>
      </c>
      <c r="C1713" s="0" t="n">
        <v>265.64</v>
      </c>
      <c r="D1713" s="3" t="n">
        <f aca="false">B1713*100/B$2</f>
        <v>131.95292849443</v>
      </c>
      <c r="E1713" s="3" t="n">
        <f aca="false">C1713*100/C$2</f>
        <v>112.894177645559</v>
      </c>
      <c r="F1713" s="0" t="n">
        <v>135.245584455071</v>
      </c>
      <c r="G1713" s="0" t="n">
        <v>111.608145623803</v>
      </c>
      <c r="H1713" s="0" t="n">
        <v>110.509987250319</v>
      </c>
      <c r="I1713" s="0" t="n">
        <v>-1.09815837348464</v>
      </c>
    </row>
    <row r="1714" customFormat="false" ht="13.8" hidden="false" customHeight="false" outlineLevel="0" collapsed="false">
      <c r="A1714" s="2" t="n">
        <v>41859</v>
      </c>
      <c r="B1714" s="0" t="n">
        <v>1931.59</v>
      </c>
      <c r="C1714" s="0" t="n">
        <v>262.02</v>
      </c>
      <c r="D1714" s="3" t="n">
        <f aca="false">B1714*100/B$2</f>
        <v>133.474529423146</v>
      </c>
      <c r="E1714" s="3" t="n">
        <f aca="false">C1714*100/C$2</f>
        <v>111.355716107097</v>
      </c>
      <c r="F1714" s="0" t="n">
        <v>135.50402167003</v>
      </c>
      <c r="G1714" s="0" t="n">
        <v>111.694474046332</v>
      </c>
      <c r="H1714" s="0" t="n">
        <v>109.978750531237</v>
      </c>
      <c r="I1714" s="0" t="n">
        <v>-1.71572351509542</v>
      </c>
    </row>
    <row r="1715" customFormat="false" ht="13.8" hidden="false" customHeight="false" outlineLevel="0" collapsed="false">
      <c r="A1715" s="2" t="n">
        <v>41862</v>
      </c>
      <c r="B1715" s="0" t="n">
        <v>1936.92</v>
      </c>
      <c r="C1715" s="0" t="n">
        <v>263.32</v>
      </c>
      <c r="D1715" s="3" t="n">
        <f aca="false">B1715*100/B$2</f>
        <v>133.842837004892</v>
      </c>
      <c r="E1715" s="3" t="n">
        <f aca="false">C1715*100/C$2</f>
        <v>111.908202294943</v>
      </c>
      <c r="F1715" s="0" t="n">
        <v>135.453578042511</v>
      </c>
      <c r="G1715" s="0" t="n">
        <v>111.677623846213</v>
      </c>
      <c r="H1715" s="0" t="n">
        <v>110.73523161921</v>
      </c>
      <c r="I1715" s="0" t="n">
        <v>-0.942392227003339</v>
      </c>
    </row>
    <row r="1716" customFormat="false" ht="13.8" hidden="false" customHeight="false" outlineLevel="0" collapsed="false">
      <c r="A1716" s="2" t="n">
        <v>41863</v>
      </c>
      <c r="B1716" s="0" t="n">
        <v>1933.75</v>
      </c>
      <c r="C1716" s="0" t="n">
        <v>263.34</v>
      </c>
      <c r="D1716" s="3" t="n">
        <f aca="false">B1716*100/B$2</f>
        <v>133.623787279914</v>
      </c>
      <c r="E1716" s="3" t="n">
        <f aca="false">C1716*100/C$2</f>
        <v>111.916702082448</v>
      </c>
      <c r="F1716" s="0" t="n">
        <v>136.358108294867</v>
      </c>
      <c r="G1716" s="0" t="n">
        <v>111.979773325064</v>
      </c>
      <c r="H1716" s="0" t="n">
        <v>110.386740331492</v>
      </c>
      <c r="I1716" s="0" t="n">
        <v>-1.59303299357181</v>
      </c>
    </row>
    <row r="1717" customFormat="false" ht="13.8" hidden="false" customHeight="false" outlineLevel="0" collapsed="false">
      <c r="A1717" s="2" t="n">
        <v>41864</v>
      </c>
      <c r="B1717" s="0" t="n">
        <v>1946.72</v>
      </c>
      <c r="C1717" s="0" t="n">
        <v>265.91</v>
      </c>
      <c r="D1717" s="3" t="n">
        <f aca="false">B1717*100/B$2</f>
        <v>134.520025429116</v>
      </c>
      <c r="E1717" s="3" t="n">
        <f aca="false">C1717*100/C$2</f>
        <v>113.008924776881</v>
      </c>
      <c r="F1717" s="0" t="n">
        <v>136.447939412366</v>
      </c>
      <c r="G1717" s="0" t="n">
        <v>112.009780530755</v>
      </c>
      <c r="H1717" s="0" t="n">
        <v>111.364215894603</v>
      </c>
      <c r="I1717" s="0" t="n">
        <v>-0.645564636152685</v>
      </c>
    </row>
    <row r="1718" customFormat="false" ht="13.8" hidden="false" customHeight="false" outlineLevel="0" collapsed="false">
      <c r="A1718" s="2" t="n">
        <v>41865</v>
      </c>
      <c r="B1718" s="0" t="n">
        <v>1955.18</v>
      </c>
      <c r="C1718" s="0" t="n">
        <v>265.88</v>
      </c>
      <c r="D1718" s="3" t="n">
        <f aca="false">B1718*100/B$2</f>
        <v>135.104618701457</v>
      </c>
      <c r="E1718" s="3" t="n">
        <f aca="false">C1718*100/C$2</f>
        <v>112.996175095623</v>
      </c>
      <c r="F1718" s="0" t="n">
        <v>137.195610713397</v>
      </c>
      <c r="G1718" s="0" t="n">
        <v>112.259532811975</v>
      </c>
      <c r="H1718" s="0" t="n">
        <v>110.977475563111</v>
      </c>
      <c r="I1718" s="0" t="n">
        <v>-1.28205724886399</v>
      </c>
    </row>
    <row r="1719" customFormat="false" ht="13.8" hidden="false" customHeight="false" outlineLevel="0" collapsed="false">
      <c r="A1719" s="2" t="n">
        <v>41866</v>
      </c>
      <c r="B1719" s="0" t="n">
        <v>1955.06</v>
      </c>
      <c r="C1719" s="0" t="n">
        <v>265.88</v>
      </c>
      <c r="D1719" s="3" t="n">
        <f aca="false">B1719*100/B$2</f>
        <v>135.096326598303</v>
      </c>
      <c r="E1719" s="3" t="n">
        <f aca="false">C1719*100/C$2</f>
        <v>112.996175095623</v>
      </c>
      <c r="F1719" s="0" t="n">
        <v>137.195610713397</v>
      </c>
      <c r="G1719" s="0" t="n">
        <v>112.259532811975</v>
      </c>
      <c r="H1719" s="0" t="n">
        <v>110.764980875478</v>
      </c>
      <c r="I1719" s="0" t="n">
        <v>-1.49455193649681</v>
      </c>
    </row>
    <row r="1720" customFormat="false" ht="13.8" hidden="false" customHeight="false" outlineLevel="0" collapsed="false">
      <c r="A1720" s="2" t="n">
        <v>41869</v>
      </c>
      <c r="B1720" s="0" t="n">
        <v>1971.74</v>
      </c>
      <c r="C1720" s="0" t="n">
        <v>264.24</v>
      </c>
      <c r="D1720" s="3" t="n">
        <f aca="false">B1720*100/B$2</f>
        <v>136.248928936676</v>
      </c>
      <c r="E1720" s="3" t="n">
        <f aca="false">C1720*100/C$2</f>
        <v>112.299192520187</v>
      </c>
      <c r="F1720" s="0" t="n">
        <v>136.657315016999</v>
      </c>
      <c r="G1720" s="0" t="n">
        <v>112.079720402483</v>
      </c>
      <c r="H1720" s="0" t="n">
        <v>110.475988100297</v>
      </c>
      <c r="I1720" s="0" t="n">
        <v>-1.6037323021857</v>
      </c>
    </row>
    <row r="1721" customFormat="false" ht="13.8" hidden="false" customHeight="false" outlineLevel="0" collapsed="false">
      <c r="A1721" s="2" t="n">
        <v>41870</v>
      </c>
      <c r="B1721" s="0" t="n">
        <v>1981.6</v>
      </c>
      <c r="C1721" s="0" t="n">
        <v>266.62</v>
      </c>
      <c r="D1721" s="3" t="n">
        <f aca="false">B1721*100/B$2</f>
        <v>136.930263412477</v>
      </c>
      <c r="E1721" s="3" t="n">
        <f aca="false">C1721*100/C$2</f>
        <v>113.310667233319</v>
      </c>
      <c r="F1721" s="0" t="n">
        <v>135.69404903397</v>
      </c>
      <c r="G1721" s="0" t="n">
        <v>111.757950827603</v>
      </c>
      <c r="H1721" s="0" t="n">
        <v>110.467488312792</v>
      </c>
      <c r="I1721" s="0" t="n">
        <v>-1.29046251481108</v>
      </c>
    </row>
    <row r="1722" customFormat="false" ht="13.8" hidden="false" customHeight="false" outlineLevel="0" collapsed="false">
      <c r="A1722" s="2" t="n">
        <v>41871</v>
      </c>
      <c r="B1722" s="0" t="n">
        <v>1986.51</v>
      </c>
      <c r="C1722" s="0" t="n">
        <v>266.79</v>
      </c>
      <c r="D1722" s="3" t="n">
        <f aca="false">B1722*100/B$2</f>
        <v>137.269548633185</v>
      </c>
      <c r="E1722" s="3" t="n">
        <f aca="false">C1722*100/C$2</f>
        <v>113.382915427114</v>
      </c>
      <c r="F1722" s="0" t="n">
        <v>136.324248873656</v>
      </c>
      <c r="G1722" s="0" t="n">
        <v>111.968462916764</v>
      </c>
      <c r="H1722" s="0" t="n">
        <v>110.016999575011</v>
      </c>
      <c r="I1722" s="0" t="n">
        <v>-1.95146334175369</v>
      </c>
    </row>
    <row r="1723" customFormat="false" ht="13.8" hidden="false" customHeight="false" outlineLevel="0" collapsed="false">
      <c r="A1723" s="2" t="n">
        <v>41872</v>
      </c>
      <c r="B1723" s="0" t="n">
        <v>1992.37</v>
      </c>
      <c r="C1723" s="0" t="n">
        <v>262.53</v>
      </c>
      <c r="D1723" s="3" t="n">
        <f aca="false">B1723*100/B$2</f>
        <v>137.674479670527</v>
      </c>
      <c r="E1723" s="3" t="n">
        <f aca="false">C1723*100/C$2</f>
        <v>111.572460688483</v>
      </c>
      <c r="F1723" s="0" t="n">
        <v>135.761076867796</v>
      </c>
      <c r="G1723" s="0" t="n">
        <v>111.780340819543</v>
      </c>
      <c r="H1723" s="0" t="n">
        <v>110.14449638759</v>
      </c>
      <c r="I1723" s="0" t="n">
        <v>-1.63584443195222</v>
      </c>
    </row>
    <row r="1724" customFormat="false" ht="13.8" hidden="false" customHeight="false" outlineLevel="0" collapsed="false">
      <c r="A1724" s="2" t="n">
        <v>41873</v>
      </c>
      <c r="B1724" s="0" t="n">
        <v>1988.4</v>
      </c>
      <c r="C1724" s="0" t="n">
        <v>264.26</v>
      </c>
      <c r="D1724" s="3" t="n">
        <f aca="false">B1724*100/B$2</f>
        <v>137.400149257857</v>
      </c>
      <c r="E1724" s="3" t="n">
        <f aca="false">C1724*100/C$2</f>
        <v>112.307692307692</v>
      </c>
      <c r="F1724" s="0" t="n">
        <v>135.960778352083</v>
      </c>
      <c r="G1724" s="0" t="n">
        <v>111.847049146042</v>
      </c>
      <c r="H1724" s="0" t="n">
        <v>109.10327241819</v>
      </c>
      <c r="I1724" s="0" t="n">
        <v>-2.74377672785246</v>
      </c>
    </row>
    <row r="1725" customFormat="false" ht="13.8" hidden="false" customHeight="false" outlineLevel="0" collapsed="false">
      <c r="A1725" s="2" t="n">
        <v>41876</v>
      </c>
      <c r="B1725" s="0" t="n">
        <v>1997.92</v>
      </c>
      <c r="C1725" s="0" t="n">
        <v>264.46</v>
      </c>
      <c r="D1725" s="3" t="n">
        <f aca="false">B1725*100/B$2</f>
        <v>138.057989441389</v>
      </c>
      <c r="E1725" s="3" t="n">
        <f aca="false">C1725*100/C$2</f>
        <v>112.392690182745</v>
      </c>
      <c r="F1725" s="0" t="n">
        <v>136.619309544211</v>
      </c>
      <c r="G1725" s="0" t="n">
        <v>112.067025046229</v>
      </c>
      <c r="H1725" s="0" t="n">
        <v>109.337016574586</v>
      </c>
      <c r="I1725" s="0" t="n">
        <v>-2.73000847164333</v>
      </c>
    </row>
    <row r="1726" customFormat="false" ht="13.8" hidden="false" customHeight="false" outlineLevel="0" collapsed="false">
      <c r="A1726" s="2" t="n">
        <v>41877</v>
      </c>
      <c r="B1726" s="0" t="n">
        <v>2000.02</v>
      </c>
      <c r="C1726" s="0" t="n">
        <v>265.14</v>
      </c>
      <c r="D1726" s="3" t="n">
        <f aca="false">B1726*100/B$2</f>
        <v>138.20310124658</v>
      </c>
      <c r="E1726" s="3" t="n">
        <f aca="false">C1726*100/C$2</f>
        <v>112.681682957926</v>
      </c>
      <c r="F1726" s="0" t="n">
        <v>136.355344260483</v>
      </c>
      <c r="G1726" s="0" t="n">
        <v>111.978850026427</v>
      </c>
      <c r="H1726" s="0" t="n">
        <v>110.667233319167</v>
      </c>
      <c r="I1726" s="0" t="n">
        <v>-1.31161670725984</v>
      </c>
    </row>
    <row r="1727" customFormat="false" ht="13.8" hidden="false" customHeight="false" outlineLevel="0" collapsed="false">
      <c r="A1727" s="2" t="n">
        <v>41878</v>
      </c>
      <c r="B1727" s="0" t="n">
        <v>2000.12</v>
      </c>
      <c r="C1727" s="0" t="n">
        <v>265.88</v>
      </c>
      <c r="D1727" s="3" t="n">
        <f aca="false">B1727*100/B$2</f>
        <v>138.210011332541</v>
      </c>
      <c r="E1727" s="3" t="n">
        <f aca="false">C1727*100/C$2</f>
        <v>112.996175095623</v>
      </c>
      <c r="F1727" s="0" t="n">
        <v>136.928190386688</v>
      </c>
      <c r="G1727" s="0" t="n">
        <v>112.170203668877</v>
      </c>
      <c r="H1727" s="0" t="n">
        <v>110.845728856779</v>
      </c>
      <c r="I1727" s="0" t="n">
        <v>-1.3244748120984</v>
      </c>
    </row>
    <row r="1728" customFormat="false" ht="13.8" hidden="false" customHeight="false" outlineLevel="0" collapsed="false">
      <c r="A1728" s="2" t="n">
        <v>41879</v>
      </c>
      <c r="B1728" s="0" t="n">
        <v>1996.74</v>
      </c>
      <c r="C1728" s="0" t="n">
        <v>266.19</v>
      </c>
      <c r="D1728" s="3" t="n">
        <f aca="false">B1728*100/B$2</f>
        <v>137.976450427043</v>
      </c>
      <c r="E1728" s="3" t="n">
        <f aca="false">C1728*100/C$2</f>
        <v>113.127921801955</v>
      </c>
      <c r="F1728" s="0" t="n">
        <v>135.307775228724</v>
      </c>
      <c r="G1728" s="0" t="n">
        <v>111.628919843128</v>
      </c>
      <c r="H1728" s="0" t="n">
        <v>111.317467063323</v>
      </c>
      <c r="I1728" s="0" t="n">
        <v>-0.311452779805037</v>
      </c>
    </row>
    <row r="1729" customFormat="false" ht="13.8" hidden="false" customHeight="false" outlineLevel="0" collapsed="false">
      <c r="A1729" s="2" t="n">
        <v>41880</v>
      </c>
      <c r="B1729" s="0" t="n">
        <v>2003.37</v>
      </c>
      <c r="C1729" s="0" t="n">
        <v>265.41</v>
      </c>
      <c r="D1729" s="3" t="n">
        <f aca="false">B1729*100/B$2</f>
        <v>138.434589126289</v>
      </c>
      <c r="E1729" s="3" t="n">
        <f aca="false">C1729*100/C$2</f>
        <v>112.796430089248</v>
      </c>
      <c r="F1729" s="0" t="n">
        <v>136.696702506979</v>
      </c>
      <c r="G1729" s="0" t="n">
        <v>112.092877408056</v>
      </c>
      <c r="H1729" s="0" t="n">
        <v>111.202719932002</v>
      </c>
      <c r="I1729" s="0" t="n">
        <v>-0.890157476054043</v>
      </c>
    </row>
    <row r="1730" customFormat="false" ht="13.8" hidden="false" customHeight="false" outlineLevel="0" collapsed="false">
      <c r="A1730" s="2" t="n">
        <v>41883</v>
      </c>
      <c r="B1730" s="0" t="n">
        <v>2003.37</v>
      </c>
      <c r="C1730" s="0" t="n">
        <v>265.27</v>
      </c>
      <c r="D1730" s="3" t="n">
        <f aca="false">B1730*100/B$2</f>
        <v>138.434589126289</v>
      </c>
      <c r="E1730" s="3" t="n">
        <f aca="false">C1730*100/C$2</f>
        <v>112.736931576711</v>
      </c>
      <c r="F1730" s="0" t="n">
        <v>136.379529561348</v>
      </c>
      <c r="G1730" s="0" t="n">
        <v>111.986928889498</v>
      </c>
      <c r="H1730" s="0" t="n">
        <v>111.138971525712</v>
      </c>
      <c r="I1730" s="0" t="n">
        <v>-0.847957363785881</v>
      </c>
    </row>
    <row r="1731" customFormat="false" ht="13.8" hidden="false" customHeight="false" outlineLevel="0" collapsed="false">
      <c r="A1731" s="2" t="n">
        <v>41884</v>
      </c>
      <c r="B1731" s="0" t="n">
        <v>2002.28</v>
      </c>
      <c r="C1731" s="0" t="n">
        <v>262.61</v>
      </c>
      <c r="D1731" s="3" t="n">
        <f aca="false">B1731*100/B$2</f>
        <v>138.359269189309</v>
      </c>
      <c r="E1731" s="3" t="n">
        <f aca="false">C1731*100/C$2</f>
        <v>111.606459838504</v>
      </c>
      <c r="F1731" s="0" t="n">
        <v>137.063628071533</v>
      </c>
      <c r="G1731" s="0" t="n">
        <v>112.215445302074</v>
      </c>
      <c r="H1731" s="0" t="n">
        <v>111.71270718232</v>
      </c>
      <c r="I1731" s="0" t="n">
        <v>-0.502738119753417</v>
      </c>
    </row>
    <row r="1732" customFormat="false" ht="13.8" hidden="false" customHeight="false" outlineLevel="0" collapsed="false">
      <c r="A1732" s="2" t="n">
        <v>41885</v>
      </c>
      <c r="B1732" s="0" t="n">
        <v>2000.72</v>
      </c>
      <c r="C1732" s="0" t="n">
        <v>262.27</v>
      </c>
      <c r="D1732" s="3" t="n">
        <f aca="false">B1732*100/B$2</f>
        <v>138.25147184831</v>
      </c>
      <c r="E1732" s="3" t="n">
        <f aca="false">C1732*100/C$2</f>
        <v>111.461963450914</v>
      </c>
      <c r="F1732" s="0" t="n">
        <v>137.304099062992</v>
      </c>
      <c r="G1732" s="0" t="n">
        <v>112.295772283464</v>
      </c>
      <c r="H1732" s="0" t="n">
        <v>111.585210369741</v>
      </c>
      <c r="I1732" s="0" t="n">
        <v>-0.71056191372351</v>
      </c>
    </row>
    <row r="1733" customFormat="false" ht="13.8" hidden="false" customHeight="false" outlineLevel="0" collapsed="false">
      <c r="A1733" s="2" t="n">
        <v>41886</v>
      </c>
      <c r="B1733" s="0" t="n">
        <v>1997.65</v>
      </c>
      <c r="C1733" s="0" t="n">
        <v>263.19</v>
      </c>
      <c r="D1733" s="3" t="n">
        <f aca="false">B1733*100/B$2</f>
        <v>138.039332209293</v>
      </c>
      <c r="E1733" s="3" t="n">
        <f aca="false">C1733*100/C$2</f>
        <v>111.852953676158</v>
      </c>
      <c r="F1733" s="0" t="n">
        <v>137.371126896819</v>
      </c>
      <c r="G1733" s="0" t="n">
        <v>112.318162275404</v>
      </c>
      <c r="H1733" s="0" t="n">
        <v>111.653208669783</v>
      </c>
      <c r="I1733" s="0" t="n">
        <v>-0.664953605620269</v>
      </c>
    </row>
    <row r="1734" customFormat="false" ht="13.8" hidden="false" customHeight="false" outlineLevel="0" collapsed="false">
      <c r="A1734" s="2" t="n">
        <v>41887</v>
      </c>
      <c r="B1734" s="0" t="n">
        <v>2007.71</v>
      </c>
      <c r="C1734" s="0" t="n">
        <v>262.09</v>
      </c>
      <c r="D1734" s="3" t="n">
        <f aca="false">B1734*100/B$2</f>
        <v>138.734486857016</v>
      </c>
      <c r="E1734" s="3" t="n">
        <f aca="false">C1734*100/C$2</f>
        <v>111.385465363366</v>
      </c>
      <c r="F1734" s="0" t="n">
        <v>136.704994610133</v>
      </c>
      <c r="G1734" s="0" t="n">
        <v>112.095647303966</v>
      </c>
      <c r="H1734" s="0" t="n">
        <v>111.971950701232</v>
      </c>
      <c r="I1734" s="0" t="n">
        <v>-0.12369660273329</v>
      </c>
    </row>
    <row r="1735" customFormat="false" ht="13.8" hidden="false" customHeight="false" outlineLevel="0" collapsed="false">
      <c r="A1735" s="2" t="n">
        <v>41890</v>
      </c>
      <c r="B1735" s="0" t="n">
        <v>2001.54</v>
      </c>
      <c r="C1735" s="0" t="n">
        <v>262.09</v>
      </c>
      <c r="D1735" s="3" t="n">
        <f aca="false">B1735*100/B$2</f>
        <v>138.308134553194</v>
      </c>
      <c r="E1735" s="3" t="n">
        <f aca="false">C1735*100/C$2</f>
        <v>111.385465363366</v>
      </c>
      <c r="F1735" s="0" t="n">
        <v>136.744382100113</v>
      </c>
      <c r="G1735" s="0" t="n">
        <v>112.108804309538</v>
      </c>
      <c r="H1735" s="0" t="n">
        <v>112.84742881428</v>
      </c>
      <c r="I1735" s="0" t="n">
        <v>0.738624504741296</v>
      </c>
    </row>
    <row r="1736" customFormat="false" ht="13.8" hidden="false" customHeight="false" outlineLevel="0" collapsed="false">
      <c r="A1736" s="2" t="n">
        <v>41891</v>
      </c>
      <c r="B1736" s="0" t="n">
        <v>1988.44</v>
      </c>
      <c r="C1736" s="0" t="n">
        <v>262.09</v>
      </c>
      <c r="D1736" s="3" t="n">
        <f aca="false">B1736*100/B$2</f>
        <v>137.402913292241</v>
      </c>
      <c r="E1736" s="3" t="n">
        <f aca="false">C1736*100/C$2</f>
        <v>111.385465363366</v>
      </c>
      <c r="F1736" s="0" t="n">
        <v>136.125238397966</v>
      </c>
      <c r="G1736" s="0" t="n">
        <v>111.901985414924</v>
      </c>
      <c r="H1736" s="0" t="n">
        <v>113.901402464938</v>
      </c>
      <c r="I1736" s="0" t="n">
        <v>1.9994170500144</v>
      </c>
    </row>
    <row r="1737" customFormat="false" ht="13.8" hidden="false" customHeight="false" outlineLevel="0" collapsed="false">
      <c r="A1737" s="2" t="n">
        <v>41892</v>
      </c>
      <c r="B1737" s="0" t="n">
        <v>1995.69</v>
      </c>
      <c r="C1737" s="0" t="n">
        <v>262.09</v>
      </c>
      <c r="D1737" s="3" t="n">
        <f aca="false">B1737*100/B$2</f>
        <v>137.903894524448</v>
      </c>
      <c r="E1737" s="3" t="n">
        <f aca="false">C1737*100/C$2</f>
        <v>111.385465363366</v>
      </c>
      <c r="F1737" s="0" t="n">
        <v>136.133530501119</v>
      </c>
      <c r="G1737" s="0" t="n">
        <v>111.904755310834</v>
      </c>
      <c r="H1737" s="0" t="n">
        <v>115.244368890778</v>
      </c>
      <c r="I1737" s="0" t="n">
        <v>3.33961357994373</v>
      </c>
    </row>
    <row r="1738" customFormat="false" ht="13.8" hidden="false" customHeight="false" outlineLevel="0" collapsed="false">
      <c r="A1738" s="2" t="n">
        <v>41893</v>
      </c>
      <c r="B1738" s="0" t="n">
        <v>1997.45</v>
      </c>
      <c r="C1738" s="0" t="n">
        <v>259.8</v>
      </c>
      <c r="D1738" s="3" t="n">
        <f aca="false">B1738*100/B$2</f>
        <v>138.02551203737</v>
      </c>
      <c r="E1738" s="3" t="n">
        <f aca="false">C1738*100/C$2</f>
        <v>110.412239694008</v>
      </c>
      <c r="F1738" s="0" t="n">
        <v>133.410956632301</v>
      </c>
      <c r="G1738" s="0" t="n">
        <v>110.995306153713</v>
      </c>
      <c r="H1738" s="0" t="n">
        <v>114.611134721632</v>
      </c>
      <c r="I1738" s="0" t="n">
        <v>3.61582856791915</v>
      </c>
    </row>
    <row r="1739" customFormat="false" ht="13.8" hidden="false" customHeight="false" outlineLevel="0" collapsed="false">
      <c r="A1739" s="2" t="n">
        <v>41894</v>
      </c>
      <c r="B1739" s="0" t="n">
        <v>1985.54</v>
      </c>
      <c r="C1739" s="0" t="n">
        <v>261.39</v>
      </c>
      <c r="D1739" s="3" t="n">
        <f aca="false">B1739*100/B$2</f>
        <v>137.202520799359</v>
      </c>
      <c r="E1739" s="3" t="n">
        <f aca="false">C1739*100/C$2</f>
        <v>111.08797280068</v>
      </c>
      <c r="F1739" s="0" t="n">
        <v>133.029519887227</v>
      </c>
      <c r="G1739" s="0" t="n">
        <v>110.867890941852</v>
      </c>
      <c r="H1739" s="0" t="n">
        <v>114.135146621334</v>
      </c>
      <c r="I1739" s="0" t="n">
        <v>3.26725567948228</v>
      </c>
    </row>
    <row r="1740" customFormat="false" ht="13.8" hidden="false" customHeight="false" outlineLevel="0" collapsed="false">
      <c r="A1740" s="2" t="n">
        <v>41897</v>
      </c>
      <c r="B1740" s="0" t="n">
        <v>1984.13</v>
      </c>
      <c r="C1740" s="0" t="n">
        <v>260.56</v>
      </c>
      <c r="D1740" s="3" t="n">
        <f aca="false">B1740*100/B$2</f>
        <v>137.105088587302</v>
      </c>
      <c r="E1740" s="3" t="n">
        <f aca="false">C1740*100/C$2</f>
        <v>110.73523161921</v>
      </c>
      <c r="F1740" s="0" t="n">
        <v>133.985875784295</v>
      </c>
      <c r="G1740" s="0" t="n">
        <v>111.18735227014</v>
      </c>
      <c r="H1740" s="0" t="n">
        <v>114.598385040374</v>
      </c>
      <c r="I1740" s="0" t="n">
        <v>3.41103277023355</v>
      </c>
    </row>
    <row r="1741" customFormat="false" ht="13.8" hidden="false" customHeight="false" outlineLevel="0" collapsed="false">
      <c r="A1741" s="2" t="n">
        <v>41898</v>
      </c>
      <c r="B1741" s="0" t="n">
        <v>1998.98</v>
      </c>
      <c r="C1741" s="0" t="n">
        <v>261.45</v>
      </c>
      <c r="D1741" s="3" t="n">
        <f aca="false">B1741*100/B$2</f>
        <v>138.13123635258</v>
      </c>
      <c r="E1741" s="3" t="n">
        <f aca="false">C1741*100/C$2</f>
        <v>111.113472163196</v>
      </c>
      <c r="F1741" s="0" t="n">
        <v>132.688161640731</v>
      </c>
      <c r="G1741" s="0" t="n">
        <v>110.753863560223</v>
      </c>
      <c r="H1741" s="0" t="n">
        <v>113.739906502337</v>
      </c>
      <c r="I1741" s="0" t="n">
        <v>2.98604294211415</v>
      </c>
    </row>
    <row r="1742" customFormat="false" ht="13.8" hidden="false" customHeight="false" outlineLevel="0" collapsed="false">
      <c r="A1742" s="2" t="n">
        <v>41899</v>
      </c>
      <c r="B1742" s="0" t="n">
        <v>2001.57</v>
      </c>
      <c r="C1742" s="0" t="n">
        <v>264.01</v>
      </c>
      <c r="D1742" s="3" t="n">
        <f aca="false">B1742*100/B$2</f>
        <v>138.310207578982</v>
      </c>
      <c r="E1742" s="3" t="n">
        <f aca="false">C1742*100/C$2</f>
        <v>112.201444963876</v>
      </c>
      <c r="F1742" s="0" t="n">
        <v>132.690234666519</v>
      </c>
      <c r="G1742" s="0" t="n">
        <v>110.754556034201</v>
      </c>
      <c r="H1742" s="0" t="n">
        <v>113.302167445814</v>
      </c>
      <c r="I1742" s="0" t="n">
        <v>2.54761141161308</v>
      </c>
    </row>
    <row r="1743" customFormat="false" ht="13.8" hidden="false" customHeight="false" outlineLevel="0" collapsed="false">
      <c r="A1743" s="2" t="n">
        <v>41900</v>
      </c>
      <c r="B1743" s="0" t="n">
        <v>2011.36</v>
      </c>
      <c r="C1743" s="0" t="n">
        <v>261.72</v>
      </c>
      <c r="D1743" s="3" t="n">
        <f aca="false">B1743*100/B$2</f>
        <v>138.98670499461</v>
      </c>
      <c r="E1743" s="3" t="n">
        <f aca="false">C1743*100/C$2</f>
        <v>111.228219294518</v>
      </c>
      <c r="F1743" s="0" t="n">
        <v>131.95292849443</v>
      </c>
      <c r="G1743" s="0" t="n">
        <v>110.508266122869</v>
      </c>
      <c r="H1743" s="0" t="n">
        <v>112.894177645559</v>
      </c>
      <c r="I1743" s="0" t="n">
        <v>2.38591152269014</v>
      </c>
    </row>
    <row r="1744" customFormat="false" ht="13.8" hidden="false" customHeight="false" outlineLevel="0" collapsed="false">
      <c r="A1744" s="2" t="n">
        <v>41901</v>
      </c>
      <c r="B1744" s="0" t="n">
        <v>2010.4</v>
      </c>
      <c r="C1744" s="0" t="n">
        <v>262.31</v>
      </c>
      <c r="D1744" s="3" t="n">
        <f aca="false">B1744*100/B$2</f>
        <v>138.92036816938</v>
      </c>
      <c r="E1744" s="3" t="n">
        <f aca="false">C1744*100/C$2</f>
        <v>111.478963025924</v>
      </c>
      <c r="F1744" s="0" t="n">
        <v>133.474529423146</v>
      </c>
      <c r="G1744" s="0" t="n">
        <v>111.016542022356</v>
      </c>
      <c r="H1744" s="0" t="n">
        <v>111.355716107097</v>
      </c>
      <c r="I1744" s="0" t="n">
        <v>0.339174084741074</v>
      </c>
    </row>
    <row r="1745" customFormat="false" ht="13.8" hidden="false" customHeight="false" outlineLevel="0" collapsed="false">
      <c r="A1745" s="2" t="n">
        <v>41904</v>
      </c>
      <c r="B1745" s="0" t="n">
        <v>1994.29</v>
      </c>
      <c r="C1745" s="0" t="n">
        <v>260.15</v>
      </c>
      <c r="D1745" s="3" t="n">
        <f aca="false">B1745*100/B$2</f>
        <v>137.807153320987</v>
      </c>
      <c r="E1745" s="3" t="n">
        <f aca="false">C1745*100/C$2</f>
        <v>110.560985975351</v>
      </c>
      <c r="F1745" s="0" t="n">
        <v>133.842837004892</v>
      </c>
      <c r="G1745" s="0" t="n">
        <v>111.139571565693</v>
      </c>
      <c r="H1745" s="0" t="n">
        <v>111.908202294943</v>
      </c>
      <c r="I1745" s="0" t="n">
        <v>0.768630729249935</v>
      </c>
    </row>
    <row r="1746" customFormat="false" ht="13.8" hidden="false" customHeight="false" outlineLevel="0" collapsed="false">
      <c r="A1746" s="2" t="n">
        <v>41905</v>
      </c>
      <c r="B1746" s="0" t="n">
        <v>1982.77</v>
      </c>
      <c r="C1746" s="0" t="n">
        <v>258.49</v>
      </c>
      <c r="D1746" s="3" t="n">
        <f aca="false">B1746*100/B$2</f>
        <v>137.011111418226</v>
      </c>
      <c r="E1746" s="3" t="n">
        <f aca="false">C1746*100/C$2</f>
        <v>109.85550361241</v>
      </c>
      <c r="F1746" s="0" t="n">
        <v>133.623787279914</v>
      </c>
      <c r="G1746" s="0" t="n">
        <v>111.066400148737</v>
      </c>
      <c r="H1746" s="0" t="n">
        <v>111.916702082448</v>
      </c>
      <c r="I1746" s="0" t="n">
        <v>0.850301933711421</v>
      </c>
    </row>
    <row r="1747" customFormat="false" ht="13.8" hidden="false" customHeight="false" outlineLevel="0" collapsed="false">
      <c r="A1747" s="2" t="n">
        <v>41906</v>
      </c>
      <c r="B1747" s="0" t="n">
        <v>1998.3</v>
      </c>
      <c r="C1747" s="0" t="n">
        <v>258.88</v>
      </c>
      <c r="D1747" s="3" t="n">
        <f aca="false">B1747*100/B$2</f>
        <v>138.084247768042</v>
      </c>
      <c r="E1747" s="3" t="n">
        <f aca="false">C1747*100/C$2</f>
        <v>110.021249468763</v>
      </c>
      <c r="F1747" s="0" t="n">
        <v>134.520025429116</v>
      </c>
      <c r="G1747" s="0" t="n">
        <v>111.365779731677</v>
      </c>
      <c r="H1747" s="0" t="n">
        <v>113.008924776881</v>
      </c>
      <c r="I1747" s="0" t="n">
        <v>1.64314504520344</v>
      </c>
    </row>
    <row r="1748" customFormat="false" ht="13.8" hidden="false" customHeight="false" outlineLevel="0" collapsed="false">
      <c r="A1748" s="2" t="n">
        <v>41907</v>
      </c>
      <c r="B1748" s="0" t="n">
        <v>1965.99</v>
      </c>
      <c r="C1748" s="0" t="n">
        <v>258.46</v>
      </c>
      <c r="D1748" s="3" t="n">
        <f aca="false">B1748*100/B$2</f>
        <v>135.851598993891</v>
      </c>
      <c r="E1748" s="3" t="n">
        <f aca="false">C1748*100/C$2</f>
        <v>109.842753931152</v>
      </c>
      <c r="F1748" s="0" t="n">
        <v>135.104618701457</v>
      </c>
      <c r="G1748" s="0" t="n">
        <v>111.561057393333</v>
      </c>
      <c r="H1748" s="0" t="n">
        <v>112.996175095623</v>
      </c>
      <c r="I1748" s="0" t="n">
        <v>1.43511770228949</v>
      </c>
    </row>
    <row r="1749" customFormat="false" ht="13.8" hidden="false" customHeight="false" outlineLevel="0" collapsed="false">
      <c r="A1749" s="2" t="n">
        <v>41908</v>
      </c>
      <c r="B1749" s="0" t="n">
        <v>1982.85</v>
      </c>
      <c r="C1749" s="0" t="n">
        <v>258.33</v>
      </c>
      <c r="D1749" s="3" t="n">
        <f aca="false">B1749*100/B$2</f>
        <v>137.016639486995</v>
      </c>
      <c r="E1749" s="3" t="n">
        <f aca="false">C1749*100/C$2</f>
        <v>109.787505312367</v>
      </c>
      <c r="F1749" s="0" t="n">
        <v>135.096326598303</v>
      </c>
      <c r="G1749" s="0" t="n">
        <v>111.558287497423</v>
      </c>
      <c r="H1749" s="0" t="n">
        <v>112.996175095623</v>
      </c>
      <c r="I1749" s="0" t="n">
        <v>1.43788759819951</v>
      </c>
    </row>
    <row r="1750" customFormat="false" ht="13.8" hidden="false" customHeight="false" outlineLevel="0" collapsed="false">
      <c r="A1750" s="2" t="n">
        <v>41911</v>
      </c>
      <c r="B1750" s="0" t="n">
        <v>1977.8</v>
      </c>
      <c r="C1750" s="0" t="n">
        <v>257.95</v>
      </c>
      <c r="D1750" s="3" t="n">
        <f aca="false">B1750*100/B$2</f>
        <v>136.667680145941</v>
      </c>
      <c r="E1750" s="3" t="n">
        <f aca="false">C1750*100/C$2</f>
        <v>109.626009349766</v>
      </c>
      <c r="F1750" s="0" t="n">
        <v>136.248928936676</v>
      </c>
      <c r="G1750" s="0" t="n">
        <v>111.943303028915</v>
      </c>
      <c r="H1750" s="0" t="n">
        <v>112.299192520187</v>
      </c>
      <c r="I1750" s="0" t="n">
        <v>0.355889491271981</v>
      </c>
    </row>
    <row r="1751" customFormat="false" ht="13.8" hidden="false" customHeight="false" outlineLevel="0" collapsed="false">
      <c r="A1751" s="2" t="n">
        <v>41912</v>
      </c>
      <c r="B1751" s="0" t="n">
        <v>1972.29</v>
      </c>
      <c r="C1751" s="0" t="n">
        <v>256.77</v>
      </c>
      <c r="D1751" s="3" t="n">
        <f aca="false">B1751*100/B$2</f>
        <v>136.286934409464</v>
      </c>
      <c r="E1751" s="3" t="n">
        <f aca="false">C1751*100/C$2</f>
        <v>109.124521886953</v>
      </c>
      <c r="F1751" s="0" t="n">
        <v>136.930263412477</v>
      </c>
      <c r="G1751" s="0" t="n">
        <v>112.170896142854</v>
      </c>
      <c r="H1751" s="0" t="n">
        <v>113.310667233319</v>
      </c>
      <c r="I1751" s="0" t="n">
        <v>1.13977109046469</v>
      </c>
    </row>
    <row r="1752" customFormat="false" ht="13.8" hidden="false" customHeight="false" outlineLevel="0" collapsed="false">
      <c r="A1752" s="2" t="n">
        <v>41913</v>
      </c>
      <c r="B1752" s="0" t="n">
        <v>1946.16</v>
      </c>
      <c r="C1752" s="0" t="n">
        <v>252.81</v>
      </c>
      <c r="D1752" s="3" t="n">
        <f aca="false">B1752*100/B$2</f>
        <v>134.481328947732</v>
      </c>
      <c r="E1752" s="3" t="n">
        <f aca="false">C1752*100/C$2</f>
        <v>107.441563960901</v>
      </c>
      <c r="F1752" s="0" t="n">
        <v>137.269548633185</v>
      </c>
      <c r="G1752" s="0" t="n">
        <v>112.284231050506</v>
      </c>
      <c r="H1752" s="0" t="n">
        <v>113.382915427114</v>
      </c>
      <c r="I1752" s="0" t="n">
        <v>1.09868437660846</v>
      </c>
    </row>
    <row r="1753" customFormat="false" ht="13.8" hidden="false" customHeight="false" outlineLevel="0" collapsed="false">
      <c r="A1753" s="2" t="n">
        <v>41914</v>
      </c>
      <c r="B1753" s="0" t="n">
        <v>1946.17</v>
      </c>
      <c r="C1753" s="0" t="n">
        <v>250.06</v>
      </c>
      <c r="D1753" s="3" t="n">
        <f aca="false">B1753*100/B$2</f>
        <v>134.482019956328</v>
      </c>
      <c r="E1753" s="3" t="n">
        <f aca="false">C1753*100/C$2</f>
        <v>106.272843178921</v>
      </c>
      <c r="F1753" s="0" t="n">
        <v>137.674479670527</v>
      </c>
      <c r="G1753" s="0" t="n">
        <v>112.419494300778</v>
      </c>
      <c r="H1753" s="0" t="n">
        <v>111.572460688483</v>
      </c>
      <c r="I1753" s="0" t="n">
        <v>-0.847033612295448</v>
      </c>
    </row>
    <row r="1754" customFormat="false" ht="13.8" hidden="false" customHeight="false" outlineLevel="0" collapsed="false">
      <c r="A1754" s="2" t="n">
        <v>41915</v>
      </c>
      <c r="B1754" s="0" t="n">
        <v>1967.9</v>
      </c>
      <c r="C1754" s="0" t="n">
        <v>250.06</v>
      </c>
      <c r="D1754" s="3" t="n">
        <f aca="false">B1754*100/B$2</f>
        <v>135.983581635756</v>
      </c>
      <c r="E1754" s="3" t="n">
        <f aca="false">C1754*100/C$2</f>
        <v>106.272843178921</v>
      </c>
      <c r="F1754" s="0" t="n">
        <v>137.400149257857</v>
      </c>
      <c r="G1754" s="0" t="n">
        <v>112.327856911089</v>
      </c>
      <c r="H1754" s="0" t="n">
        <v>112.307692307692</v>
      </c>
      <c r="I1754" s="0" t="n">
        <v>-0.0201646033962817</v>
      </c>
    </row>
    <row r="1755" customFormat="false" ht="13.8" hidden="false" customHeight="false" outlineLevel="0" collapsed="false">
      <c r="A1755" s="2" t="n">
        <v>41918</v>
      </c>
      <c r="B1755" s="0" t="n">
        <v>1964.82</v>
      </c>
      <c r="C1755" s="0" t="n">
        <v>249.19</v>
      </c>
      <c r="D1755" s="3" t="n">
        <f aca="false">B1755*100/B$2</f>
        <v>135.770750988142</v>
      </c>
      <c r="E1755" s="3" t="n">
        <f aca="false">C1755*100/C$2</f>
        <v>105.903102422439</v>
      </c>
      <c r="F1755" s="0" t="n">
        <v>138.057989441389</v>
      </c>
      <c r="G1755" s="0" t="n">
        <v>112.547601986616</v>
      </c>
      <c r="H1755" s="0" t="n">
        <v>112.392690182745</v>
      </c>
      <c r="I1755" s="0" t="n">
        <v>-0.154911803870931</v>
      </c>
    </row>
    <row r="1756" customFormat="false" ht="13.8" hidden="false" customHeight="false" outlineLevel="0" collapsed="false">
      <c r="A1756" s="2" t="n">
        <v>41919</v>
      </c>
      <c r="B1756" s="0" t="n">
        <v>1935.1</v>
      </c>
      <c r="C1756" s="0" t="n">
        <v>249.93</v>
      </c>
      <c r="D1756" s="3" t="n">
        <f aca="false">B1756*100/B$2</f>
        <v>133.717073440394</v>
      </c>
      <c r="E1756" s="3" t="n">
        <f aca="false">C1756*100/C$2</f>
        <v>106.217594560136</v>
      </c>
      <c r="F1756" s="0" t="n">
        <v>138.20310124658</v>
      </c>
      <c r="G1756" s="0" t="n">
        <v>112.596075165042</v>
      </c>
      <c r="H1756" s="0" t="n">
        <v>112.681682957926</v>
      </c>
      <c r="I1756" s="0" t="n">
        <v>0.0856077928844599</v>
      </c>
    </row>
    <row r="1757" customFormat="false" ht="13.8" hidden="false" customHeight="false" outlineLevel="0" collapsed="false">
      <c r="A1757" s="2" t="n">
        <v>41920</v>
      </c>
      <c r="B1757" s="0" t="n">
        <v>1968.89</v>
      </c>
      <c r="C1757" s="0" t="n">
        <v>248.36</v>
      </c>
      <c r="D1757" s="3" t="n">
        <f aca="false">B1757*100/B$2</f>
        <v>136.051991486774</v>
      </c>
      <c r="E1757" s="3" t="n">
        <f aca="false">C1757*100/C$2</f>
        <v>105.550361240969</v>
      </c>
      <c r="F1757" s="0" t="n">
        <v>138.210011332541</v>
      </c>
      <c r="G1757" s="0" t="n">
        <v>112.598383411633</v>
      </c>
      <c r="H1757" s="0" t="n">
        <v>112.996175095623</v>
      </c>
      <c r="I1757" s="0" t="n">
        <v>0.39779168398934</v>
      </c>
    </row>
    <row r="1758" customFormat="false" ht="13.8" hidden="false" customHeight="false" outlineLevel="0" collapsed="false">
      <c r="A1758" s="2" t="n">
        <v>41921</v>
      </c>
      <c r="B1758" s="0" t="n">
        <v>1928.21</v>
      </c>
      <c r="C1758" s="0" t="n">
        <v>248.36</v>
      </c>
      <c r="D1758" s="3" t="n">
        <f aca="false">B1758*100/B$2</f>
        <v>133.240968517648</v>
      </c>
      <c r="E1758" s="3" t="n">
        <f aca="false">C1758*100/C$2</f>
        <v>105.550361240969</v>
      </c>
      <c r="F1758" s="0" t="n">
        <v>137.976450427043</v>
      </c>
      <c r="G1758" s="0" t="n">
        <v>112.520364676835</v>
      </c>
      <c r="H1758" s="0" t="n">
        <v>113.127921801955</v>
      </c>
      <c r="I1758" s="0" t="n">
        <v>0.607557125120394</v>
      </c>
    </row>
    <row r="1759" customFormat="false" ht="13.8" hidden="false" customHeight="false" outlineLevel="0" collapsed="false">
      <c r="A1759" s="2" t="n">
        <v>41922</v>
      </c>
      <c r="B1759" s="0" t="n">
        <v>1906.13</v>
      </c>
      <c r="C1759" s="0" t="n">
        <v>245.06</v>
      </c>
      <c r="D1759" s="3" t="n">
        <f aca="false">B1759*100/B$2</f>
        <v>131.715221537356</v>
      </c>
      <c r="E1759" s="3" t="n">
        <f aca="false">C1759*100/C$2</f>
        <v>104.147896302592</v>
      </c>
      <c r="F1759" s="0" t="n">
        <v>138.434589126289</v>
      </c>
      <c r="G1759" s="0" t="n">
        <v>112.673401425863</v>
      </c>
      <c r="H1759" s="0" t="n">
        <v>112.796430089248</v>
      </c>
      <c r="I1759" s="0" t="n">
        <v>0.123028663384972</v>
      </c>
    </row>
    <row r="1760" customFormat="false" ht="13.8" hidden="false" customHeight="false" outlineLevel="0" collapsed="false">
      <c r="A1760" s="2" t="n">
        <v>41925</v>
      </c>
      <c r="B1760" s="0" t="n">
        <v>1874.74</v>
      </c>
      <c r="C1760" s="0" t="n">
        <v>244.18</v>
      </c>
      <c r="D1760" s="3" t="n">
        <f aca="false">B1760*100/B$2</f>
        <v>129.546145554051</v>
      </c>
      <c r="E1760" s="3" t="n">
        <f aca="false">C1760*100/C$2</f>
        <v>103.773905652359</v>
      </c>
      <c r="F1760" s="0" t="n">
        <v>138.434589126289</v>
      </c>
      <c r="G1760" s="0" t="n">
        <v>112.673401425863</v>
      </c>
      <c r="H1760" s="0" t="n">
        <v>112.736931576711</v>
      </c>
      <c r="I1760" s="0" t="n">
        <v>0.0635301508477681</v>
      </c>
    </row>
    <row r="1761" customFormat="false" ht="13.8" hidden="false" customHeight="false" outlineLevel="0" collapsed="false">
      <c r="A1761" s="2" t="n">
        <v>41926</v>
      </c>
      <c r="B1761" s="0" t="n">
        <v>1877.7</v>
      </c>
      <c r="C1761" s="0" t="n">
        <v>244.47</v>
      </c>
      <c r="D1761" s="3" t="n">
        <f aca="false">B1761*100/B$2</f>
        <v>129.75068409851</v>
      </c>
      <c r="E1761" s="3" t="n">
        <f aca="false">C1761*100/C$2</f>
        <v>103.897152571186</v>
      </c>
      <c r="F1761" s="0" t="n">
        <v>138.359269189309</v>
      </c>
      <c r="G1761" s="0" t="n">
        <v>112.648241538014</v>
      </c>
      <c r="H1761" s="0" t="n">
        <v>111.606459838504</v>
      </c>
      <c r="I1761" s="0" t="n">
        <v>-1.04178169950947</v>
      </c>
    </row>
    <row r="1762" customFormat="false" ht="13.8" hidden="false" customHeight="false" outlineLevel="0" collapsed="false">
      <c r="A1762" s="2" t="n">
        <v>41927</v>
      </c>
      <c r="B1762" s="0" t="n">
        <v>1862.49</v>
      </c>
      <c r="C1762" s="0" t="n">
        <v>243.87</v>
      </c>
      <c r="D1762" s="3" t="n">
        <f aca="false">B1762*100/B$2</f>
        <v>128.699660023771</v>
      </c>
      <c r="E1762" s="3" t="n">
        <f aca="false">C1762*100/C$2</f>
        <v>103.642158946026</v>
      </c>
      <c r="F1762" s="0" t="n">
        <v>138.25147184831</v>
      </c>
      <c r="G1762" s="0" t="n">
        <v>112.612232891183</v>
      </c>
      <c r="H1762" s="0" t="n">
        <v>111.461963450914</v>
      </c>
      <c r="I1762" s="0" t="n">
        <v>-1.15026944026961</v>
      </c>
    </row>
    <row r="1763" customFormat="false" ht="13.8" hidden="false" customHeight="false" outlineLevel="0" collapsed="false">
      <c r="A1763" s="2" t="n">
        <v>41928</v>
      </c>
      <c r="B1763" s="0" t="n">
        <v>1862.76</v>
      </c>
      <c r="C1763" s="0" t="n">
        <v>242.79</v>
      </c>
      <c r="D1763" s="3" t="n">
        <f aca="false">B1763*100/B$2</f>
        <v>128.718317255867</v>
      </c>
      <c r="E1763" s="3" t="n">
        <f aca="false">C1763*100/C$2</f>
        <v>103.183170420739</v>
      </c>
      <c r="F1763" s="0" t="n">
        <v>138.039332209293</v>
      </c>
      <c r="G1763" s="0" t="n">
        <v>112.541369720819</v>
      </c>
      <c r="H1763" s="0" t="n">
        <v>111.852953676158</v>
      </c>
      <c r="I1763" s="0" t="n">
        <v>-0.688416044660713</v>
      </c>
    </row>
    <row r="1764" customFormat="false" ht="13.8" hidden="false" customHeight="false" outlineLevel="0" collapsed="false">
      <c r="A1764" s="2" t="n">
        <v>41929</v>
      </c>
      <c r="B1764" s="0" t="n">
        <v>1886.76</v>
      </c>
      <c r="C1764" s="0" t="n">
        <v>239.84</v>
      </c>
      <c r="D1764" s="3" t="n">
        <f aca="false">B1764*100/B$2</f>
        <v>130.376737886619</v>
      </c>
      <c r="E1764" s="3" t="n">
        <f aca="false">C1764*100/C$2</f>
        <v>101.929451763706</v>
      </c>
      <c r="F1764" s="0" t="n">
        <v>138.734486857016</v>
      </c>
      <c r="G1764" s="0" t="n">
        <v>112.773579327942</v>
      </c>
      <c r="H1764" s="0" t="n">
        <v>111.385465363366</v>
      </c>
      <c r="I1764" s="0" t="n">
        <v>-1.38811396457574</v>
      </c>
    </row>
    <row r="1765" customFormat="false" ht="13.8" hidden="false" customHeight="false" outlineLevel="0" collapsed="false">
      <c r="A1765" s="2" t="n">
        <v>41932</v>
      </c>
      <c r="B1765" s="0" t="n">
        <v>1904.01</v>
      </c>
      <c r="C1765" s="0" t="n">
        <v>243.9</v>
      </c>
      <c r="D1765" s="3" t="n">
        <f aca="false">B1765*100/B$2</f>
        <v>131.568727714973</v>
      </c>
      <c r="E1765" s="3" t="n">
        <f aca="false">C1765*100/C$2</f>
        <v>103.654908627284</v>
      </c>
      <c r="F1765" s="0" t="n">
        <v>138.308134553194</v>
      </c>
      <c r="G1765" s="0" t="n">
        <v>112.631160513235</v>
      </c>
      <c r="H1765" s="0" t="n">
        <v>111.385465363366</v>
      </c>
      <c r="I1765" s="0" t="n">
        <v>-1.24569514986921</v>
      </c>
    </row>
    <row r="1766" customFormat="false" ht="13.8" hidden="false" customHeight="false" outlineLevel="0" collapsed="false">
      <c r="A1766" s="2" t="n">
        <v>41933</v>
      </c>
      <c r="B1766" s="0" t="n">
        <v>1941.28</v>
      </c>
      <c r="C1766" s="0" t="n">
        <v>241.48</v>
      </c>
      <c r="D1766" s="3" t="n">
        <f aca="false">B1766*100/B$2</f>
        <v>134.144116752812</v>
      </c>
      <c r="E1766" s="3" t="n">
        <f aca="false">C1766*100/C$2</f>
        <v>102.626434339142</v>
      </c>
      <c r="F1766" s="0" t="n">
        <v>137.402913292241</v>
      </c>
      <c r="G1766" s="0" t="n">
        <v>112.328780209725</v>
      </c>
      <c r="H1766" s="0" t="n">
        <v>111.385465363366</v>
      </c>
      <c r="I1766" s="0" t="n">
        <v>-0.943314846359371</v>
      </c>
    </row>
    <row r="1767" customFormat="false" ht="13.8" hidden="false" customHeight="false" outlineLevel="0" collapsed="false">
      <c r="A1767" s="2" t="n">
        <v>41934</v>
      </c>
      <c r="B1767" s="0" t="n">
        <v>1927.11</v>
      </c>
      <c r="C1767" s="0" t="n">
        <v>244.12</v>
      </c>
      <c r="D1767" s="3" t="n">
        <f aca="false">B1767*100/B$2</f>
        <v>133.164957572072</v>
      </c>
      <c r="E1767" s="3" t="n">
        <f aca="false">C1767*100/C$2</f>
        <v>103.748406289843</v>
      </c>
      <c r="F1767" s="0" t="n">
        <v>137.903894524448</v>
      </c>
      <c r="G1767" s="0" t="n">
        <v>112.496128087622</v>
      </c>
      <c r="H1767" s="0" t="n">
        <v>111.385465363366</v>
      </c>
      <c r="I1767" s="0" t="n">
        <v>-1.11066272425602</v>
      </c>
    </row>
    <row r="1768" customFormat="false" ht="13.8" hidden="false" customHeight="false" outlineLevel="0" collapsed="false">
      <c r="A1768" s="2" t="n">
        <v>41935</v>
      </c>
      <c r="B1768" s="0" t="n">
        <v>1950.82</v>
      </c>
      <c r="C1768" s="0" t="n">
        <v>243.38</v>
      </c>
      <c r="D1768" s="3" t="n">
        <f aca="false">B1768*100/B$2</f>
        <v>134.803338953537</v>
      </c>
      <c r="E1768" s="3" t="n">
        <f aca="false">C1768*100/C$2</f>
        <v>103.433914152146</v>
      </c>
      <c r="F1768" s="0" t="n">
        <v>138.02551203737</v>
      </c>
      <c r="G1768" s="0" t="n">
        <v>112.536753227635</v>
      </c>
      <c r="H1768" s="0" t="n">
        <v>110.412239694008</v>
      </c>
      <c r="I1768" s="0" t="n">
        <v>-2.12451353362782</v>
      </c>
    </row>
    <row r="1769" customFormat="false" ht="13.8" hidden="false" customHeight="false" outlineLevel="0" collapsed="false">
      <c r="A1769" s="2" t="n">
        <v>41936</v>
      </c>
      <c r="B1769" s="0" t="n">
        <v>1964.58</v>
      </c>
      <c r="C1769" s="0" t="n">
        <v>242.91</v>
      </c>
      <c r="D1769" s="3" t="n">
        <f aca="false">B1769*100/B$2</f>
        <v>135.754166781835</v>
      </c>
      <c r="E1769" s="3" t="n">
        <f aca="false">C1769*100/C$2</f>
        <v>103.234169145771</v>
      </c>
      <c r="F1769" s="0" t="n">
        <v>137.202520799359</v>
      </c>
      <c r="G1769" s="0" t="n">
        <v>112.261841058567</v>
      </c>
      <c r="H1769" s="0" t="n">
        <v>111.08797280068</v>
      </c>
      <c r="I1769" s="0" t="n">
        <v>-1.17386825788661</v>
      </c>
    </row>
    <row r="1770" customFormat="false" ht="13.8" hidden="false" customHeight="false" outlineLevel="0" collapsed="false">
      <c r="A1770" s="2" t="n">
        <v>41939</v>
      </c>
      <c r="B1770" s="0" t="n">
        <v>1961.63</v>
      </c>
      <c r="C1770" s="0" t="n">
        <v>243.89</v>
      </c>
      <c r="D1770" s="3" t="n">
        <f aca="false">B1770*100/B$2</f>
        <v>135.550319245971</v>
      </c>
      <c r="E1770" s="3" t="n">
        <f aca="false">C1770*100/C$2</f>
        <v>103.650658733532</v>
      </c>
      <c r="F1770" s="0" t="n">
        <v>137.105088587302</v>
      </c>
      <c r="G1770" s="0" t="n">
        <v>112.229294781624</v>
      </c>
      <c r="H1770" s="0" t="n">
        <v>110.73523161921</v>
      </c>
      <c r="I1770" s="0" t="n">
        <v>-1.49406316241442</v>
      </c>
    </row>
    <row r="1771" customFormat="false" ht="13.8" hidden="false" customHeight="false" outlineLevel="0" collapsed="false">
      <c r="A1771" s="2" t="n">
        <v>41940</v>
      </c>
      <c r="B1771" s="0" t="n">
        <v>1985.05</v>
      </c>
      <c r="C1771" s="0" t="n">
        <v>243.3</v>
      </c>
      <c r="D1771" s="3" t="n">
        <f aca="false">B1771*100/B$2</f>
        <v>137.168661378148</v>
      </c>
      <c r="E1771" s="3" t="n">
        <f aca="false">C1771*100/C$2</f>
        <v>103.399915002125</v>
      </c>
      <c r="F1771" s="0" t="n">
        <v>138.13123635258</v>
      </c>
      <c r="G1771" s="0" t="n">
        <v>112.572069400488</v>
      </c>
      <c r="H1771" s="0" t="n">
        <v>111.113472163196</v>
      </c>
      <c r="I1771" s="0" t="n">
        <v>-1.45859723729222</v>
      </c>
    </row>
    <row r="1772" customFormat="false" ht="13.8" hidden="false" customHeight="false" outlineLevel="0" collapsed="false">
      <c r="A1772" s="2" t="n">
        <v>41941</v>
      </c>
      <c r="B1772" s="0" t="n">
        <v>1982.3</v>
      </c>
      <c r="C1772" s="0" t="n">
        <v>248.64</v>
      </c>
      <c r="D1772" s="3" t="n">
        <f aca="false">B1772*100/B$2</f>
        <v>136.978634014207</v>
      </c>
      <c r="E1772" s="3" t="n">
        <f aca="false">C1772*100/C$2</f>
        <v>105.669358266043</v>
      </c>
      <c r="F1772" s="0" t="n">
        <v>138.310207578982</v>
      </c>
      <c r="G1772" s="0" t="n">
        <v>112.631852987213</v>
      </c>
      <c r="H1772" s="0" t="n">
        <v>112.201444963876</v>
      </c>
      <c r="I1772" s="0" t="n">
        <v>-0.430408023336696</v>
      </c>
    </row>
    <row r="1773" customFormat="false" ht="13.8" hidden="false" customHeight="false" outlineLevel="0" collapsed="false">
      <c r="A1773" s="2" t="n">
        <v>41942</v>
      </c>
      <c r="B1773" s="0" t="n">
        <v>1994.65</v>
      </c>
      <c r="C1773" s="0" t="n">
        <v>248.84</v>
      </c>
      <c r="D1773" s="3" t="n">
        <f aca="false">B1773*100/B$2</f>
        <v>137.832029630449</v>
      </c>
      <c r="E1773" s="3" t="n">
        <f aca="false">C1773*100/C$2</f>
        <v>105.754356141096</v>
      </c>
      <c r="F1773" s="0" t="n">
        <v>138.98670499461</v>
      </c>
      <c r="G1773" s="0" t="n">
        <v>112.857830328538</v>
      </c>
      <c r="H1773" s="0" t="n">
        <v>111.228219294518</v>
      </c>
      <c r="I1773" s="0" t="n">
        <v>-1.62961103402024</v>
      </c>
    </row>
    <row r="1774" customFormat="false" ht="13.8" hidden="false" customHeight="false" outlineLevel="0" collapsed="false">
      <c r="A1774" s="2" t="n">
        <v>41943</v>
      </c>
      <c r="B1774" s="0" t="n">
        <v>2018.05</v>
      </c>
      <c r="C1774" s="0" t="n">
        <v>250.45</v>
      </c>
      <c r="D1774" s="3" t="n">
        <f aca="false">B1774*100/B$2</f>
        <v>139.448989745432</v>
      </c>
      <c r="E1774" s="3" t="n">
        <f aca="false">C1774*100/C$2</f>
        <v>106.438589035274</v>
      </c>
      <c r="F1774" s="0" t="n">
        <v>138.92036816938</v>
      </c>
      <c r="G1774" s="0" t="n">
        <v>112.835671161258</v>
      </c>
      <c r="H1774" s="0" t="n">
        <v>111.478963025924</v>
      </c>
      <c r="I1774" s="0" t="n">
        <v>-1.35670813533343</v>
      </c>
    </row>
    <row r="1775" customFormat="false" ht="13.8" hidden="false" customHeight="false" outlineLevel="0" collapsed="false">
      <c r="A1775" s="2" t="n">
        <v>41946</v>
      </c>
      <c r="B1775" s="0" t="n">
        <v>2017.81</v>
      </c>
      <c r="C1775" s="0" t="n">
        <v>248.69</v>
      </c>
      <c r="D1775" s="3" t="n">
        <f aca="false">B1775*100/B$2</f>
        <v>139.432405539125</v>
      </c>
      <c r="E1775" s="3" t="n">
        <f aca="false">C1775*100/C$2</f>
        <v>105.690607734807</v>
      </c>
      <c r="F1775" s="0" t="n">
        <v>137.807153320987</v>
      </c>
      <c r="G1775" s="0" t="n">
        <v>112.463812635338</v>
      </c>
      <c r="H1775" s="0" t="n">
        <v>110.560985975351</v>
      </c>
      <c r="I1775" s="0" t="n">
        <v>-1.90282665998784</v>
      </c>
    </row>
    <row r="1776" customFormat="false" ht="13.8" hidden="false" customHeight="false" outlineLevel="0" collapsed="false">
      <c r="A1776" s="2" t="n">
        <v>41947</v>
      </c>
      <c r="B1776" s="0" t="n">
        <v>2012.1</v>
      </c>
      <c r="C1776" s="0" t="n">
        <v>246.51</v>
      </c>
      <c r="D1776" s="3" t="n">
        <f aca="false">B1776*100/B$2</f>
        <v>139.037839630725</v>
      </c>
      <c r="E1776" s="3" t="n">
        <f aca="false">C1776*100/C$2</f>
        <v>104.764130896728</v>
      </c>
      <c r="F1776" s="0" t="n">
        <v>137.011111418226</v>
      </c>
      <c r="G1776" s="0" t="n">
        <v>112.197902627977</v>
      </c>
      <c r="H1776" s="0" t="n">
        <v>109.85550361241</v>
      </c>
      <c r="I1776" s="0" t="n">
        <v>-2.34239901556741</v>
      </c>
    </row>
    <row r="1777" customFormat="false" ht="13.8" hidden="false" customHeight="false" outlineLevel="0" collapsed="false">
      <c r="A1777" s="2" t="n">
        <v>41948</v>
      </c>
      <c r="B1777" s="0" t="n">
        <v>2023.57</v>
      </c>
      <c r="C1777" s="0" t="n">
        <v>245.86</v>
      </c>
      <c r="D1777" s="3" t="n">
        <f aca="false">B1777*100/B$2</f>
        <v>139.830426490506</v>
      </c>
      <c r="E1777" s="3" t="n">
        <f aca="false">C1777*100/C$2</f>
        <v>104.487887802805</v>
      </c>
      <c r="F1777" s="0" t="n">
        <v>138.084247768042</v>
      </c>
      <c r="G1777" s="0" t="n">
        <v>112.556373323665</v>
      </c>
      <c r="H1777" s="0" t="n">
        <v>110.021249468763</v>
      </c>
      <c r="I1777" s="0" t="n">
        <v>-2.53512385490144</v>
      </c>
    </row>
    <row r="1778" customFormat="false" ht="13.8" hidden="false" customHeight="false" outlineLevel="0" collapsed="false">
      <c r="A1778" s="2" t="n">
        <v>41949</v>
      </c>
      <c r="B1778" s="0" t="n">
        <v>2031.21</v>
      </c>
      <c r="C1778" s="0" t="n">
        <v>247.19</v>
      </c>
      <c r="D1778" s="3" t="n">
        <f aca="false">B1778*100/B$2</f>
        <v>140.358357057962</v>
      </c>
      <c r="E1778" s="3" t="n">
        <f aca="false">C1778*100/C$2</f>
        <v>105.053123671908</v>
      </c>
      <c r="F1778" s="0" t="n">
        <v>135.851598993891</v>
      </c>
      <c r="G1778" s="0" t="n">
        <v>111.810578849894</v>
      </c>
      <c r="H1778" s="0" t="n">
        <v>109.842753931152</v>
      </c>
      <c r="I1778" s="0" t="n">
        <v>-1.96782491874181</v>
      </c>
    </row>
    <row r="1779" customFormat="false" ht="13.8" hidden="false" customHeight="false" outlineLevel="0" collapsed="false">
      <c r="A1779" s="2" t="n">
        <v>41950</v>
      </c>
      <c r="B1779" s="0" t="n">
        <v>2031.92</v>
      </c>
      <c r="C1779" s="0" t="n">
        <v>247.39</v>
      </c>
      <c r="D1779" s="3" t="n">
        <f aca="false">B1779*100/B$2</f>
        <v>140.407418668288</v>
      </c>
      <c r="E1779" s="3" t="n">
        <f aca="false">C1779*100/C$2</f>
        <v>105.138121546961</v>
      </c>
      <c r="F1779" s="0" t="n">
        <v>137.016639486995</v>
      </c>
      <c r="G1779" s="0" t="n">
        <v>112.19974922525</v>
      </c>
      <c r="H1779" s="0" t="n">
        <v>109.787505312367</v>
      </c>
      <c r="I1779" s="0" t="n">
        <v>-2.41224391288327</v>
      </c>
    </row>
    <row r="1780" customFormat="false" ht="13.8" hidden="false" customHeight="false" outlineLevel="0" collapsed="false">
      <c r="A1780" s="2" t="n">
        <v>41953</v>
      </c>
      <c r="B1780" s="0" t="n">
        <v>2038.26</v>
      </c>
      <c r="C1780" s="0" t="n">
        <v>250.64</v>
      </c>
      <c r="D1780" s="3" t="n">
        <f aca="false">B1780*100/B$2</f>
        <v>140.845518118245</v>
      </c>
      <c r="E1780" s="3" t="n">
        <f aca="false">C1780*100/C$2</f>
        <v>106.519337016575</v>
      </c>
      <c r="F1780" s="0" t="n">
        <v>136.667680145941</v>
      </c>
      <c r="G1780" s="0" t="n">
        <v>112.083182772371</v>
      </c>
      <c r="H1780" s="0" t="n">
        <v>109.626009349766</v>
      </c>
      <c r="I1780" s="0" t="n">
        <v>-2.45717342260446</v>
      </c>
    </row>
    <row r="1781" customFormat="false" ht="13.8" hidden="false" customHeight="false" outlineLevel="0" collapsed="false">
      <c r="A1781" s="2" t="n">
        <v>41954</v>
      </c>
      <c r="B1781" s="0" t="n">
        <v>2039.68</v>
      </c>
      <c r="C1781" s="0" t="n">
        <v>250.45</v>
      </c>
      <c r="D1781" s="3" t="n">
        <f aca="false">B1781*100/B$2</f>
        <v>140.943641338898</v>
      </c>
      <c r="E1781" s="3" t="n">
        <f aca="false">C1781*100/C$2</f>
        <v>106.438589035274</v>
      </c>
      <c r="F1781" s="0" t="n">
        <v>136.286934409464</v>
      </c>
      <c r="G1781" s="0" t="n">
        <v>111.955998385169</v>
      </c>
      <c r="H1781" s="0" t="n">
        <v>109.124521886953</v>
      </c>
      <c r="I1781" s="0" t="n">
        <v>-2.83147649821642</v>
      </c>
    </row>
    <row r="1782" customFormat="false" ht="13.8" hidden="false" customHeight="false" outlineLevel="0" collapsed="false">
      <c r="A1782" s="2" t="n">
        <v>41955</v>
      </c>
      <c r="B1782" s="0" t="n">
        <v>2038.25</v>
      </c>
      <c r="C1782" s="0" t="n">
        <v>251.26</v>
      </c>
      <c r="D1782" s="3" t="n">
        <f aca="false">B1782*100/B$2</f>
        <v>140.844827109649</v>
      </c>
      <c r="E1782" s="3" t="n">
        <f aca="false">C1782*100/C$2</f>
        <v>106.782830429239</v>
      </c>
      <c r="F1782" s="0" t="n">
        <v>134.481328947732</v>
      </c>
      <c r="G1782" s="0" t="n">
        <v>111.352853550764</v>
      </c>
      <c r="H1782" s="0" t="n">
        <v>107.441563960901</v>
      </c>
      <c r="I1782" s="0" t="n">
        <v>-3.91128958986276</v>
      </c>
    </row>
    <row r="1783" customFormat="false" ht="13.8" hidden="false" customHeight="false" outlineLevel="0" collapsed="false">
      <c r="A1783" s="2" t="n">
        <v>41956</v>
      </c>
      <c r="B1783" s="0" t="n">
        <v>2039.33</v>
      </c>
      <c r="C1783" s="0" t="n">
        <v>250.11</v>
      </c>
      <c r="D1783" s="3" t="n">
        <f aca="false">B1783*100/B$2</f>
        <v>140.919456038033</v>
      </c>
      <c r="E1783" s="3" t="n">
        <f aca="false">C1783*100/C$2</f>
        <v>106.294092647684</v>
      </c>
      <c r="F1783" s="0" t="n">
        <v>134.482019956328</v>
      </c>
      <c r="G1783" s="0" t="n">
        <v>111.353084375423</v>
      </c>
      <c r="H1783" s="0" t="n">
        <v>106.272843178921</v>
      </c>
      <c r="I1783" s="0" t="n">
        <v>-5.0802411965024</v>
      </c>
    </row>
    <row r="1784" customFormat="false" ht="13.8" hidden="false" customHeight="false" outlineLevel="0" collapsed="false">
      <c r="A1784" s="2" t="n">
        <v>41957</v>
      </c>
      <c r="B1784" s="0" t="n">
        <v>2039.82</v>
      </c>
      <c r="C1784" s="0" t="n">
        <v>248.18</v>
      </c>
      <c r="D1784" s="3" t="n">
        <f aca="false">B1784*100/B$2</f>
        <v>140.953315459244</v>
      </c>
      <c r="E1784" s="3" t="n">
        <f aca="false">C1784*100/C$2</f>
        <v>105.473863153421</v>
      </c>
      <c r="F1784" s="0" t="n">
        <v>135.983581635756</v>
      </c>
      <c r="G1784" s="0" t="n">
        <v>111.854666359795</v>
      </c>
      <c r="H1784" s="0" t="n">
        <v>106.272843178921</v>
      </c>
      <c r="I1784" s="0" t="n">
        <v>-5.58182318087405</v>
      </c>
    </row>
    <row r="1785" customFormat="false" ht="13.8" hidden="false" customHeight="false" outlineLevel="0" collapsed="false">
      <c r="A1785" s="2" t="n">
        <v>41960</v>
      </c>
      <c r="B1785" s="0" t="n">
        <v>2041.32</v>
      </c>
      <c r="C1785" s="0" t="n">
        <v>248.3</v>
      </c>
      <c r="D1785" s="3" t="n">
        <f aca="false">B1785*100/B$2</f>
        <v>141.056966748666</v>
      </c>
      <c r="E1785" s="3" t="n">
        <f aca="false">C1785*100/C$2</f>
        <v>105.524861878453</v>
      </c>
      <c r="F1785" s="0" t="n">
        <v>135.770750988142</v>
      </c>
      <c r="G1785" s="0" t="n">
        <v>111.783572364771</v>
      </c>
      <c r="H1785" s="0" t="n">
        <v>105.903102422439</v>
      </c>
      <c r="I1785" s="0" t="n">
        <v>-5.88046994233146</v>
      </c>
    </row>
    <row r="1786" customFormat="false" ht="13.8" hidden="false" customHeight="false" outlineLevel="0" collapsed="false">
      <c r="A1786" s="2" t="n">
        <v>41961</v>
      </c>
      <c r="B1786" s="0" t="n">
        <v>2051.8</v>
      </c>
      <c r="C1786" s="0" t="n">
        <v>250.65</v>
      </c>
      <c r="D1786" s="3" t="n">
        <f aca="false">B1786*100/B$2</f>
        <v>141.781143757428</v>
      </c>
      <c r="E1786" s="3" t="n">
        <f aca="false">C1786*100/C$2</f>
        <v>106.523586910327</v>
      </c>
      <c r="F1786" s="0" t="n">
        <v>133.717073440394</v>
      </c>
      <c r="G1786" s="0" t="n">
        <v>111.097561477724</v>
      </c>
      <c r="H1786" s="0" t="n">
        <v>106.217594560136</v>
      </c>
      <c r="I1786" s="0" t="n">
        <v>-4.87996691758816</v>
      </c>
    </row>
    <row r="1787" customFormat="false" ht="13.8" hidden="false" customHeight="false" outlineLevel="0" collapsed="false">
      <c r="A1787" s="2" t="n">
        <v>41962</v>
      </c>
      <c r="B1787" s="0" t="n">
        <v>2048.72</v>
      </c>
      <c r="C1787" s="0" t="n">
        <v>250.33</v>
      </c>
      <c r="D1787" s="3" t="n">
        <f aca="false">B1787*100/B$2</f>
        <v>141.568313109815</v>
      </c>
      <c r="E1787" s="3" t="n">
        <f aca="false">C1787*100/C$2</f>
        <v>106.387590310242</v>
      </c>
      <c r="F1787" s="0" t="n">
        <v>136.051991486774</v>
      </c>
      <c r="G1787" s="0" t="n">
        <v>111.877518001052</v>
      </c>
      <c r="H1787" s="0" t="n">
        <v>105.550361240969</v>
      </c>
      <c r="I1787" s="0" t="n">
        <v>-6.32715676008321</v>
      </c>
    </row>
    <row r="1788" customFormat="false" ht="13.8" hidden="false" customHeight="false" outlineLevel="0" collapsed="false">
      <c r="A1788" s="2" t="n">
        <v>41963</v>
      </c>
      <c r="B1788" s="0" t="n">
        <v>2052.75</v>
      </c>
      <c r="C1788" s="0" t="n">
        <v>248.96</v>
      </c>
      <c r="D1788" s="3" t="n">
        <f aca="false">B1788*100/B$2</f>
        <v>141.846789574062</v>
      </c>
      <c r="E1788" s="3" t="n">
        <f aca="false">C1788*100/C$2</f>
        <v>105.805354866128</v>
      </c>
      <c r="F1788" s="0" t="n">
        <v>133.240968517648</v>
      </c>
      <c r="G1788" s="0" t="n">
        <v>110.938523287558</v>
      </c>
      <c r="H1788" s="0" t="n">
        <v>105.550361240969</v>
      </c>
      <c r="I1788" s="0" t="n">
        <v>-5.38816204658856</v>
      </c>
    </row>
    <row r="1789" customFormat="false" ht="13.8" hidden="false" customHeight="false" outlineLevel="0" collapsed="false">
      <c r="A1789" s="2" t="n">
        <v>41964</v>
      </c>
      <c r="B1789" s="0" t="n">
        <v>2063.5</v>
      </c>
      <c r="C1789" s="0" t="n">
        <v>249.9</v>
      </c>
      <c r="D1789" s="3" t="n">
        <f aca="false">B1789*100/B$2</f>
        <v>142.58962381492</v>
      </c>
      <c r="E1789" s="3" t="n">
        <f aca="false">C1789*100/C$2</f>
        <v>106.204844878878</v>
      </c>
      <c r="F1789" s="0" t="n">
        <v>131.715221537356</v>
      </c>
      <c r="G1789" s="0" t="n">
        <v>110.428862440115</v>
      </c>
      <c r="H1789" s="0" t="n">
        <v>104.147896302592</v>
      </c>
      <c r="I1789" s="0" t="n">
        <v>-6.28096613752257</v>
      </c>
    </row>
    <row r="1790" customFormat="false" ht="13.8" hidden="false" customHeight="false" outlineLevel="0" collapsed="false">
      <c r="A1790" s="2" t="n">
        <v>41967</v>
      </c>
      <c r="B1790" s="0" t="n">
        <v>2069.41</v>
      </c>
      <c r="C1790" s="0" t="n">
        <v>252.34</v>
      </c>
      <c r="D1790" s="3" t="n">
        <f aca="false">B1790*100/B$2</f>
        <v>142.998009895243</v>
      </c>
      <c r="E1790" s="3" t="n">
        <f aca="false">C1790*100/C$2</f>
        <v>107.241818954526</v>
      </c>
      <c r="F1790" s="0" t="n">
        <v>129.546145554051</v>
      </c>
      <c r="G1790" s="0" t="n">
        <v>109.704303834987</v>
      </c>
      <c r="H1790" s="0" t="n">
        <v>103.773905652359</v>
      </c>
      <c r="I1790" s="0" t="n">
        <v>-5.93039818262854</v>
      </c>
    </row>
    <row r="1791" customFormat="false" ht="13.8" hidden="false" customHeight="false" outlineLevel="0" collapsed="false">
      <c r="A1791" s="2" t="n">
        <v>41968</v>
      </c>
      <c r="B1791" s="0" t="n">
        <v>2067.03</v>
      </c>
      <c r="C1791" s="0" t="n">
        <v>251.72</v>
      </c>
      <c r="D1791" s="3" t="n">
        <f aca="false">B1791*100/B$2</f>
        <v>142.83354984936</v>
      </c>
      <c r="E1791" s="3" t="n">
        <f aca="false">C1791*100/C$2</f>
        <v>106.978325541861</v>
      </c>
      <c r="F1791" s="0" t="n">
        <v>129.75068409851</v>
      </c>
      <c r="G1791" s="0" t="n">
        <v>109.772627934101</v>
      </c>
      <c r="H1791" s="0" t="n">
        <v>103.897152571186</v>
      </c>
      <c r="I1791" s="0" t="n">
        <v>-5.8754753629152</v>
      </c>
    </row>
    <row r="1792" customFormat="false" ht="13.8" hidden="false" customHeight="false" outlineLevel="0" collapsed="false">
      <c r="A1792" s="2" t="n">
        <v>41969</v>
      </c>
      <c r="B1792" s="0" t="n">
        <v>2072.83</v>
      </c>
      <c r="C1792" s="0" t="n">
        <v>252</v>
      </c>
      <c r="D1792" s="3" t="n">
        <f aca="false">B1792*100/B$2</f>
        <v>143.234334835125</v>
      </c>
      <c r="E1792" s="3" t="n">
        <f aca="false">C1792*100/C$2</f>
        <v>107.097322566936</v>
      </c>
      <c r="F1792" s="0" t="n">
        <v>128.699660023771</v>
      </c>
      <c r="G1792" s="0" t="n">
        <v>109.421543627507</v>
      </c>
      <c r="H1792" s="0" t="n">
        <v>103.642158946026</v>
      </c>
      <c r="I1792" s="0" t="n">
        <v>-5.77938468148032</v>
      </c>
    </row>
    <row r="1793" customFormat="false" ht="13.8" hidden="false" customHeight="false" outlineLevel="0" collapsed="false">
      <c r="A1793" s="2" t="n">
        <v>41970</v>
      </c>
      <c r="B1793" s="0" t="n">
        <v>2072.83</v>
      </c>
      <c r="C1793" s="0" t="n">
        <v>253.3</v>
      </c>
      <c r="D1793" s="3" t="n">
        <f aca="false">B1793*100/B$2</f>
        <v>143.234334835125</v>
      </c>
      <c r="E1793" s="3" t="n">
        <f aca="false">C1793*100/C$2</f>
        <v>107.649808754781</v>
      </c>
      <c r="F1793" s="0" t="n">
        <v>128.718317255867</v>
      </c>
      <c r="G1793" s="0" t="n">
        <v>109.427775893304</v>
      </c>
      <c r="H1793" s="0" t="n">
        <v>103.183170420739</v>
      </c>
      <c r="I1793" s="0" t="n">
        <v>-6.24460547256471</v>
      </c>
    </row>
    <row r="1794" customFormat="false" ht="13.8" hidden="false" customHeight="false" outlineLevel="0" collapsed="false">
      <c r="A1794" s="2" t="n">
        <v>41971</v>
      </c>
      <c r="B1794" s="0" t="n">
        <v>2067.56</v>
      </c>
      <c r="C1794" s="0" t="n">
        <v>253.7</v>
      </c>
      <c r="D1794" s="3" t="n">
        <f aca="false">B1794*100/B$2</f>
        <v>142.870173304956</v>
      </c>
      <c r="E1794" s="3" t="n">
        <f aca="false">C1794*100/C$2</f>
        <v>107.819804504887</v>
      </c>
      <c r="F1794" s="0" t="n">
        <v>130.376737886619</v>
      </c>
      <c r="G1794" s="0" t="n">
        <v>109.981755075307</v>
      </c>
      <c r="H1794" s="0" t="n">
        <v>101.929451763706</v>
      </c>
      <c r="I1794" s="0" t="n">
        <v>-8.05230331160105</v>
      </c>
    </row>
    <row r="1795" customFormat="false" ht="13.8" hidden="false" customHeight="false" outlineLevel="0" collapsed="false">
      <c r="A1795" s="2" t="n">
        <v>41974</v>
      </c>
      <c r="B1795" s="0" t="n">
        <v>2053.44</v>
      </c>
      <c r="C1795" s="0" t="n">
        <v>251.59</v>
      </c>
      <c r="D1795" s="3" t="n">
        <f aca="false">B1795*100/B$2</f>
        <v>141.894469167196</v>
      </c>
      <c r="E1795" s="3" t="n">
        <f aca="false">C1795*100/C$2</f>
        <v>106.923076923077</v>
      </c>
      <c r="F1795" s="0" t="n">
        <v>131.568727714973</v>
      </c>
      <c r="G1795" s="0" t="n">
        <v>110.379927612371</v>
      </c>
      <c r="H1795" s="0" t="n">
        <v>103.654908627284</v>
      </c>
      <c r="I1795" s="0" t="n">
        <v>-6.7250189850871</v>
      </c>
    </row>
    <row r="1796" customFormat="false" ht="13.8" hidden="false" customHeight="false" outlineLevel="0" collapsed="false">
      <c r="A1796" s="2" t="n">
        <v>41975</v>
      </c>
      <c r="B1796" s="0" t="n">
        <v>2066.55</v>
      </c>
      <c r="C1796" s="0" t="n">
        <v>251.41</v>
      </c>
      <c r="D1796" s="3" t="n">
        <f aca="false">B1796*100/B$2</f>
        <v>142.800381436745</v>
      </c>
      <c r="E1796" s="3" t="n">
        <f aca="false">C1796*100/C$2</f>
        <v>106.846578835529</v>
      </c>
      <c r="F1796" s="0" t="n">
        <v>134.144116752812</v>
      </c>
      <c r="G1796" s="0" t="n">
        <v>111.24021111709</v>
      </c>
      <c r="H1796" s="0" t="n">
        <v>102.626434339142</v>
      </c>
      <c r="I1796" s="0" t="n">
        <v>-8.61377677794835</v>
      </c>
    </row>
    <row r="1797" customFormat="false" ht="13.8" hidden="false" customHeight="false" outlineLevel="0" collapsed="false">
      <c r="A1797" s="2" t="n">
        <v>41976</v>
      </c>
      <c r="B1797" s="0" t="n">
        <v>2074.33</v>
      </c>
      <c r="C1797" s="0" t="n">
        <v>251.65</v>
      </c>
      <c r="D1797" s="3" t="n">
        <f aca="false">B1797*100/B$2</f>
        <v>143.337986124547</v>
      </c>
      <c r="E1797" s="3" t="n">
        <f aca="false">C1797*100/C$2</f>
        <v>106.948576285593</v>
      </c>
      <c r="F1797" s="0" t="n">
        <v>133.164957572072</v>
      </c>
      <c r="G1797" s="0" t="n">
        <v>110.913132575049</v>
      </c>
      <c r="H1797" s="0" t="n">
        <v>103.748406289843</v>
      </c>
      <c r="I1797" s="0" t="n">
        <v>-7.16472628520631</v>
      </c>
    </row>
    <row r="1798" customFormat="false" ht="13.8" hidden="false" customHeight="false" outlineLevel="0" collapsed="false">
      <c r="A1798" s="2" t="n">
        <v>41977</v>
      </c>
      <c r="B1798" s="0" t="n">
        <v>2071.92</v>
      </c>
      <c r="C1798" s="0" t="n">
        <v>254.06</v>
      </c>
      <c r="D1798" s="3" t="n">
        <f aca="false">B1798*100/B$2</f>
        <v>143.171453052876</v>
      </c>
      <c r="E1798" s="3" t="n">
        <f aca="false">C1798*100/C$2</f>
        <v>107.972800679983</v>
      </c>
      <c r="F1798" s="0" t="n">
        <v>134.803338953537</v>
      </c>
      <c r="G1798" s="0" t="n">
        <v>111.460417841936</v>
      </c>
      <c r="H1798" s="0" t="n">
        <v>103.433914152146</v>
      </c>
      <c r="I1798" s="0" t="n">
        <v>-8.02650368978976</v>
      </c>
    </row>
    <row r="1799" customFormat="false" ht="13.8" hidden="false" customHeight="false" outlineLevel="0" collapsed="false">
      <c r="A1799" s="2" t="n">
        <v>41978</v>
      </c>
      <c r="B1799" s="0" t="n">
        <v>2075.37</v>
      </c>
      <c r="C1799" s="0" t="n">
        <v>254.24</v>
      </c>
      <c r="D1799" s="3" t="n">
        <f aca="false">B1799*100/B$2</f>
        <v>143.409851018547</v>
      </c>
      <c r="E1799" s="3" t="n">
        <f aca="false">C1799*100/C$2</f>
        <v>108.049298767531</v>
      </c>
      <c r="F1799" s="0" t="n">
        <v>135.754166781835</v>
      </c>
      <c r="G1799" s="0" t="n">
        <v>111.778032572951</v>
      </c>
      <c r="H1799" s="0" t="n">
        <v>103.234169145771</v>
      </c>
      <c r="I1799" s="0" t="n">
        <v>-8.5438634271795</v>
      </c>
    </row>
    <row r="1800" customFormat="false" ht="13.8" hidden="false" customHeight="false" outlineLevel="0" collapsed="false">
      <c r="A1800" s="2" t="n">
        <v>41981</v>
      </c>
      <c r="B1800" s="0" t="n">
        <v>2060.31</v>
      </c>
      <c r="C1800" s="0" t="n">
        <v>253.71</v>
      </c>
      <c r="D1800" s="3" t="n">
        <f aca="false">B1800*100/B$2</f>
        <v>142.369192072749</v>
      </c>
      <c r="E1800" s="3" t="n">
        <f aca="false">C1800*100/C$2</f>
        <v>107.82405439864</v>
      </c>
      <c r="F1800" s="0" t="n">
        <v>135.550319245971</v>
      </c>
      <c r="G1800" s="0" t="n">
        <v>111.709939298496</v>
      </c>
      <c r="H1800" s="0" t="n">
        <v>103.650658733532</v>
      </c>
      <c r="I1800" s="0" t="n">
        <v>-8.0592805649647</v>
      </c>
    </row>
    <row r="1801" customFormat="false" ht="13.8" hidden="false" customHeight="false" outlineLevel="0" collapsed="false">
      <c r="A1801" s="2" t="n">
        <v>41982</v>
      </c>
      <c r="B1801" s="0" t="n">
        <v>2059.82</v>
      </c>
      <c r="C1801" s="0" t="n">
        <v>253.21</v>
      </c>
      <c r="D1801" s="3" t="n">
        <f aca="false">B1801*100/B$2</f>
        <v>142.335332651538</v>
      </c>
      <c r="E1801" s="3" t="n">
        <f aca="false">C1801*100/C$2</f>
        <v>107.611559711007</v>
      </c>
      <c r="F1801" s="0" t="n">
        <v>137.168661378148</v>
      </c>
      <c r="G1801" s="0" t="n">
        <v>112.250530650267</v>
      </c>
      <c r="H1801" s="0" t="n">
        <v>103.399915002125</v>
      </c>
      <c r="I1801" s="0" t="n">
        <v>-8.85061564814242</v>
      </c>
    </row>
    <row r="1802" customFormat="false" ht="13.8" hidden="false" customHeight="false" outlineLevel="0" collapsed="false">
      <c r="A1802" s="2" t="n">
        <v>41983</v>
      </c>
      <c r="B1802" s="0" t="n">
        <v>2026.14</v>
      </c>
      <c r="C1802" s="0" t="n">
        <v>249.35</v>
      </c>
      <c r="D1802" s="3" t="n">
        <f aca="false">B1802*100/B$2</f>
        <v>140.008015699715</v>
      </c>
      <c r="E1802" s="3" t="n">
        <f aca="false">C1802*100/C$2</f>
        <v>105.971100722482</v>
      </c>
      <c r="F1802" s="0" t="n">
        <v>136.978634014207</v>
      </c>
      <c r="G1802" s="0" t="n">
        <v>112.187053868996</v>
      </c>
      <c r="H1802" s="0" t="n">
        <v>105.669358266043</v>
      </c>
      <c r="I1802" s="0" t="n">
        <v>-6.51769560295288</v>
      </c>
    </row>
    <row r="1803" customFormat="false" ht="13.8" hidden="false" customHeight="false" outlineLevel="0" collapsed="false">
      <c r="A1803" s="2" t="n">
        <v>41984</v>
      </c>
      <c r="B1803" s="0" t="n">
        <v>2035.33</v>
      </c>
      <c r="C1803" s="0" t="n">
        <v>245.54</v>
      </c>
      <c r="D1803" s="3" t="n">
        <f aca="false">B1803*100/B$2</f>
        <v>140.643052599574</v>
      </c>
      <c r="E1803" s="3" t="n">
        <f aca="false">C1803*100/C$2</f>
        <v>104.35189120272</v>
      </c>
      <c r="F1803" s="0" t="n">
        <v>137.832029630449</v>
      </c>
      <c r="G1803" s="0" t="n">
        <v>112.472122323068</v>
      </c>
      <c r="H1803" s="0" t="n">
        <v>105.754356141096</v>
      </c>
      <c r="I1803" s="0" t="n">
        <v>-6.71776618197201</v>
      </c>
    </row>
    <row r="1804" customFormat="false" ht="13.8" hidden="false" customHeight="false" outlineLevel="0" collapsed="false">
      <c r="A1804" s="2" t="n">
        <v>41985</v>
      </c>
      <c r="B1804" s="0" t="n">
        <v>2002.33</v>
      </c>
      <c r="C1804" s="0" t="n">
        <v>246.44</v>
      </c>
      <c r="D1804" s="3" t="n">
        <f aca="false">B1804*100/B$2</f>
        <v>138.362724232289</v>
      </c>
      <c r="E1804" s="3" t="n">
        <f aca="false">C1804*100/C$2</f>
        <v>104.734381640459</v>
      </c>
      <c r="F1804" s="0" t="n">
        <v>139.448989745432</v>
      </c>
      <c r="G1804" s="0" t="n">
        <v>113.012252025521</v>
      </c>
      <c r="H1804" s="0" t="n">
        <v>106.438589035274</v>
      </c>
      <c r="I1804" s="0" t="n">
        <v>-6.57366299024703</v>
      </c>
    </row>
    <row r="1805" customFormat="false" ht="13.8" hidden="false" customHeight="false" outlineLevel="0" collapsed="false">
      <c r="A1805" s="2" t="n">
        <v>41988</v>
      </c>
      <c r="B1805" s="0" t="n">
        <v>1989.63</v>
      </c>
      <c r="C1805" s="0" t="n">
        <v>246.27</v>
      </c>
      <c r="D1805" s="3" t="n">
        <f aca="false">B1805*100/B$2</f>
        <v>137.485143315183</v>
      </c>
      <c r="E1805" s="3" t="n">
        <f aca="false">C1805*100/C$2</f>
        <v>104.662133446664</v>
      </c>
      <c r="F1805" s="0" t="n">
        <v>139.432405539125</v>
      </c>
      <c r="G1805" s="0" t="n">
        <v>113.006712233701</v>
      </c>
      <c r="H1805" s="0" t="n">
        <v>105.690607734807</v>
      </c>
      <c r="I1805" s="0" t="n">
        <v>-7.31610449889449</v>
      </c>
    </row>
    <row r="1806" customFormat="false" ht="13.8" hidden="false" customHeight="false" outlineLevel="0" collapsed="false">
      <c r="A1806" s="2" t="n">
        <v>41989</v>
      </c>
      <c r="B1806" s="0" t="n">
        <v>1972.74</v>
      </c>
      <c r="C1806" s="0" t="n">
        <v>244.43</v>
      </c>
      <c r="D1806" s="3" t="n">
        <f aca="false">B1806*100/B$2</f>
        <v>136.318029796291</v>
      </c>
      <c r="E1806" s="3" t="n">
        <f aca="false">C1806*100/C$2</f>
        <v>103.880152996175</v>
      </c>
      <c r="F1806" s="0" t="n">
        <v>139.037839630725</v>
      </c>
      <c r="G1806" s="0" t="n">
        <v>112.874911353316</v>
      </c>
      <c r="H1806" s="0" t="n">
        <v>104.764130896728</v>
      </c>
      <c r="I1806" s="0" t="n">
        <v>-8.11078045658871</v>
      </c>
    </row>
    <row r="1807" customFormat="false" ht="13.8" hidden="false" customHeight="false" outlineLevel="0" collapsed="false">
      <c r="A1807" s="2" t="n">
        <v>41990</v>
      </c>
      <c r="B1807" s="0" t="n">
        <v>2012.89</v>
      </c>
      <c r="C1807" s="0" t="n">
        <v>243.72</v>
      </c>
      <c r="D1807" s="3" t="n">
        <f aca="false">B1807*100/B$2</f>
        <v>139.092429309821</v>
      </c>
      <c r="E1807" s="3" t="n">
        <f aca="false">C1807*100/C$2</f>
        <v>103.578410539736</v>
      </c>
      <c r="F1807" s="0" t="n">
        <v>139.830426490506</v>
      </c>
      <c r="G1807" s="0" t="n">
        <v>113.139667237382</v>
      </c>
      <c r="H1807" s="0" t="n">
        <v>104.487887802805</v>
      </c>
      <c r="I1807" s="0" t="n">
        <v>-8.65177943457687</v>
      </c>
    </row>
    <row r="1808" customFormat="false" ht="13.8" hidden="false" customHeight="false" outlineLevel="0" collapsed="false">
      <c r="A1808" s="2" t="n">
        <v>41991</v>
      </c>
      <c r="B1808" s="0" t="n">
        <v>2061.23</v>
      </c>
      <c r="C1808" s="0" t="n">
        <v>243.82</v>
      </c>
      <c r="D1808" s="3" t="n">
        <f aca="false">B1808*100/B$2</f>
        <v>142.432764863595</v>
      </c>
      <c r="E1808" s="3" t="n">
        <f aca="false">C1808*100/C$2</f>
        <v>103.620909477263</v>
      </c>
      <c r="F1808" s="0" t="n">
        <v>140.358357057962</v>
      </c>
      <c r="G1808" s="0" t="n">
        <v>113.316017276986</v>
      </c>
      <c r="H1808" s="0" t="n">
        <v>105.053123671908</v>
      </c>
      <c r="I1808" s="0" t="n">
        <v>-8.26289360507779</v>
      </c>
    </row>
    <row r="1809" customFormat="false" ht="13.8" hidden="false" customHeight="false" outlineLevel="0" collapsed="false">
      <c r="A1809" s="2" t="n">
        <v>41992</v>
      </c>
      <c r="B1809" s="0" t="n">
        <v>2070.65</v>
      </c>
      <c r="C1809" s="0" t="n">
        <v>247.96</v>
      </c>
      <c r="D1809" s="3" t="n">
        <f aca="false">B1809*100/B$2</f>
        <v>143.083694961165</v>
      </c>
      <c r="E1809" s="3" t="n">
        <f aca="false">C1809*100/C$2</f>
        <v>105.380365490863</v>
      </c>
      <c r="F1809" s="0" t="n">
        <v>140.407418668288</v>
      </c>
      <c r="G1809" s="0" t="n">
        <v>113.332405827787</v>
      </c>
      <c r="H1809" s="0" t="n">
        <v>105.138121546961</v>
      </c>
      <c r="I1809" s="0" t="n">
        <v>-8.19428428082559</v>
      </c>
    </row>
    <row r="1810" customFormat="false" ht="13.8" hidden="false" customHeight="false" outlineLevel="0" collapsed="false">
      <c r="A1810" s="2" t="n">
        <v>41995</v>
      </c>
      <c r="B1810" s="0" t="n">
        <v>2078.54</v>
      </c>
      <c r="C1810" s="0" t="n">
        <v>249.7</v>
      </c>
      <c r="D1810" s="3" t="n">
        <f aca="false">B1810*100/B$2</f>
        <v>143.628900743525</v>
      </c>
      <c r="E1810" s="3" t="n">
        <f aca="false">C1810*100/C$2</f>
        <v>106.119847003825</v>
      </c>
      <c r="F1810" s="0" t="n">
        <v>140.845518118245</v>
      </c>
      <c r="G1810" s="0" t="n">
        <v>113.478748661699</v>
      </c>
      <c r="H1810" s="0" t="n">
        <v>106.519337016575</v>
      </c>
      <c r="I1810" s="0" t="n">
        <v>-6.95941164512472</v>
      </c>
    </row>
    <row r="1811" customFormat="false" ht="13.8" hidden="false" customHeight="false" outlineLevel="0" collapsed="false">
      <c r="A1811" s="2" t="n">
        <v>41996</v>
      </c>
      <c r="B1811" s="0" t="n">
        <v>2082.17</v>
      </c>
      <c r="C1811" s="0" t="n">
        <v>249.06</v>
      </c>
      <c r="D1811" s="3" t="n">
        <f aca="false">B1811*100/B$2</f>
        <v>143.879736863927</v>
      </c>
      <c r="E1811" s="3" t="n">
        <f aca="false">C1811*100/C$2</f>
        <v>105.847853803655</v>
      </c>
      <c r="F1811" s="0" t="n">
        <v>140.943641338898</v>
      </c>
      <c r="G1811" s="0" t="n">
        <v>113.511525763301</v>
      </c>
      <c r="H1811" s="0" t="n">
        <v>106.438589035274</v>
      </c>
      <c r="I1811" s="0" t="n">
        <v>-7.07293672802702</v>
      </c>
    </row>
    <row r="1812" customFormat="false" ht="13.8" hidden="false" customHeight="false" outlineLevel="0" collapsed="false">
      <c r="A1812" s="2" t="n">
        <v>41997</v>
      </c>
      <c r="B1812" s="0" t="n">
        <v>2081.88</v>
      </c>
      <c r="C1812" s="0" t="n">
        <v>250.07</v>
      </c>
      <c r="D1812" s="3" t="n">
        <f aca="false">B1812*100/B$2</f>
        <v>143.859697614638</v>
      </c>
      <c r="E1812" s="3" t="n">
        <f aca="false">C1812*100/C$2</f>
        <v>106.277093072673</v>
      </c>
      <c r="F1812" s="0" t="n">
        <v>140.844827109649</v>
      </c>
      <c r="G1812" s="0" t="n">
        <v>113.47851783704</v>
      </c>
      <c r="H1812" s="0" t="n">
        <v>106.782830429239</v>
      </c>
      <c r="I1812" s="0" t="n">
        <v>-6.69568740780086</v>
      </c>
    </row>
    <row r="1813" customFormat="false" ht="13.8" hidden="false" customHeight="false" outlineLevel="0" collapsed="false">
      <c r="A1813" s="2" t="n">
        <v>41999</v>
      </c>
      <c r="B1813" s="0" t="n">
        <v>2088.77</v>
      </c>
      <c r="C1813" s="0" t="n">
        <v>250.05</v>
      </c>
      <c r="D1813" s="3" t="n">
        <f aca="false">B1813*100/B$2</f>
        <v>144.335802537384</v>
      </c>
      <c r="E1813" s="3" t="n">
        <f aca="false">C1813*100/C$2</f>
        <v>106.268593285168</v>
      </c>
      <c r="F1813" s="0" t="n">
        <v>140.919456038033</v>
      </c>
      <c r="G1813" s="0" t="n">
        <v>113.50344690023</v>
      </c>
      <c r="H1813" s="0" t="n">
        <v>106.294092647684</v>
      </c>
      <c r="I1813" s="0" t="n">
        <v>-7.20935425254645</v>
      </c>
    </row>
    <row r="1814" customFormat="false" ht="13.8" hidden="false" customHeight="false" outlineLevel="0" collapsed="false">
      <c r="A1814" s="2" t="n">
        <v>42002</v>
      </c>
      <c r="B1814" s="0" t="n">
        <v>2090.57</v>
      </c>
      <c r="C1814" s="0" t="n">
        <v>246.3</v>
      </c>
      <c r="D1814" s="3" t="n">
        <f aca="false">B1814*100/B$2</f>
        <v>144.46018408469</v>
      </c>
      <c r="E1814" s="3" t="n">
        <f aca="false">C1814*100/C$2</f>
        <v>104.674883127922</v>
      </c>
      <c r="F1814" s="0" t="n">
        <v>140.953315459244</v>
      </c>
      <c r="G1814" s="0" t="n">
        <v>113.51475730853</v>
      </c>
      <c r="H1814" s="0" t="n">
        <v>105.473863153421</v>
      </c>
      <c r="I1814" s="0" t="n">
        <v>-8.04089415510832</v>
      </c>
    </row>
    <row r="1815" customFormat="false" ht="13.8" hidden="false" customHeight="false" outlineLevel="0" collapsed="false">
      <c r="A1815" s="2" t="n">
        <v>42003</v>
      </c>
      <c r="B1815" s="0" t="n">
        <v>2080.35</v>
      </c>
      <c r="C1815" s="0" t="n">
        <v>244.05</v>
      </c>
      <c r="D1815" s="3" t="n">
        <f aca="false">B1815*100/B$2</f>
        <v>143.753973299428</v>
      </c>
      <c r="E1815" s="3" t="n">
        <f aca="false">C1815*100/C$2</f>
        <v>103.718657033574</v>
      </c>
      <c r="F1815" s="0" t="n">
        <v>141.056966748666</v>
      </c>
      <c r="G1815" s="0" t="n">
        <v>113.549381007405</v>
      </c>
      <c r="H1815" s="0" t="n">
        <v>105.524861878453</v>
      </c>
      <c r="I1815" s="0" t="n">
        <v>-8.02451912895161</v>
      </c>
    </row>
    <row r="1816" customFormat="false" ht="13.8" hidden="false" customHeight="false" outlineLevel="0" collapsed="false">
      <c r="A1816" s="2" t="n">
        <v>42004</v>
      </c>
      <c r="B1816" s="0" t="n">
        <v>2058.9</v>
      </c>
      <c r="C1816" s="0" t="n">
        <v>244.05</v>
      </c>
      <c r="D1816" s="3" t="n">
        <f aca="false">B1816*100/B$2</f>
        <v>142.271759860693</v>
      </c>
      <c r="E1816" s="3" t="n">
        <f aca="false">C1816*100/C$2</f>
        <v>103.718657033574</v>
      </c>
      <c r="F1816" s="0" t="n">
        <v>141.781143757428</v>
      </c>
      <c r="G1816" s="0" t="n">
        <v>113.791285250213</v>
      </c>
      <c r="H1816" s="0" t="n">
        <v>106.523586910327</v>
      </c>
      <c r="I1816" s="0" t="n">
        <v>-7.26769833988529</v>
      </c>
    </row>
    <row r="1817" customFormat="false" ht="13.8" hidden="false" customHeight="false" outlineLevel="0" collapsed="false">
      <c r="A1817" s="2" t="n">
        <v>42006</v>
      </c>
      <c r="B1817" s="0" t="n">
        <v>2058.2</v>
      </c>
      <c r="C1817" s="0" t="n">
        <v>244.79</v>
      </c>
      <c r="D1817" s="3" t="n">
        <f aca="false">B1817*100/B$2</f>
        <v>142.223389258962</v>
      </c>
      <c r="E1817" s="3" t="n">
        <f aca="false">C1817*100/C$2</f>
        <v>104.033149171271</v>
      </c>
      <c r="F1817" s="0" t="n">
        <v>141.568313109815</v>
      </c>
      <c r="G1817" s="0" t="n">
        <v>113.720191255189</v>
      </c>
      <c r="H1817" s="0" t="n">
        <v>106.387590310242</v>
      </c>
      <c r="I1817" s="0" t="n">
        <v>-7.33260094494656</v>
      </c>
    </row>
    <row r="1818" customFormat="false" ht="13.8" hidden="false" customHeight="false" outlineLevel="0" collapsed="false">
      <c r="A1818" s="2" t="n">
        <v>42009</v>
      </c>
      <c r="B1818" s="0" t="n">
        <v>2020.58</v>
      </c>
      <c r="C1818" s="0" t="n">
        <v>244.26</v>
      </c>
      <c r="D1818" s="3" t="n">
        <f aca="false">B1818*100/B$2</f>
        <v>139.623814920258</v>
      </c>
      <c r="E1818" s="3" t="n">
        <f aca="false">C1818*100/C$2</f>
        <v>103.80790480238</v>
      </c>
      <c r="F1818" s="0" t="n">
        <v>141.846789574062</v>
      </c>
      <c r="G1818" s="0" t="n">
        <v>113.813213592833</v>
      </c>
      <c r="H1818" s="0" t="n">
        <v>105.805354866128</v>
      </c>
      <c r="I1818" s="0" t="n">
        <v>-8.00785872670511</v>
      </c>
    </row>
    <row r="1819" customFormat="false" ht="13.8" hidden="false" customHeight="false" outlineLevel="0" collapsed="false">
      <c r="A1819" s="2" t="n">
        <v>42010</v>
      </c>
      <c r="B1819" s="0" t="n">
        <v>2002.61</v>
      </c>
      <c r="C1819" s="0" t="n">
        <v>239.93</v>
      </c>
      <c r="D1819" s="3" t="n">
        <f aca="false">B1819*100/B$2</f>
        <v>138.382072472982</v>
      </c>
      <c r="E1819" s="3" t="n">
        <f aca="false">C1819*100/C$2</f>
        <v>101.96770080748</v>
      </c>
      <c r="F1819" s="0" t="n">
        <v>142.58962381492</v>
      </c>
      <c r="G1819" s="0" t="n">
        <v>114.061350101439</v>
      </c>
      <c r="H1819" s="0" t="n">
        <v>106.204844878878</v>
      </c>
      <c r="I1819" s="0" t="n">
        <v>-7.85650522256083</v>
      </c>
    </row>
    <row r="1820" customFormat="false" ht="13.8" hidden="false" customHeight="false" outlineLevel="0" collapsed="false">
      <c r="A1820" s="2" t="n">
        <v>42011</v>
      </c>
      <c r="B1820" s="0" t="n">
        <v>2025.9</v>
      </c>
      <c r="C1820" s="0" t="n">
        <v>240.53</v>
      </c>
      <c r="D1820" s="3" t="n">
        <f aca="false">B1820*100/B$2</f>
        <v>139.991431493408</v>
      </c>
      <c r="E1820" s="3" t="n">
        <f aca="false">C1820*100/C$2</f>
        <v>102.222694432639</v>
      </c>
      <c r="F1820" s="0" t="n">
        <v>142.998009895243</v>
      </c>
      <c r="G1820" s="0" t="n">
        <v>114.197767475007</v>
      </c>
      <c r="H1820" s="0" t="n">
        <v>107.241818954526</v>
      </c>
      <c r="I1820" s="0" t="n">
        <v>-6.95594852048089</v>
      </c>
    </row>
    <row r="1821" customFormat="false" ht="13.8" hidden="false" customHeight="false" outlineLevel="0" collapsed="false">
      <c r="A1821" s="2" t="n">
        <v>42012</v>
      </c>
      <c r="B1821" s="0" t="n">
        <v>2062.14</v>
      </c>
      <c r="C1821" s="0" t="n">
        <v>243.94</v>
      </c>
      <c r="D1821" s="3" t="n">
        <f aca="false">B1821*100/B$2</f>
        <v>142.495646645844</v>
      </c>
      <c r="E1821" s="3" t="n">
        <f aca="false">C1821*100/C$2</f>
        <v>103.671908202295</v>
      </c>
      <c r="F1821" s="0" t="n">
        <v>142.83354984936</v>
      </c>
      <c r="G1821" s="0" t="n">
        <v>114.142831206125</v>
      </c>
      <c r="H1821" s="0" t="n">
        <v>106.978325541861</v>
      </c>
      <c r="I1821" s="0" t="n">
        <v>-7.16450566426364</v>
      </c>
    </row>
    <row r="1822" customFormat="false" ht="13.8" hidden="false" customHeight="false" outlineLevel="0" collapsed="false">
      <c r="A1822" s="2" t="n">
        <v>42013</v>
      </c>
      <c r="B1822" s="0" t="n">
        <v>2044.81</v>
      </c>
      <c r="C1822" s="0" t="n">
        <v>246.05</v>
      </c>
      <c r="D1822" s="3" t="n">
        <f aca="false">B1822*100/B$2</f>
        <v>141.298128748722</v>
      </c>
      <c r="E1822" s="3" t="n">
        <f aca="false">C1822*100/C$2</f>
        <v>104.568635784105</v>
      </c>
      <c r="F1822" s="0" t="n">
        <v>143.234334835125</v>
      </c>
      <c r="G1822" s="0" t="n">
        <v>114.276709508442</v>
      </c>
      <c r="H1822" s="0" t="n">
        <v>107.097322566936</v>
      </c>
      <c r="I1822" s="0" t="n">
        <v>-7.17938694150661</v>
      </c>
    </row>
    <row r="1823" customFormat="false" ht="13.8" hidden="false" customHeight="false" outlineLevel="0" collapsed="false">
      <c r="A1823" s="2" t="n">
        <v>42016</v>
      </c>
      <c r="B1823" s="0" t="n">
        <v>2028.26</v>
      </c>
      <c r="C1823" s="0" t="n">
        <v>245.7</v>
      </c>
      <c r="D1823" s="3" t="n">
        <f aca="false">B1823*100/B$2</f>
        <v>140.154509522098</v>
      </c>
      <c r="E1823" s="3" t="n">
        <f aca="false">C1823*100/C$2</f>
        <v>104.419889502762</v>
      </c>
      <c r="F1823" s="0" t="n">
        <v>143.234334835125</v>
      </c>
      <c r="G1823" s="0" t="n">
        <v>114.276709508442</v>
      </c>
      <c r="H1823" s="0" t="n">
        <v>107.649808754781</v>
      </c>
      <c r="I1823" s="0" t="n">
        <v>-6.6269007536613</v>
      </c>
    </row>
    <row r="1824" customFormat="false" ht="13.8" hidden="false" customHeight="false" outlineLevel="0" collapsed="false">
      <c r="A1824" s="2" t="n">
        <v>42017</v>
      </c>
      <c r="B1824" s="0" t="n">
        <v>2023.03</v>
      </c>
      <c r="C1824" s="0" t="n">
        <v>246.29</v>
      </c>
      <c r="D1824" s="3" t="n">
        <f aca="false">B1824*100/B$2</f>
        <v>139.793112026314</v>
      </c>
      <c r="E1824" s="3" t="n">
        <f aca="false">C1824*100/C$2</f>
        <v>104.670633234169</v>
      </c>
      <c r="F1824" s="0" t="n">
        <v>142.870173304956</v>
      </c>
      <c r="G1824" s="0" t="n">
        <v>114.155064913061</v>
      </c>
      <c r="H1824" s="0" t="n">
        <v>107.819804504887</v>
      </c>
      <c r="I1824" s="0" t="n">
        <v>-6.33526040817361</v>
      </c>
    </row>
    <row r="1825" customFormat="false" ht="13.8" hidden="false" customHeight="false" outlineLevel="0" collapsed="false">
      <c r="A1825" s="2" t="n">
        <v>42018</v>
      </c>
      <c r="B1825" s="0" t="n">
        <v>2011.27</v>
      </c>
      <c r="C1825" s="0" t="n">
        <v>245.99</v>
      </c>
      <c r="D1825" s="3" t="n">
        <f aca="false">B1825*100/B$2</f>
        <v>138.980485917245</v>
      </c>
      <c r="E1825" s="3" t="n">
        <f aca="false">C1825*100/C$2</f>
        <v>104.543136421589</v>
      </c>
      <c r="F1825" s="0" t="n">
        <v>141.894469167196</v>
      </c>
      <c r="G1825" s="0" t="n">
        <v>113.829140494316</v>
      </c>
      <c r="H1825" s="0" t="n">
        <v>106.923076923077</v>
      </c>
      <c r="I1825" s="0" t="n">
        <v>-6.90606357123912</v>
      </c>
    </row>
    <row r="1826" customFormat="false" ht="13.8" hidden="false" customHeight="false" outlineLevel="0" collapsed="false">
      <c r="A1826" s="2" t="n">
        <v>42019</v>
      </c>
      <c r="B1826" s="0" t="n">
        <v>1992.67</v>
      </c>
      <c r="C1826" s="0" t="n">
        <v>245.76</v>
      </c>
      <c r="D1826" s="3" t="n">
        <f aca="false">B1826*100/B$2</f>
        <v>137.695209928412</v>
      </c>
      <c r="E1826" s="3" t="n">
        <f aca="false">C1826*100/C$2</f>
        <v>104.445388865278</v>
      </c>
      <c r="F1826" s="0" t="n">
        <v>142.800381436745</v>
      </c>
      <c r="G1826" s="0" t="n">
        <v>114.131751622485</v>
      </c>
      <c r="H1826" s="0" t="n">
        <v>106.846578835529</v>
      </c>
      <c r="I1826" s="0" t="n">
        <v>-7.28517278695594</v>
      </c>
    </row>
    <row r="1827" customFormat="false" ht="13.8" hidden="false" customHeight="false" outlineLevel="0" collapsed="false">
      <c r="A1827" s="2" t="n">
        <v>42020</v>
      </c>
      <c r="B1827" s="0" t="n">
        <v>2019.42</v>
      </c>
      <c r="C1827" s="0" t="n">
        <v>242.22</v>
      </c>
      <c r="D1827" s="3" t="n">
        <f aca="false">B1827*100/B$2</f>
        <v>139.543657923105</v>
      </c>
      <c r="E1827" s="3" t="n">
        <f aca="false">C1827*100/C$2</f>
        <v>102.940926476838</v>
      </c>
      <c r="F1827" s="0" t="n">
        <v>143.337986124547</v>
      </c>
      <c r="G1827" s="0" t="n">
        <v>114.311333207318</v>
      </c>
      <c r="H1827" s="0" t="n">
        <v>106.948576285593</v>
      </c>
      <c r="I1827" s="0" t="n">
        <v>-7.36275692172474</v>
      </c>
    </row>
    <row r="1828" customFormat="false" ht="13.8" hidden="false" customHeight="false" outlineLevel="0" collapsed="false">
      <c r="A1828" s="2" t="n">
        <v>42023</v>
      </c>
      <c r="B1828" s="0" t="n">
        <v>2019.42</v>
      </c>
      <c r="C1828" s="0" t="n">
        <v>244.78</v>
      </c>
      <c r="D1828" s="3" t="n">
        <f aca="false">B1828*100/B$2</f>
        <v>139.543657923105</v>
      </c>
      <c r="E1828" s="3" t="n">
        <f aca="false">C1828*100/C$2</f>
        <v>104.028899277518</v>
      </c>
      <c r="F1828" s="0" t="n">
        <v>143.171453052876</v>
      </c>
      <c r="G1828" s="0" t="n">
        <v>114.255704464458</v>
      </c>
      <c r="H1828" s="0" t="n">
        <v>107.972800679983</v>
      </c>
      <c r="I1828" s="0" t="n">
        <v>-6.28290378447515</v>
      </c>
    </row>
    <row r="1829" customFormat="false" ht="13.8" hidden="false" customHeight="false" outlineLevel="0" collapsed="false">
      <c r="A1829" s="2" t="n">
        <v>42024</v>
      </c>
      <c r="B1829" s="0" t="n">
        <v>2022.55</v>
      </c>
      <c r="C1829" s="0" t="n">
        <v>247.24</v>
      </c>
      <c r="D1829" s="3" t="n">
        <f aca="false">B1829*100/B$2</f>
        <v>139.759943613699</v>
      </c>
      <c r="E1829" s="3" t="n">
        <f aca="false">C1829*100/C$2</f>
        <v>105.074373140671</v>
      </c>
      <c r="F1829" s="0" t="n">
        <v>143.409851018547</v>
      </c>
      <c r="G1829" s="0" t="n">
        <v>114.335338971871</v>
      </c>
      <c r="H1829" s="0" t="n">
        <v>108.049298767531</v>
      </c>
      <c r="I1829" s="0" t="n">
        <v>-6.28604020434025</v>
      </c>
    </row>
    <row r="1830" customFormat="false" ht="13.8" hidden="false" customHeight="false" outlineLevel="0" collapsed="false">
      <c r="A1830" s="2" t="n">
        <v>42025</v>
      </c>
      <c r="B1830" s="0" t="n">
        <v>2032.12</v>
      </c>
      <c r="C1830" s="0" t="n">
        <v>248.59</v>
      </c>
      <c r="D1830" s="3" t="n">
        <f aca="false">B1830*100/B$2</f>
        <v>140.421238840211</v>
      </c>
      <c r="E1830" s="3" t="n">
        <f aca="false">C1830*100/C$2</f>
        <v>105.64810879728</v>
      </c>
      <c r="F1830" s="0" t="n">
        <v>142.369192072749</v>
      </c>
      <c r="G1830" s="0" t="n">
        <v>113.987717035164</v>
      </c>
      <c r="H1830" s="0" t="n">
        <v>107.82405439864</v>
      </c>
      <c r="I1830" s="0" t="n">
        <v>-6.16366263652429</v>
      </c>
    </row>
    <row r="1831" customFormat="false" ht="13.8" hidden="false" customHeight="false" outlineLevel="0" collapsed="false">
      <c r="A1831" s="2" t="n">
        <v>42026</v>
      </c>
      <c r="B1831" s="0" t="n">
        <v>2063.15</v>
      </c>
      <c r="C1831" s="0" t="n">
        <v>248.47</v>
      </c>
      <c r="D1831" s="3" t="n">
        <f aca="false">B1831*100/B$2</f>
        <v>142.565438514055</v>
      </c>
      <c r="E1831" s="3" t="n">
        <f aca="false">C1831*100/C$2</f>
        <v>105.597110072248</v>
      </c>
      <c r="F1831" s="0" t="n">
        <v>142.335332651538</v>
      </c>
      <c r="G1831" s="0" t="n">
        <v>113.976406626865</v>
      </c>
      <c r="H1831" s="0" t="n">
        <v>107.611559711007</v>
      </c>
      <c r="I1831" s="0" t="n">
        <v>-6.3648469158579</v>
      </c>
    </row>
    <row r="1832" customFormat="false" ht="13.8" hidden="false" customHeight="false" outlineLevel="0" collapsed="false">
      <c r="A1832" s="2" t="n">
        <v>42027</v>
      </c>
      <c r="B1832" s="0" t="n">
        <v>2051.82</v>
      </c>
      <c r="C1832" s="0" t="n">
        <v>250.32</v>
      </c>
      <c r="D1832" s="3" t="n">
        <f aca="false">B1832*100/B$2</f>
        <v>141.782525774621</v>
      </c>
      <c r="E1832" s="3" t="n">
        <f aca="false">C1832*100/C$2</f>
        <v>106.38334041649</v>
      </c>
      <c r="F1832" s="0" t="n">
        <v>140.008015699715</v>
      </c>
      <c r="G1832" s="0" t="n">
        <v>113.198989174788</v>
      </c>
      <c r="H1832" s="0" t="n">
        <v>105.971100722482</v>
      </c>
      <c r="I1832" s="0" t="n">
        <v>-7.22788845230596</v>
      </c>
    </row>
    <row r="1833" customFormat="false" ht="13.8" hidden="false" customHeight="false" outlineLevel="0" collapsed="false">
      <c r="A1833" s="2" t="n">
        <v>42030</v>
      </c>
      <c r="B1833" s="0" t="n">
        <v>2057.09</v>
      </c>
      <c r="C1833" s="0" t="n">
        <v>250.14</v>
      </c>
      <c r="D1833" s="3" t="n">
        <f aca="false">B1833*100/B$2</f>
        <v>142.14668730479</v>
      </c>
      <c r="E1833" s="3" t="n">
        <f aca="false">C1833*100/C$2</f>
        <v>106.306842328942</v>
      </c>
      <c r="F1833" s="0" t="n">
        <v>140.643052599574</v>
      </c>
      <c r="G1833" s="0" t="n">
        <v>113.411117036563</v>
      </c>
      <c r="H1833" s="0" t="n">
        <v>104.35189120272</v>
      </c>
      <c r="I1833" s="0" t="n">
        <v>-9.0592258338432</v>
      </c>
    </row>
    <row r="1834" customFormat="false" ht="13.8" hidden="false" customHeight="false" outlineLevel="0" collapsed="false">
      <c r="A1834" s="2" t="n">
        <v>42031</v>
      </c>
      <c r="B1834" s="0" t="n">
        <v>2029.55</v>
      </c>
      <c r="C1834" s="0" t="n">
        <v>252.2</v>
      </c>
      <c r="D1834" s="3" t="n">
        <f aca="false">B1834*100/B$2</f>
        <v>140.243649631001</v>
      </c>
      <c r="E1834" s="3" t="n">
        <f aca="false">C1834*100/C$2</f>
        <v>107.182320441989</v>
      </c>
      <c r="F1834" s="0" t="n">
        <v>138.362724232289</v>
      </c>
      <c r="G1834" s="0" t="n">
        <v>112.649395661309</v>
      </c>
      <c r="H1834" s="0" t="n">
        <v>104.734381640459</v>
      </c>
      <c r="I1834" s="0" t="n">
        <v>-7.91501402085036</v>
      </c>
    </row>
    <row r="1835" customFormat="false" ht="13.8" hidden="false" customHeight="false" outlineLevel="0" collapsed="false">
      <c r="A1835" s="2" t="n">
        <v>42032</v>
      </c>
      <c r="B1835" s="0" t="n">
        <v>2002.16</v>
      </c>
      <c r="C1835" s="0" t="n">
        <v>252.21</v>
      </c>
      <c r="D1835" s="3" t="n">
        <f aca="false">B1835*100/B$2</f>
        <v>138.350977086155</v>
      </c>
      <c r="E1835" s="3" t="n">
        <f aca="false">C1835*100/C$2</f>
        <v>107.186570335742</v>
      </c>
      <c r="F1835" s="0" t="n">
        <v>137.485143315183</v>
      </c>
      <c r="G1835" s="0" t="n">
        <v>112.356248344166</v>
      </c>
      <c r="H1835" s="0" t="n">
        <v>104.662133446664</v>
      </c>
      <c r="I1835" s="0" t="n">
        <v>-7.6941148975024</v>
      </c>
    </row>
    <row r="1836" customFormat="false" ht="13.8" hidden="false" customHeight="false" outlineLevel="0" collapsed="false">
      <c r="A1836" s="2" t="n">
        <v>42033</v>
      </c>
      <c r="B1836" s="0" t="n">
        <v>2021.25</v>
      </c>
      <c r="C1836" s="0" t="n">
        <v>250.46</v>
      </c>
      <c r="D1836" s="3" t="n">
        <f aca="false">B1836*100/B$2</f>
        <v>139.670112496199</v>
      </c>
      <c r="E1836" s="3" t="n">
        <f aca="false">C1836*100/C$2</f>
        <v>106.442838929027</v>
      </c>
      <c r="F1836" s="0" t="n">
        <v>136.318029796291</v>
      </c>
      <c r="G1836" s="0" t="n">
        <v>111.966385494832</v>
      </c>
      <c r="H1836" s="0" t="n">
        <v>103.880152996175</v>
      </c>
      <c r="I1836" s="0" t="n">
        <v>-8.08623249865671</v>
      </c>
    </row>
    <row r="1837" customFormat="false" ht="13.8" hidden="false" customHeight="false" outlineLevel="0" collapsed="false">
      <c r="A1837" s="2" t="n">
        <v>42034</v>
      </c>
      <c r="B1837" s="0" t="n">
        <v>1994.99</v>
      </c>
      <c r="C1837" s="0" t="n">
        <v>249.88</v>
      </c>
      <c r="D1837" s="3" t="n">
        <f aca="false">B1837*100/B$2</f>
        <v>137.855523922718</v>
      </c>
      <c r="E1837" s="3" t="n">
        <f aca="false">C1837*100/C$2</f>
        <v>106.196345091373</v>
      </c>
      <c r="F1837" s="0" t="n">
        <v>139.092429309821</v>
      </c>
      <c r="G1837" s="0" t="n">
        <v>112.893146501391</v>
      </c>
      <c r="H1837" s="0" t="n">
        <v>103.578410539736</v>
      </c>
      <c r="I1837" s="0" t="n">
        <v>-9.31473596165407</v>
      </c>
    </row>
    <row r="1838" customFormat="false" ht="13.8" hidden="false" customHeight="false" outlineLevel="0" collapsed="false">
      <c r="A1838" s="2" t="n">
        <v>42037</v>
      </c>
      <c r="B1838" s="0" t="n">
        <v>2020.85</v>
      </c>
      <c r="C1838" s="0" t="n">
        <v>250.61</v>
      </c>
      <c r="D1838" s="3" t="n">
        <f aca="false">B1838*100/B$2</f>
        <v>139.642472152354</v>
      </c>
      <c r="E1838" s="3" t="n">
        <f aca="false">C1838*100/C$2</f>
        <v>106.506587335317</v>
      </c>
      <c r="F1838" s="0" t="n">
        <v>142.432764863595</v>
      </c>
      <c r="G1838" s="0" t="n">
        <v>114.008952903808</v>
      </c>
      <c r="H1838" s="0" t="n">
        <v>103.620909477263</v>
      </c>
      <c r="I1838" s="0" t="n">
        <v>-10.3880434265447</v>
      </c>
    </row>
    <row r="1839" customFormat="false" ht="13.8" hidden="false" customHeight="false" outlineLevel="0" collapsed="false">
      <c r="A1839" s="2" t="n">
        <v>42038</v>
      </c>
      <c r="B1839" s="0" t="n">
        <v>2050.03</v>
      </c>
      <c r="C1839" s="0" t="n">
        <v>250.38</v>
      </c>
      <c r="D1839" s="3" t="n">
        <f aca="false">B1839*100/B$2</f>
        <v>141.65883523591</v>
      </c>
      <c r="E1839" s="3" t="n">
        <f aca="false">C1839*100/C$2</f>
        <v>106.408839779006</v>
      </c>
      <c r="F1839" s="0" t="n">
        <v>143.083694961165</v>
      </c>
      <c r="G1839" s="0" t="n">
        <v>114.226389732744</v>
      </c>
      <c r="H1839" s="0" t="n">
        <v>105.380365490863</v>
      </c>
      <c r="I1839" s="0" t="n">
        <v>-8.84602424188113</v>
      </c>
    </row>
    <row r="1840" customFormat="false" ht="13.8" hidden="false" customHeight="false" outlineLevel="0" collapsed="false">
      <c r="A1840" s="2" t="n">
        <v>42039</v>
      </c>
      <c r="B1840" s="0" t="n">
        <v>2041.51</v>
      </c>
      <c r="C1840" s="0" t="n">
        <v>251.6</v>
      </c>
      <c r="D1840" s="3" t="n">
        <f aca="false">B1840*100/B$2</f>
        <v>141.070095911993</v>
      </c>
      <c r="E1840" s="3" t="n">
        <f aca="false">C1840*100/C$2</f>
        <v>106.92732681683</v>
      </c>
      <c r="F1840" s="0" t="n">
        <v>143.628900743525</v>
      </c>
      <c r="G1840" s="0" t="n">
        <v>114.408510388827</v>
      </c>
      <c r="H1840" s="0" t="n">
        <v>106.119847003825</v>
      </c>
      <c r="I1840" s="0" t="n">
        <v>-8.28866338500234</v>
      </c>
    </row>
    <row r="1841" customFormat="false" ht="13.8" hidden="false" customHeight="false" outlineLevel="0" collapsed="false">
      <c r="A1841" s="2" t="n">
        <v>42040</v>
      </c>
      <c r="B1841" s="0" t="n">
        <v>2062.52</v>
      </c>
      <c r="C1841" s="0" t="n">
        <v>249.78</v>
      </c>
      <c r="D1841" s="3" t="n">
        <f aca="false">B1841*100/B$2</f>
        <v>142.521904972498</v>
      </c>
      <c r="E1841" s="3" t="n">
        <f aca="false">C1841*100/C$2</f>
        <v>106.153846153846</v>
      </c>
      <c r="F1841" s="0" t="n">
        <v>143.879736863927</v>
      </c>
      <c r="G1841" s="0" t="n">
        <v>114.492299740105</v>
      </c>
      <c r="H1841" s="0" t="n">
        <v>105.847853803655</v>
      </c>
      <c r="I1841" s="0" t="n">
        <v>-8.64444593645025</v>
      </c>
    </row>
    <row r="1842" customFormat="false" ht="13.8" hidden="false" customHeight="false" outlineLevel="0" collapsed="false">
      <c r="A1842" s="2" t="n">
        <v>42041</v>
      </c>
      <c r="B1842" s="0" t="n">
        <v>2055.47</v>
      </c>
      <c r="C1842" s="0" t="n">
        <v>250.16</v>
      </c>
      <c r="D1842" s="3" t="n">
        <f aca="false">B1842*100/B$2</f>
        <v>142.034743912214</v>
      </c>
      <c r="E1842" s="3" t="n">
        <f aca="false">C1842*100/C$2</f>
        <v>106.315342116447</v>
      </c>
      <c r="F1842" s="0" t="n">
        <v>143.859697614638</v>
      </c>
      <c r="G1842" s="0" t="n">
        <v>114.485605824989</v>
      </c>
      <c r="H1842" s="0" t="n">
        <v>106.277093072673</v>
      </c>
      <c r="I1842" s="0" t="n">
        <v>-8.20851275231611</v>
      </c>
    </row>
    <row r="1843" customFormat="false" ht="13.8" hidden="false" customHeight="false" outlineLevel="0" collapsed="false">
      <c r="A1843" s="2" t="n">
        <v>42044</v>
      </c>
      <c r="B1843" s="0" t="n">
        <v>2046.74</v>
      </c>
      <c r="C1843" s="0" t="n">
        <v>249.26</v>
      </c>
      <c r="D1843" s="3" t="n">
        <f aca="false">B1843*100/B$2</f>
        <v>141.431493407778</v>
      </c>
      <c r="E1843" s="3" t="n">
        <f aca="false">C1843*100/C$2</f>
        <v>105.932851678708</v>
      </c>
      <c r="F1843" s="0" t="n">
        <v>144.335802537384</v>
      </c>
      <c r="G1843" s="0" t="n">
        <v>114.644644015156</v>
      </c>
      <c r="H1843" s="0" t="n">
        <v>106.268593285168</v>
      </c>
      <c r="I1843" s="0" t="n">
        <v>-8.37605072998805</v>
      </c>
    </row>
    <row r="1844" customFormat="false" ht="13.8" hidden="false" customHeight="false" outlineLevel="0" collapsed="false">
      <c r="A1844" s="2" t="n">
        <v>42045</v>
      </c>
      <c r="B1844" s="0" t="n">
        <v>2068.59</v>
      </c>
      <c r="C1844" s="0" t="n">
        <v>247.66</v>
      </c>
      <c r="D1844" s="3" t="n">
        <f aca="false">B1844*100/B$2</f>
        <v>142.941347190359</v>
      </c>
      <c r="E1844" s="3" t="n">
        <f aca="false">C1844*100/C$2</f>
        <v>105.252868678283</v>
      </c>
      <c r="F1844" s="0" t="n">
        <v>144.46018408469</v>
      </c>
      <c r="G1844" s="0" t="n">
        <v>114.686192453806</v>
      </c>
      <c r="H1844" s="0" t="n">
        <v>104.674883127922</v>
      </c>
      <c r="I1844" s="0" t="n">
        <v>-10.0113093258843</v>
      </c>
    </row>
    <row r="1845" customFormat="false" ht="13.8" hidden="false" customHeight="false" outlineLevel="0" collapsed="false">
      <c r="A1845" s="2" t="n">
        <v>42046</v>
      </c>
      <c r="B1845" s="0" t="n">
        <v>2068.53</v>
      </c>
      <c r="C1845" s="0" t="n">
        <v>248.4</v>
      </c>
      <c r="D1845" s="3" t="n">
        <f aca="false">B1845*100/B$2</f>
        <v>142.937201138782</v>
      </c>
      <c r="E1845" s="3" t="n">
        <f aca="false">C1845*100/C$2</f>
        <v>105.56736081598</v>
      </c>
      <c r="F1845" s="0" t="n">
        <v>143.753973299428</v>
      </c>
      <c r="G1845" s="0" t="n">
        <v>114.450289652137</v>
      </c>
      <c r="H1845" s="0" t="n">
        <v>103.718657033574</v>
      </c>
      <c r="I1845" s="0" t="n">
        <v>-10.7316326185624</v>
      </c>
    </row>
    <row r="1846" customFormat="false" ht="13.8" hidden="false" customHeight="false" outlineLevel="0" collapsed="false">
      <c r="A1846" s="2" t="n">
        <v>42047</v>
      </c>
      <c r="B1846" s="0" t="n">
        <v>2088.48</v>
      </c>
      <c r="C1846" s="0" t="n">
        <v>247.71</v>
      </c>
      <c r="D1846" s="3" t="n">
        <f aca="false">B1846*100/B$2</f>
        <v>144.315763288095</v>
      </c>
      <c r="E1846" s="3" t="n">
        <f aca="false">C1846*100/C$2</f>
        <v>105.274118147046</v>
      </c>
      <c r="F1846" s="0" t="n">
        <v>142.271759860693</v>
      </c>
      <c r="G1846" s="0" t="n">
        <v>113.955170758222</v>
      </c>
      <c r="H1846" s="0" t="n">
        <v>103.718657033574</v>
      </c>
      <c r="I1846" s="0" t="n">
        <v>-10.2365137246475</v>
      </c>
    </row>
    <row r="1847" customFormat="false" ht="13.8" hidden="false" customHeight="false" outlineLevel="0" collapsed="false">
      <c r="A1847" s="2" t="n">
        <v>42048</v>
      </c>
      <c r="B1847" s="0" t="n">
        <v>2096.99</v>
      </c>
      <c r="C1847" s="0" t="n">
        <v>249.76</v>
      </c>
      <c r="D1847" s="3" t="n">
        <f aca="false">B1847*100/B$2</f>
        <v>144.903811603416</v>
      </c>
      <c r="E1847" s="3" t="n">
        <f aca="false">C1847*100/C$2</f>
        <v>106.145346366341</v>
      </c>
      <c r="F1847" s="0" t="n">
        <v>142.223389258962</v>
      </c>
      <c r="G1847" s="0" t="n">
        <v>113.93901303208</v>
      </c>
      <c r="H1847" s="0" t="n">
        <v>104.033149171271</v>
      </c>
      <c r="I1847" s="0" t="n">
        <v>-9.90586386080921</v>
      </c>
    </row>
    <row r="1848" customFormat="false" ht="13.8" hidden="false" customHeight="false" outlineLevel="0" collapsed="false">
      <c r="A1848" s="2" t="n">
        <v>42051</v>
      </c>
      <c r="B1848" s="0" t="n">
        <v>2096.99</v>
      </c>
      <c r="C1848" s="0" t="n">
        <v>249.81</v>
      </c>
      <c r="D1848" s="3" t="n">
        <f aca="false">B1848*100/B$2</f>
        <v>144.903811603416</v>
      </c>
      <c r="E1848" s="3" t="n">
        <f aca="false">C1848*100/C$2</f>
        <v>106.166595835104</v>
      </c>
      <c r="F1848" s="0" t="n">
        <v>139.623814920258</v>
      </c>
      <c r="G1848" s="0" t="n">
        <v>113.070650664291</v>
      </c>
      <c r="H1848" s="0" t="n">
        <v>103.80790480238</v>
      </c>
      <c r="I1848" s="0" t="n">
        <v>-9.26274586191067</v>
      </c>
    </row>
    <row r="1849" customFormat="false" ht="13.8" hidden="false" customHeight="false" outlineLevel="0" collapsed="false">
      <c r="A1849" s="2" t="n">
        <v>42052</v>
      </c>
      <c r="B1849" s="0" t="n">
        <v>2100.34</v>
      </c>
      <c r="C1849" s="0" t="n">
        <v>250.37</v>
      </c>
      <c r="D1849" s="3" t="n">
        <f aca="false">B1849*100/B$2</f>
        <v>145.135299483126</v>
      </c>
      <c r="E1849" s="3" t="n">
        <f aca="false">C1849*100/C$2</f>
        <v>106.404589885253</v>
      </c>
      <c r="F1849" s="0" t="n">
        <v>138.382072472982</v>
      </c>
      <c r="G1849" s="0" t="n">
        <v>112.655858751766</v>
      </c>
      <c r="H1849" s="0" t="n">
        <v>101.96770080748</v>
      </c>
      <c r="I1849" s="0" t="n">
        <v>-10.6881579442862</v>
      </c>
    </row>
    <row r="1850" customFormat="false" ht="13.8" hidden="false" customHeight="false" outlineLevel="0" collapsed="false">
      <c r="A1850" s="2" t="n">
        <v>42053</v>
      </c>
      <c r="B1850" s="0" t="n">
        <v>2099.68</v>
      </c>
      <c r="C1850" s="0" t="n">
        <v>250.37</v>
      </c>
      <c r="D1850" s="3" t="n">
        <f aca="false">B1850*100/B$2</f>
        <v>145.08969291578</v>
      </c>
      <c r="E1850" s="3" t="n">
        <f aca="false">C1850*100/C$2</f>
        <v>106.404589885253</v>
      </c>
      <c r="F1850" s="0" t="n">
        <v>139.991431493408</v>
      </c>
      <c r="G1850" s="0" t="n">
        <v>113.193449382968</v>
      </c>
      <c r="H1850" s="0" t="n">
        <v>102.222694432639</v>
      </c>
      <c r="I1850" s="0" t="n">
        <v>-10.9707549503287</v>
      </c>
    </row>
    <row r="1851" customFormat="false" ht="13.8" hidden="false" customHeight="false" outlineLevel="0" collapsed="false">
      <c r="A1851" s="2" t="n">
        <v>42054</v>
      </c>
      <c r="B1851" s="0" t="n">
        <v>2097.45</v>
      </c>
      <c r="C1851" s="0" t="n">
        <v>250.37</v>
      </c>
      <c r="D1851" s="3" t="n">
        <f aca="false">B1851*100/B$2</f>
        <v>144.935597998839</v>
      </c>
      <c r="E1851" s="3" t="n">
        <f aca="false">C1851*100/C$2</f>
        <v>106.404589885253</v>
      </c>
      <c r="F1851" s="0" t="n">
        <v>142.495646645844</v>
      </c>
      <c r="G1851" s="0" t="n">
        <v>114.029957947792</v>
      </c>
      <c r="H1851" s="0" t="n">
        <v>103.671908202295</v>
      </c>
      <c r="I1851" s="0" t="n">
        <v>-10.3580497454971</v>
      </c>
    </row>
    <row r="1852" customFormat="false" ht="13.8" hidden="false" customHeight="false" outlineLevel="0" collapsed="false">
      <c r="A1852" s="2" t="n">
        <v>42055</v>
      </c>
      <c r="B1852" s="0" t="n">
        <v>2110.3</v>
      </c>
      <c r="C1852" s="0" t="n">
        <v>250.37</v>
      </c>
      <c r="D1852" s="3" t="n">
        <f aca="false">B1852*100/B$2</f>
        <v>145.823544044888</v>
      </c>
      <c r="E1852" s="3" t="n">
        <f aca="false">C1852*100/C$2</f>
        <v>106.404589885253</v>
      </c>
      <c r="F1852" s="0" t="n">
        <v>141.298128748722</v>
      </c>
      <c r="G1852" s="0" t="n">
        <v>113.629938813454</v>
      </c>
      <c r="H1852" s="0" t="n">
        <v>104.568635784105</v>
      </c>
      <c r="I1852" s="0" t="n">
        <v>-9.06130302934882</v>
      </c>
    </row>
    <row r="1853" customFormat="false" ht="13.8" hidden="false" customHeight="false" outlineLevel="0" collapsed="false">
      <c r="A1853" s="2" t="n">
        <v>42058</v>
      </c>
      <c r="B1853" s="0" t="n">
        <v>2109.66</v>
      </c>
      <c r="C1853" s="0" t="n">
        <v>250.8</v>
      </c>
      <c r="D1853" s="3" t="n">
        <f aca="false">B1853*100/B$2</f>
        <v>145.779319494735</v>
      </c>
      <c r="E1853" s="3" t="n">
        <f aca="false">C1853*100/C$2</f>
        <v>106.587335316617</v>
      </c>
      <c r="F1853" s="0" t="n">
        <v>140.154509522098</v>
      </c>
      <c r="G1853" s="0" t="n">
        <v>113.247924002531</v>
      </c>
      <c r="H1853" s="0" t="n">
        <v>104.419889502762</v>
      </c>
      <c r="I1853" s="0" t="n">
        <v>-8.82803449976905</v>
      </c>
    </row>
    <row r="1854" customFormat="false" ht="13.8" hidden="false" customHeight="false" outlineLevel="0" collapsed="false">
      <c r="A1854" s="2" t="n">
        <v>42059</v>
      </c>
      <c r="B1854" s="0" t="n">
        <v>2115.48</v>
      </c>
      <c r="C1854" s="0" t="n">
        <v>251.28</v>
      </c>
      <c r="D1854" s="3" t="n">
        <f aca="false">B1854*100/B$2</f>
        <v>146.181486497692</v>
      </c>
      <c r="E1854" s="3" t="n">
        <f aca="false">C1854*100/C$2</f>
        <v>106.791330216745</v>
      </c>
      <c r="F1854" s="0" t="n">
        <v>139.793112026314</v>
      </c>
      <c r="G1854" s="0" t="n">
        <v>113.127202705787</v>
      </c>
      <c r="H1854" s="0" t="n">
        <v>104.670633234169</v>
      </c>
      <c r="I1854" s="0" t="n">
        <v>-8.45656947161757</v>
      </c>
    </row>
    <row r="1855" customFormat="false" ht="13.8" hidden="false" customHeight="false" outlineLevel="0" collapsed="false">
      <c r="A1855" s="2" t="n">
        <v>42060</v>
      </c>
      <c r="B1855" s="0" t="n">
        <v>2113.86</v>
      </c>
      <c r="C1855" s="0" t="n">
        <v>252.96</v>
      </c>
      <c r="D1855" s="3" t="n">
        <f aca="false">B1855*100/B$2</f>
        <v>146.069543105116</v>
      </c>
      <c r="E1855" s="3" t="n">
        <f aca="false">C1855*100/C$2</f>
        <v>107.505312367191</v>
      </c>
      <c r="F1855" s="0" t="n">
        <v>138.980485917245</v>
      </c>
      <c r="G1855" s="0" t="n">
        <v>112.855752906605</v>
      </c>
      <c r="H1855" s="0" t="n">
        <v>104.543136421589</v>
      </c>
      <c r="I1855" s="0" t="n">
        <v>-8.31261648501592</v>
      </c>
    </row>
    <row r="1856" customFormat="false" ht="13.8" hidden="false" customHeight="false" outlineLevel="0" collapsed="false">
      <c r="A1856" s="2" t="n">
        <v>42061</v>
      </c>
      <c r="B1856" s="0" t="n">
        <v>2110.74</v>
      </c>
      <c r="C1856" s="0" t="n">
        <v>252.93</v>
      </c>
      <c r="D1856" s="3" t="n">
        <f aca="false">B1856*100/B$2</f>
        <v>145.853948423118</v>
      </c>
      <c r="E1856" s="3" t="n">
        <f aca="false">C1856*100/C$2</f>
        <v>107.492562685933</v>
      </c>
      <c r="F1856" s="0" t="n">
        <v>137.695209928412</v>
      </c>
      <c r="G1856" s="0" t="n">
        <v>112.426419040553</v>
      </c>
      <c r="H1856" s="0" t="n">
        <v>104.445388865278</v>
      </c>
      <c r="I1856" s="0" t="n">
        <v>-7.98103017527488</v>
      </c>
    </row>
    <row r="1857" customFormat="false" ht="13.8" hidden="false" customHeight="false" outlineLevel="0" collapsed="false">
      <c r="A1857" s="2" t="n">
        <v>42062</v>
      </c>
      <c r="B1857" s="0" t="n">
        <v>2104.5</v>
      </c>
      <c r="C1857" s="0" t="n">
        <v>251.46</v>
      </c>
      <c r="D1857" s="3" t="n">
        <f aca="false">B1857*100/B$2</f>
        <v>145.422759059123</v>
      </c>
      <c r="E1857" s="3" t="n">
        <f aca="false">C1857*100/C$2</f>
        <v>106.867828304292</v>
      </c>
      <c r="F1857" s="0" t="n">
        <v>139.543657923105</v>
      </c>
      <c r="G1857" s="0" t="n">
        <v>113.043875003827</v>
      </c>
      <c r="H1857" s="0" t="n">
        <v>102.940926476838</v>
      </c>
      <c r="I1857" s="0" t="n">
        <v>-10.1029485269891</v>
      </c>
    </row>
    <row r="1858" customFormat="false" ht="13.8" hidden="false" customHeight="false" outlineLevel="0" collapsed="false">
      <c r="A1858" s="2" t="n">
        <v>42065</v>
      </c>
      <c r="B1858" s="0" t="n">
        <v>2117.39</v>
      </c>
      <c r="C1858" s="0" t="n">
        <v>253.65</v>
      </c>
      <c r="D1858" s="3" t="n">
        <f aca="false">B1858*100/B$2</f>
        <v>146.313469139556</v>
      </c>
      <c r="E1858" s="3" t="n">
        <f aca="false">C1858*100/C$2</f>
        <v>107.798555036124</v>
      </c>
      <c r="F1858" s="0" t="n">
        <v>139.543657923105</v>
      </c>
      <c r="G1858" s="0" t="n">
        <v>113.043875003827</v>
      </c>
      <c r="H1858" s="0" t="n">
        <v>104.028899277518</v>
      </c>
      <c r="I1858" s="0" t="n">
        <v>-9.01497572630909</v>
      </c>
    </row>
    <row r="1859" customFormat="false" ht="13.8" hidden="false" customHeight="false" outlineLevel="0" collapsed="false">
      <c r="A1859" s="2" t="n">
        <v>42066</v>
      </c>
      <c r="B1859" s="0" t="n">
        <v>2107.78</v>
      </c>
      <c r="C1859" s="0" t="n">
        <v>254.5</v>
      </c>
      <c r="D1859" s="3" t="n">
        <f aca="false">B1859*100/B$2</f>
        <v>145.649409878659</v>
      </c>
      <c r="E1859" s="3" t="n">
        <f aca="false">C1859*100/C$2</f>
        <v>108.1597960051</v>
      </c>
      <c r="F1859" s="0" t="n">
        <v>139.759943613699</v>
      </c>
      <c r="G1859" s="0" t="n">
        <v>113.116123122147</v>
      </c>
      <c r="H1859" s="0" t="n">
        <v>105.074373140671</v>
      </c>
      <c r="I1859" s="0" t="n">
        <v>-8.04174998147518</v>
      </c>
    </row>
    <row r="1860" customFormat="false" ht="13.8" hidden="false" customHeight="false" outlineLevel="0" collapsed="false">
      <c r="A1860" s="2" t="n">
        <v>42067</v>
      </c>
      <c r="B1860" s="0" t="n">
        <v>2098.53</v>
      </c>
      <c r="C1860" s="0" t="n">
        <v>254.31</v>
      </c>
      <c r="D1860" s="3" t="n">
        <f aca="false">B1860*100/B$2</f>
        <v>145.010226927223</v>
      </c>
      <c r="E1860" s="3" t="n">
        <f aca="false">C1860*100/C$2</f>
        <v>108.079048023799</v>
      </c>
      <c r="F1860" s="0" t="n">
        <v>140.421238840211</v>
      </c>
      <c r="G1860" s="0" t="n">
        <v>113.33702232097</v>
      </c>
      <c r="H1860" s="0" t="n">
        <v>105.64810879728</v>
      </c>
      <c r="I1860" s="0" t="n">
        <v>-7.6889135236902</v>
      </c>
    </row>
    <row r="1861" customFormat="false" ht="13.8" hidden="false" customHeight="false" outlineLevel="0" collapsed="false">
      <c r="A1861" s="2" t="n">
        <v>42068</v>
      </c>
      <c r="B1861" s="0" t="n">
        <v>2101.04</v>
      </c>
      <c r="C1861" s="0" t="n">
        <v>254.16</v>
      </c>
      <c r="D1861" s="3" t="n">
        <f aca="false">B1861*100/B$2</f>
        <v>145.183670084856</v>
      </c>
      <c r="E1861" s="3" t="n">
        <f aca="false">C1861*100/C$2</f>
        <v>108.01529961751</v>
      </c>
      <c r="F1861" s="0" t="n">
        <v>142.565438514055</v>
      </c>
      <c r="G1861" s="0" t="n">
        <v>114.053271238368</v>
      </c>
      <c r="H1861" s="0" t="n">
        <v>105.597110072248</v>
      </c>
      <c r="I1861" s="0" t="n">
        <v>-8.4561611661198</v>
      </c>
    </row>
    <row r="1862" customFormat="false" ht="13.8" hidden="false" customHeight="false" outlineLevel="0" collapsed="false">
      <c r="A1862" s="2" t="n">
        <v>42069</v>
      </c>
      <c r="B1862" s="0" t="n">
        <v>2071.26</v>
      </c>
      <c r="C1862" s="0" t="n">
        <v>255.96</v>
      </c>
      <c r="D1862" s="3" t="n">
        <f aca="false">B1862*100/B$2</f>
        <v>143.12584648553</v>
      </c>
      <c r="E1862" s="3" t="n">
        <f aca="false">C1862*100/C$2</f>
        <v>108.780280492988</v>
      </c>
      <c r="F1862" s="0" t="n">
        <v>141.782525774621</v>
      </c>
      <c r="G1862" s="0" t="n">
        <v>113.791746899531</v>
      </c>
      <c r="H1862" s="0" t="n">
        <v>106.38334041649</v>
      </c>
      <c r="I1862" s="0" t="n">
        <v>-7.40840648304126</v>
      </c>
    </row>
    <row r="1863" customFormat="false" ht="13.8" hidden="false" customHeight="false" outlineLevel="0" collapsed="false">
      <c r="A1863" s="2" t="n">
        <v>42072</v>
      </c>
      <c r="B1863" s="0" t="n">
        <v>2079.43</v>
      </c>
      <c r="C1863" s="0" t="n">
        <v>252.77</v>
      </c>
      <c r="D1863" s="3" t="n">
        <f aca="false">B1863*100/B$2</f>
        <v>143.690400508582</v>
      </c>
      <c r="E1863" s="3" t="n">
        <f aca="false">C1863*100/C$2</f>
        <v>107.42456438589</v>
      </c>
      <c r="F1863" s="0" t="n">
        <v>142.14668730479</v>
      </c>
      <c r="G1863" s="0" t="n">
        <v>113.913391494912</v>
      </c>
      <c r="H1863" s="0" t="n">
        <v>106.306842328942</v>
      </c>
      <c r="I1863" s="0" t="n">
        <v>-7.60654916597052</v>
      </c>
    </row>
    <row r="1864" customFormat="false" ht="13.8" hidden="false" customHeight="false" outlineLevel="0" collapsed="false">
      <c r="A1864" s="2" t="n">
        <v>42073</v>
      </c>
      <c r="B1864" s="0" t="n">
        <v>2044.16</v>
      </c>
      <c r="C1864" s="0" t="n">
        <v>251.75</v>
      </c>
      <c r="D1864" s="3" t="n">
        <f aca="false">B1864*100/B$2</f>
        <v>141.253213189972</v>
      </c>
      <c r="E1864" s="3" t="n">
        <f aca="false">C1864*100/C$2</f>
        <v>106.991075223119</v>
      </c>
      <c r="F1864" s="0" t="n">
        <v>140.243649631001</v>
      </c>
      <c r="G1864" s="0" t="n">
        <v>113.277700383564</v>
      </c>
      <c r="H1864" s="0" t="n">
        <v>107.182320441989</v>
      </c>
      <c r="I1864" s="0" t="n">
        <v>-6.09537994157519</v>
      </c>
    </row>
    <row r="1865" customFormat="false" ht="13.8" hidden="false" customHeight="false" outlineLevel="0" collapsed="false">
      <c r="A1865" s="2" t="n">
        <v>42074</v>
      </c>
      <c r="B1865" s="0" t="n">
        <v>2040.24</v>
      </c>
      <c r="C1865" s="0" t="n">
        <v>252.16</v>
      </c>
      <c r="D1865" s="3" t="n">
        <f aca="false">B1865*100/B$2</f>
        <v>140.982337820283</v>
      </c>
      <c r="E1865" s="3" t="n">
        <f aca="false">C1865*100/C$2</f>
        <v>107.165320866978</v>
      </c>
      <c r="F1865" s="0" t="n">
        <v>138.350977086155</v>
      </c>
      <c r="G1865" s="0" t="n">
        <v>112.645471642104</v>
      </c>
      <c r="H1865" s="0" t="n">
        <v>107.186570335742</v>
      </c>
      <c r="I1865" s="0" t="n">
        <v>-5.4589013063619</v>
      </c>
    </row>
    <row r="1866" customFormat="false" ht="13.8" hidden="false" customHeight="false" outlineLevel="0" collapsed="false">
      <c r="A1866" s="2" t="n">
        <v>42075</v>
      </c>
      <c r="B1866" s="0" t="n">
        <v>2065.95</v>
      </c>
      <c r="C1866" s="0" t="n">
        <v>250.28</v>
      </c>
      <c r="D1866" s="3" t="n">
        <f aca="false">B1866*100/B$2</f>
        <v>142.758920920976</v>
      </c>
      <c r="E1866" s="3" t="n">
        <f aca="false">C1866*100/C$2</f>
        <v>106.366340841479</v>
      </c>
      <c r="F1866" s="0" t="n">
        <v>139.670112496199</v>
      </c>
      <c r="G1866" s="0" t="n">
        <v>113.086115916455</v>
      </c>
      <c r="H1866" s="0" t="n">
        <v>106.442838929027</v>
      </c>
      <c r="I1866" s="0" t="n">
        <v>-6.64327698742808</v>
      </c>
    </row>
    <row r="1867" customFormat="false" ht="13.8" hidden="false" customHeight="false" outlineLevel="0" collapsed="false">
      <c r="A1867" s="2" t="n">
        <v>42076</v>
      </c>
      <c r="B1867" s="0" t="n">
        <v>2053.4</v>
      </c>
      <c r="C1867" s="0" t="n">
        <v>252.18</v>
      </c>
      <c r="D1867" s="3" t="n">
        <f aca="false">B1867*100/B$2</f>
        <v>141.891705132812</v>
      </c>
      <c r="E1867" s="3" t="n">
        <f aca="false">C1867*100/C$2</f>
        <v>107.173820654484</v>
      </c>
      <c r="F1867" s="0" t="n">
        <v>137.855523922718</v>
      </c>
      <c r="G1867" s="0" t="n">
        <v>112.47997036148</v>
      </c>
      <c r="H1867" s="0" t="n">
        <v>106.196345091373</v>
      </c>
      <c r="I1867" s="0" t="n">
        <v>-6.28362527010748</v>
      </c>
    </row>
    <row r="1868" customFormat="false" ht="13.8" hidden="false" customHeight="false" outlineLevel="0" collapsed="false">
      <c r="A1868" s="2" t="n">
        <v>42079</v>
      </c>
      <c r="B1868" s="0" t="n">
        <v>2081.19</v>
      </c>
      <c r="C1868" s="0" t="n">
        <v>252.44</v>
      </c>
      <c r="D1868" s="3" t="n">
        <f aca="false">B1868*100/B$2</f>
        <v>143.812018021504</v>
      </c>
      <c r="E1868" s="3" t="n">
        <f aca="false">C1868*100/C$2</f>
        <v>107.284317892053</v>
      </c>
      <c r="F1868" s="0" t="n">
        <v>139.642472152354</v>
      </c>
      <c r="G1868" s="0" t="n">
        <v>113.076882930088</v>
      </c>
      <c r="H1868" s="0" t="n">
        <v>106.506587335317</v>
      </c>
      <c r="I1868" s="0" t="n">
        <v>-6.57029559477154</v>
      </c>
    </row>
    <row r="1869" customFormat="false" ht="13.8" hidden="false" customHeight="false" outlineLevel="0" collapsed="false">
      <c r="A1869" s="2" t="n">
        <v>42080</v>
      </c>
      <c r="B1869" s="0" t="n">
        <v>2074.28</v>
      </c>
      <c r="C1869" s="0" t="n">
        <v>258.18</v>
      </c>
      <c r="D1869" s="3" t="n">
        <f aca="false">B1869*100/B$2</f>
        <v>143.334531081567</v>
      </c>
      <c r="E1869" s="3" t="n">
        <f aca="false">C1869*100/C$2</f>
        <v>109.723756906077</v>
      </c>
      <c r="F1869" s="0" t="n">
        <v>141.65883523591</v>
      </c>
      <c r="G1869" s="0" t="n">
        <v>113.75042928554</v>
      </c>
      <c r="H1869" s="0" t="n">
        <v>106.408839779006</v>
      </c>
      <c r="I1869" s="0" t="n">
        <v>-7.34158950653429</v>
      </c>
    </row>
    <row r="1870" customFormat="false" ht="13.8" hidden="false" customHeight="false" outlineLevel="0" collapsed="false">
      <c r="A1870" s="2" t="n">
        <v>42081</v>
      </c>
      <c r="B1870" s="0" t="n">
        <v>2099.5</v>
      </c>
      <c r="C1870" s="0" t="n">
        <v>258.22</v>
      </c>
      <c r="D1870" s="3" t="n">
        <f aca="false">B1870*100/B$2</f>
        <v>145.077254761049</v>
      </c>
      <c r="E1870" s="3" t="n">
        <f aca="false">C1870*100/C$2</f>
        <v>109.740756481088</v>
      </c>
      <c r="F1870" s="0" t="n">
        <v>141.070095911993</v>
      </c>
      <c r="G1870" s="0" t="n">
        <v>113.553766675929</v>
      </c>
      <c r="H1870" s="0" t="n">
        <v>106.92732681683</v>
      </c>
      <c r="I1870" s="0" t="n">
        <v>-6.62643985909926</v>
      </c>
    </row>
    <row r="1871" customFormat="false" ht="13.8" hidden="false" customHeight="false" outlineLevel="0" collapsed="false">
      <c r="A1871" s="2" t="n">
        <v>42082</v>
      </c>
      <c r="B1871" s="0" t="n">
        <v>2089.27</v>
      </c>
      <c r="C1871" s="0" t="n">
        <v>258.99</v>
      </c>
      <c r="D1871" s="3" t="n">
        <f aca="false">B1871*100/B$2</f>
        <v>144.370352967191</v>
      </c>
      <c r="E1871" s="3" t="n">
        <f aca="false">C1871*100/C$2</f>
        <v>110.067998300042</v>
      </c>
      <c r="F1871" s="0" t="n">
        <v>142.521904972498</v>
      </c>
      <c r="G1871" s="0" t="n">
        <v>114.03872928484</v>
      </c>
      <c r="H1871" s="0" t="n">
        <v>106.153846153846</v>
      </c>
      <c r="I1871" s="0" t="n">
        <v>-7.88488313099425</v>
      </c>
    </row>
    <row r="1872" customFormat="false" ht="13.8" hidden="false" customHeight="false" outlineLevel="0" collapsed="false">
      <c r="A1872" s="2" t="n">
        <v>42083</v>
      </c>
      <c r="B1872" s="0" t="n">
        <v>2108.1</v>
      </c>
      <c r="C1872" s="0" t="n">
        <v>258.7</v>
      </c>
      <c r="D1872" s="3" t="n">
        <f aca="false">B1872*100/B$2</f>
        <v>145.671522153736</v>
      </c>
      <c r="E1872" s="3" t="n">
        <f aca="false">C1872*100/C$2</f>
        <v>109.944751381215</v>
      </c>
      <c r="F1872" s="0" t="n">
        <v>142.034743912214</v>
      </c>
      <c r="G1872" s="0" t="n">
        <v>113.875997900127</v>
      </c>
      <c r="H1872" s="0" t="n">
        <v>106.315342116447</v>
      </c>
      <c r="I1872" s="0" t="n">
        <v>-7.56065578368001</v>
      </c>
    </row>
    <row r="1873" customFormat="false" ht="13.8" hidden="false" customHeight="false" outlineLevel="0" collapsed="false">
      <c r="A1873" s="2" t="n">
        <v>42086</v>
      </c>
      <c r="B1873" s="0" t="n">
        <v>2104.42</v>
      </c>
      <c r="C1873" s="0" t="n">
        <v>258.95</v>
      </c>
      <c r="D1873" s="3" t="n">
        <f aca="false">B1873*100/B$2</f>
        <v>145.417230990354</v>
      </c>
      <c r="E1873" s="3" t="n">
        <f aca="false">C1873*100/C$2</f>
        <v>110.050998725032</v>
      </c>
      <c r="F1873" s="0" t="n">
        <v>141.431493407778</v>
      </c>
      <c r="G1873" s="0" t="n">
        <v>113.674487972674</v>
      </c>
      <c r="H1873" s="0" t="n">
        <v>105.932851678708</v>
      </c>
      <c r="I1873" s="0" t="n">
        <v>-7.74163629396557</v>
      </c>
    </row>
    <row r="1874" customFormat="false" ht="13.8" hidden="false" customHeight="false" outlineLevel="0" collapsed="false">
      <c r="A1874" s="2" t="n">
        <v>42087</v>
      </c>
      <c r="B1874" s="0" t="n">
        <v>2091.5</v>
      </c>
      <c r="C1874" s="0" t="n">
        <v>259.16</v>
      </c>
      <c r="D1874" s="3" t="n">
        <f aca="false">B1874*100/B$2</f>
        <v>144.524447884132</v>
      </c>
      <c r="E1874" s="3" t="n">
        <f aca="false">C1874*100/C$2</f>
        <v>110.140246493838</v>
      </c>
      <c r="F1874" s="0" t="n">
        <v>142.941347190359</v>
      </c>
      <c r="G1874" s="0" t="n">
        <v>114.178839852955</v>
      </c>
      <c r="H1874" s="0" t="n">
        <v>105.252868678283</v>
      </c>
      <c r="I1874" s="0" t="n">
        <v>-8.92597117467223</v>
      </c>
    </row>
    <row r="1875" customFormat="false" ht="13.8" hidden="false" customHeight="false" outlineLevel="0" collapsed="false">
      <c r="A1875" s="2" t="n">
        <v>42088</v>
      </c>
      <c r="B1875" s="0" t="n">
        <v>2061.05</v>
      </c>
      <c r="C1875" s="0" t="n">
        <v>258.94</v>
      </c>
      <c r="D1875" s="3" t="n">
        <f aca="false">B1875*100/B$2</f>
        <v>142.420326708864</v>
      </c>
      <c r="E1875" s="3" t="n">
        <f aca="false">C1875*100/C$2</f>
        <v>110.046748831279</v>
      </c>
      <c r="F1875" s="0" t="n">
        <v>142.937201138782</v>
      </c>
      <c r="G1875" s="0" t="n">
        <v>114.177454905</v>
      </c>
      <c r="H1875" s="0" t="n">
        <v>105.56736081598</v>
      </c>
      <c r="I1875" s="0" t="n">
        <v>-8.61009408902068</v>
      </c>
    </row>
    <row r="1876" customFormat="false" ht="13.8" hidden="false" customHeight="false" outlineLevel="0" collapsed="false">
      <c r="A1876" s="2" t="n">
        <v>42089</v>
      </c>
      <c r="B1876" s="0" t="n">
        <v>2056.15</v>
      </c>
      <c r="C1876" s="0" t="n">
        <v>255.99</v>
      </c>
      <c r="D1876" s="3" t="n">
        <f aca="false">B1876*100/B$2</f>
        <v>142.081732496752</v>
      </c>
      <c r="E1876" s="3" t="n">
        <f aca="false">C1876*100/C$2</f>
        <v>108.793030174246</v>
      </c>
      <c r="F1876" s="0" t="n">
        <v>144.315763288095</v>
      </c>
      <c r="G1876" s="0" t="n">
        <v>114.63795010004</v>
      </c>
      <c r="H1876" s="0" t="n">
        <v>105.274118147046</v>
      </c>
      <c r="I1876" s="0" t="n">
        <v>-9.36383195299374</v>
      </c>
    </row>
    <row r="1877" customFormat="false" ht="13.8" hidden="false" customHeight="false" outlineLevel="0" collapsed="false">
      <c r="A1877" s="2" t="n">
        <v>42090</v>
      </c>
      <c r="B1877" s="0" t="n">
        <v>2061.02</v>
      </c>
      <c r="C1877" s="0" t="n">
        <v>255.54</v>
      </c>
      <c r="D1877" s="3" t="n">
        <f aca="false">B1877*100/B$2</f>
        <v>142.418253683076</v>
      </c>
      <c r="E1877" s="3" t="n">
        <f aca="false">C1877*100/C$2</f>
        <v>108.601784955376</v>
      </c>
      <c r="F1877" s="0" t="n">
        <v>144.903811603416</v>
      </c>
      <c r="G1877" s="0" t="n">
        <v>114.834381884992</v>
      </c>
      <c r="H1877" s="0" t="n">
        <v>106.145346366341</v>
      </c>
      <c r="I1877" s="0" t="n">
        <v>-8.68903551865103</v>
      </c>
    </row>
    <row r="1878" customFormat="false" ht="13.8" hidden="false" customHeight="false" outlineLevel="0" collapsed="false">
      <c r="A1878" s="2" t="n">
        <v>42093</v>
      </c>
      <c r="B1878" s="0" t="n">
        <v>2086.24</v>
      </c>
      <c r="C1878" s="0" t="n">
        <v>256.1</v>
      </c>
      <c r="D1878" s="3" t="n">
        <f aca="false">B1878*100/B$2</f>
        <v>144.160977362558</v>
      </c>
      <c r="E1878" s="3" t="n">
        <f aca="false">C1878*100/C$2</f>
        <v>108.839779005525</v>
      </c>
      <c r="F1878" s="0" t="n">
        <v>144.903811603416</v>
      </c>
      <c r="G1878" s="0" t="n">
        <v>114.834381884992</v>
      </c>
      <c r="H1878" s="0" t="n">
        <v>106.166595835104</v>
      </c>
      <c r="I1878" s="0" t="n">
        <v>-8.66778604988774</v>
      </c>
    </row>
    <row r="1879" customFormat="false" ht="13.8" hidden="false" customHeight="false" outlineLevel="0" collapsed="false">
      <c r="A1879" s="2" t="n">
        <v>42094</v>
      </c>
      <c r="B1879" s="0" t="n">
        <v>2067.89</v>
      </c>
      <c r="C1879" s="0" t="n">
        <v>257.28</v>
      </c>
      <c r="D1879" s="3" t="n">
        <f aca="false">B1879*100/B$2</f>
        <v>142.892976588629</v>
      </c>
      <c r="E1879" s="3" t="n">
        <f aca="false">C1879*100/C$2</f>
        <v>109.341266468338</v>
      </c>
      <c r="F1879" s="0" t="n">
        <v>145.135299483126</v>
      </c>
      <c r="G1879" s="0" t="n">
        <v>114.911708145813</v>
      </c>
      <c r="H1879" s="0" t="n">
        <v>106.404589885253</v>
      </c>
      <c r="I1879" s="0" t="n">
        <v>-8.50711826056021</v>
      </c>
    </row>
    <row r="1880" customFormat="false" ht="13.8" hidden="false" customHeight="false" outlineLevel="0" collapsed="false">
      <c r="A1880" s="2" t="n">
        <v>42095</v>
      </c>
      <c r="B1880" s="0" t="n">
        <v>2059.69</v>
      </c>
      <c r="C1880" s="0" t="n">
        <v>254.97</v>
      </c>
      <c r="D1880" s="3" t="n">
        <f aca="false">B1880*100/B$2</f>
        <v>142.326349539788</v>
      </c>
      <c r="E1880" s="3" t="n">
        <f aca="false">C1880*100/C$2</f>
        <v>108.359541011475</v>
      </c>
      <c r="F1880" s="0" t="n">
        <v>145.08969291578</v>
      </c>
      <c r="G1880" s="0" t="n">
        <v>114.896473718308</v>
      </c>
      <c r="H1880" s="0" t="n">
        <v>106.404589885253</v>
      </c>
      <c r="I1880" s="0" t="n">
        <v>-8.49188383305513</v>
      </c>
    </row>
    <row r="1881" customFormat="false" ht="13.8" hidden="false" customHeight="false" outlineLevel="0" collapsed="false">
      <c r="A1881" s="2" t="n">
        <v>42096</v>
      </c>
      <c r="B1881" s="0" t="n">
        <v>2066.96</v>
      </c>
      <c r="C1881" s="0" t="n">
        <v>254.99</v>
      </c>
      <c r="D1881" s="3" t="n">
        <f aca="false">B1881*100/B$2</f>
        <v>142.828712789187</v>
      </c>
      <c r="E1881" s="3" t="n">
        <f aca="false">C1881*100/C$2</f>
        <v>108.36804079898</v>
      </c>
      <c r="F1881" s="0" t="n">
        <v>144.935597998839</v>
      </c>
      <c r="G1881" s="0" t="n">
        <v>114.844999819314</v>
      </c>
      <c r="H1881" s="0" t="n">
        <v>106.404589885253</v>
      </c>
      <c r="I1881" s="0" t="n">
        <v>-8.44040993406071</v>
      </c>
    </row>
    <row r="1882" customFormat="false" ht="13.8" hidden="false" customHeight="false" outlineLevel="0" collapsed="false">
      <c r="A1882" s="2" t="n">
        <v>42097</v>
      </c>
      <c r="B1882" s="0" t="n">
        <v>2066.96</v>
      </c>
      <c r="C1882" s="0" t="n">
        <v>256.75</v>
      </c>
      <c r="D1882" s="3" t="n">
        <f aca="false">B1882*100/B$2</f>
        <v>142.828712789187</v>
      </c>
      <c r="E1882" s="3" t="n">
        <f aca="false">C1882*100/C$2</f>
        <v>109.116022099448</v>
      </c>
      <c r="F1882" s="0" t="n">
        <v>145.823544044888</v>
      </c>
      <c r="G1882" s="0" t="n">
        <v>115.141609506344</v>
      </c>
      <c r="H1882" s="0" t="n">
        <v>106.404589885253</v>
      </c>
      <c r="I1882" s="0" t="n">
        <v>-8.73701962109136</v>
      </c>
    </row>
    <row r="1883" customFormat="false" ht="13.8" hidden="false" customHeight="false" outlineLevel="0" collapsed="false">
      <c r="A1883" s="2" t="n">
        <v>42100</v>
      </c>
      <c r="B1883" s="0" t="n">
        <v>2080.62</v>
      </c>
      <c r="C1883" s="0" t="n">
        <v>256.93</v>
      </c>
      <c r="D1883" s="3" t="n">
        <f aca="false">B1883*100/B$2</f>
        <v>143.772630531524</v>
      </c>
      <c r="E1883" s="3" t="n">
        <f aca="false">C1883*100/C$2</f>
        <v>109.192520186995</v>
      </c>
      <c r="F1883" s="0" t="n">
        <v>145.779319494735</v>
      </c>
      <c r="G1883" s="0" t="n">
        <v>115.126836728157</v>
      </c>
      <c r="H1883" s="0" t="n">
        <v>106.587335316617</v>
      </c>
      <c r="I1883" s="0" t="n">
        <v>-8.53950141154039</v>
      </c>
    </row>
    <row r="1884" customFormat="false" ht="13.8" hidden="false" customHeight="false" outlineLevel="0" collapsed="false">
      <c r="A1884" s="2" t="n">
        <v>42101</v>
      </c>
      <c r="B1884" s="0" t="n">
        <v>2076.33</v>
      </c>
      <c r="C1884" s="0" t="n">
        <v>256.88</v>
      </c>
      <c r="D1884" s="3" t="n">
        <f aca="false">B1884*100/B$2</f>
        <v>143.476187843777</v>
      </c>
      <c r="E1884" s="3" t="n">
        <f aca="false">C1884*100/C$2</f>
        <v>109.171270718232</v>
      </c>
      <c r="F1884" s="0" t="n">
        <v>146.181486497692</v>
      </c>
      <c r="G1884" s="0" t="n">
        <v>115.261176679793</v>
      </c>
      <c r="H1884" s="0" t="n">
        <v>106.791330216745</v>
      </c>
      <c r="I1884" s="0" t="n">
        <v>-8.46984646304857</v>
      </c>
    </row>
    <row r="1885" customFormat="false" ht="13.8" hidden="false" customHeight="false" outlineLevel="0" collapsed="false">
      <c r="A1885" s="2" t="n">
        <v>42102</v>
      </c>
      <c r="B1885" s="0" t="n">
        <v>2081.9</v>
      </c>
      <c r="C1885" s="0" t="n">
        <v>258.51</v>
      </c>
      <c r="D1885" s="3" t="n">
        <f aca="false">B1885*100/B$2</f>
        <v>143.861079631831</v>
      </c>
      <c r="E1885" s="3" t="n">
        <f aca="false">C1885*100/C$2</f>
        <v>109.864003399915</v>
      </c>
      <c r="F1885" s="0" t="n">
        <v>146.069543105116</v>
      </c>
      <c r="G1885" s="0" t="n">
        <v>115.223783085008</v>
      </c>
      <c r="H1885" s="0" t="n">
        <v>107.505312367191</v>
      </c>
      <c r="I1885" s="0" t="n">
        <v>-7.71847071781716</v>
      </c>
    </row>
    <row r="1886" customFormat="false" ht="13.8" hidden="false" customHeight="false" outlineLevel="0" collapsed="false">
      <c r="A1886" s="2" t="n">
        <v>42103</v>
      </c>
      <c r="B1886" s="0" t="n">
        <v>2091.18</v>
      </c>
      <c r="C1886" s="0" t="n">
        <v>258.33</v>
      </c>
      <c r="D1886" s="3" t="n">
        <f aca="false">B1886*100/B$2</f>
        <v>144.502335609055</v>
      </c>
      <c r="E1886" s="3" t="n">
        <f aca="false">C1886*100/C$2</f>
        <v>109.787505312367</v>
      </c>
      <c r="F1886" s="0" t="n">
        <v>145.853948423118</v>
      </c>
      <c r="G1886" s="0" t="n">
        <v>115.151765791348</v>
      </c>
      <c r="H1886" s="0" t="n">
        <v>107.492562685933</v>
      </c>
      <c r="I1886" s="0" t="n">
        <v>-7.65920310541475</v>
      </c>
    </row>
    <row r="1887" customFormat="false" ht="13.8" hidden="false" customHeight="false" outlineLevel="0" collapsed="false">
      <c r="A1887" s="2" t="n">
        <v>42104</v>
      </c>
      <c r="B1887" s="0" t="n">
        <v>2102.06</v>
      </c>
      <c r="C1887" s="0" t="n">
        <v>261.95</v>
      </c>
      <c r="D1887" s="3" t="n">
        <f aca="false">B1887*100/B$2</f>
        <v>145.254152961663</v>
      </c>
      <c r="E1887" s="3" t="n">
        <f aca="false">C1887*100/C$2</f>
        <v>111.325966850829</v>
      </c>
      <c r="F1887" s="0" t="n">
        <v>145.422759059123</v>
      </c>
      <c r="G1887" s="0" t="n">
        <v>115.007731204027</v>
      </c>
      <c r="H1887" s="0" t="n">
        <v>106.867828304292</v>
      </c>
      <c r="I1887" s="0" t="n">
        <v>-8.13990289973449</v>
      </c>
    </row>
    <row r="1888" customFormat="false" ht="13.8" hidden="false" customHeight="false" outlineLevel="0" collapsed="false">
      <c r="A1888" s="2" t="n">
        <v>42107</v>
      </c>
      <c r="B1888" s="0" t="n">
        <v>2092.43</v>
      </c>
      <c r="C1888" s="0" t="n">
        <v>263.48</v>
      </c>
      <c r="D1888" s="3" t="n">
        <f aca="false">B1888*100/B$2</f>
        <v>144.588711683573</v>
      </c>
      <c r="E1888" s="3" t="n">
        <f aca="false">C1888*100/C$2</f>
        <v>111.976200594985</v>
      </c>
      <c r="F1888" s="0" t="n">
        <v>146.313469139556</v>
      </c>
      <c r="G1888" s="0" t="n">
        <v>115.305264189694</v>
      </c>
      <c r="H1888" s="0" t="n">
        <v>107.798555036124</v>
      </c>
      <c r="I1888" s="0" t="n">
        <v>-7.5067091535701</v>
      </c>
    </row>
    <row r="1889" customFormat="false" ht="13.8" hidden="false" customHeight="false" outlineLevel="0" collapsed="false">
      <c r="A1889" s="2" t="n">
        <v>42108</v>
      </c>
      <c r="B1889" s="0" t="n">
        <v>2095.84</v>
      </c>
      <c r="C1889" s="0" t="n">
        <v>265.57</v>
      </c>
      <c r="D1889" s="3" t="n">
        <f aca="false">B1889*100/B$2</f>
        <v>144.824345614859</v>
      </c>
      <c r="E1889" s="3" t="n">
        <f aca="false">C1889*100/C$2</f>
        <v>112.86442838929</v>
      </c>
      <c r="F1889" s="0" t="n">
        <v>145.649409878659</v>
      </c>
      <c r="G1889" s="0" t="n">
        <v>115.083441692234</v>
      </c>
      <c r="H1889" s="0" t="n">
        <v>108.1597960051</v>
      </c>
      <c r="I1889" s="0" t="n">
        <v>-6.92364568713407</v>
      </c>
    </row>
    <row r="1890" customFormat="false" ht="13.8" hidden="false" customHeight="false" outlineLevel="0" collapsed="false">
      <c r="A1890" s="2" t="n">
        <v>42109</v>
      </c>
      <c r="B1890" s="0" t="n">
        <v>2106.63</v>
      </c>
      <c r="C1890" s="0" t="n">
        <v>265.77</v>
      </c>
      <c r="D1890" s="3" t="n">
        <f aca="false">B1890*100/B$2</f>
        <v>145.569943890102</v>
      </c>
      <c r="E1890" s="3" t="n">
        <f aca="false">C1890*100/C$2</f>
        <v>112.949426264343</v>
      </c>
      <c r="F1890" s="0" t="n">
        <v>145.010226927223</v>
      </c>
      <c r="G1890" s="0" t="n">
        <v>114.869928882504</v>
      </c>
      <c r="H1890" s="0" t="n">
        <v>108.079048023799</v>
      </c>
      <c r="I1890" s="0" t="n">
        <v>-6.7908808587043</v>
      </c>
    </row>
    <row r="1891" customFormat="false" ht="13.8" hidden="false" customHeight="false" outlineLevel="0" collapsed="false">
      <c r="A1891" s="2" t="n">
        <v>42110</v>
      </c>
      <c r="B1891" s="0" t="n">
        <v>2104.99</v>
      </c>
      <c r="C1891" s="0" t="n">
        <v>268.45</v>
      </c>
      <c r="D1891" s="3" t="n">
        <f aca="false">B1891*100/B$2</f>
        <v>145.456618480334</v>
      </c>
      <c r="E1891" s="3" t="n">
        <f aca="false">C1891*100/C$2</f>
        <v>114.088397790055</v>
      </c>
      <c r="F1891" s="0" t="n">
        <v>145.183670084856</v>
      </c>
      <c r="G1891" s="0" t="n">
        <v>114.927865871955</v>
      </c>
      <c r="H1891" s="0" t="n">
        <v>108.01529961751</v>
      </c>
      <c r="I1891" s="0" t="n">
        <v>-6.91256625444527</v>
      </c>
    </row>
    <row r="1892" customFormat="false" ht="13.8" hidden="false" customHeight="false" outlineLevel="0" collapsed="false">
      <c r="A1892" s="2" t="n">
        <v>42111</v>
      </c>
      <c r="B1892" s="0" t="n">
        <v>2081.18</v>
      </c>
      <c r="C1892" s="0" t="n">
        <v>268.28</v>
      </c>
      <c r="D1892" s="3" t="n">
        <f aca="false">B1892*100/B$2</f>
        <v>143.811327012908</v>
      </c>
      <c r="E1892" s="3" t="n">
        <f aca="false">C1892*100/C$2</f>
        <v>114.01614959626</v>
      </c>
      <c r="F1892" s="0" t="n">
        <v>143.12584648553</v>
      </c>
      <c r="G1892" s="0" t="n">
        <v>114.240470036953</v>
      </c>
      <c r="H1892" s="0" t="n">
        <v>108.780280492988</v>
      </c>
      <c r="I1892" s="0" t="n">
        <v>-5.46018954396541</v>
      </c>
    </row>
    <row r="1893" customFormat="false" ht="13.8" hidden="false" customHeight="false" outlineLevel="0" collapsed="false">
      <c r="A1893" s="2" t="n">
        <v>42114</v>
      </c>
      <c r="B1893" s="0" t="n">
        <v>2100.4</v>
      </c>
      <c r="C1893" s="0" t="n">
        <v>268.55</v>
      </c>
      <c r="D1893" s="3" t="n">
        <f aca="false">B1893*100/B$2</f>
        <v>145.139445534702</v>
      </c>
      <c r="E1893" s="3" t="n">
        <f aca="false">C1893*100/C$2</f>
        <v>114.130896727582</v>
      </c>
      <c r="F1893" s="0" t="n">
        <v>143.690400508582</v>
      </c>
      <c r="G1893" s="0" t="n">
        <v>114.429053783493</v>
      </c>
      <c r="H1893" s="0" t="n">
        <v>107.42456438589</v>
      </c>
      <c r="I1893" s="0" t="n">
        <v>-7.00448939760283</v>
      </c>
    </row>
    <row r="1894" customFormat="false" ht="13.8" hidden="false" customHeight="false" outlineLevel="0" collapsed="false">
      <c r="A1894" s="2" t="n">
        <v>42115</v>
      </c>
      <c r="B1894" s="0" t="n">
        <v>2097.29</v>
      </c>
      <c r="C1894" s="0" t="n">
        <v>268.17</v>
      </c>
      <c r="D1894" s="3" t="n">
        <f aca="false">B1894*100/B$2</f>
        <v>144.924541861301</v>
      </c>
      <c r="E1894" s="3" t="n">
        <f aca="false">C1894*100/C$2</f>
        <v>113.969400764981</v>
      </c>
      <c r="F1894" s="0" t="n">
        <v>141.253213189972</v>
      </c>
      <c r="G1894" s="0" t="n">
        <v>113.614935210608</v>
      </c>
      <c r="H1894" s="0" t="n">
        <v>106.991075223119</v>
      </c>
      <c r="I1894" s="0" t="n">
        <v>-6.62385998748889</v>
      </c>
    </row>
    <row r="1895" customFormat="false" ht="13.8" hidden="false" customHeight="false" outlineLevel="0" collapsed="false">
      <c r="A1895" s="2" t="n">
        <v>42116</v>
      </c>
      <c r="B1895" s="0" t="n">
        <v>2107.96</v>
      </c>
      <c r="C1895" s="0" t="n">
        <v>268.64</v>
      </c>
      <c r="D1895" s="3" t="n">
        <f aca="false">B1895*100/B$2</f>
        <v>145.66184803339</v>
      </c>
      <c r="E1895" s="3" t="n">
        <f aca="false">C1895*100/C$2</f>
        <v>114.169145771356</v>
      </c>
      <c r="F1895" s="0" t="n">
        <v>140.982337820283</v>
      </c>
      <c r="G1895" s="0" t="n">
        <v>113.524451944215</v>
      </c>
      <c r="H1895" s="0" t="n">
        <v>107.165320866978</v>
      </c>
      <c r="I1895" s="0" t="n">
        <v>-6.3591310772362</v>
      </c>
    </row>
    <row r="1896" customFormat="false" ht="13.8" hidden="false" customHeight="false" outlineLevel="0" collapsed="false">
      <c r="A1896" s="2" t="n">
        <v>42117</v>
      </c>
      <c r="B1896" s="0" t="n">
        <v>2112.93</v>
      </c>
      <c r="C1896" s="0" t="n">
        <v>272.59</v>
      </c>
      <c r="D1896" s="3" t="n">
        <f aca="false">B1896*100/B$2</f>
        <v>146.005279305675</v>
      </c>
      <c r="E1896" s="3" t="n">
        <f aca="false">C1896*100/C$2</f>
        <v>115.847853803655</v>
      </c>
      <c r="F1896" s="0" t="n">
        <v>142.758920920976</v>
      </c>
      <c r="G1896" s="0" t="n">
        <v>114.117902142935</v>
      </c>
      <c r="H1896" s="0" t="n">
        <v>106.366340841479</v>
      </c>
      <c r="I1896" s="0" t="n">
        <v>-7.75156130145601</v>
      </c>
    </row>
    <row r="1897" customFormat="false" ht="13.8" hidden="false" customHeight="false" outlineLevel="0" collapsed="false">
      <c r="A1897" s="2" t="n">
        <v>42118</v>
      </c>
      <c r="B1897" s="0" t="n">
        <v>2117.69</v>
      </c>
      <c r="C1897" s="0" t="n">
        <v>271.05</v>
      </c>
      <c r="D1897" s="3" t="n">
        <f aca="false">B1897*100/B$2</f>
        <v>146.334199397441</v>
      </c>
      <c r="E1897" s="3" t="n">
        <f aca="false">C1897*100/C$2</f>
        <v>115.193370165746</v>
      </c>
      <c r="F1897" s="0" t="n">
        <v>141.891705132812</v>
      </c>
      <c r="G1897" s="0" t="n">
        <v>113.828217195679</v>
      </c>
      <c r="H1897" s="0" t="n">
        <v>107.173820654484</v>
      </c>
      <c r="I1897" s="0" t="n">
        <v>-6.65439654119574</v>
      </c>
    </row>
    <row r="1898" customFormat="false" ht="13.8" hidden="false" customHeight="false" outlineLevel="0" collapsed="false">
      <c r="A1898" s="2" t="n">
        <v>42121</v>
      </c>
      <c r="B1898" s="0" t="n">
        <v>2108.92</v>
      </c>
      <c r="C1898" s="0" t="n">
        <v>270.05</v>
      </c>
      <c r="D1898" s="3" t="n">
        <f aca="false">B1898*100/B$2</f>
        <v>145.72818485862</v>
      </c>
      <c r="E1898" s="3" t="n">
        <f aca="false">C1898*100/C$2</f>
        <v>114.76838079048</v>
      </c>
      <c r="F1898" s="0" t="n">
        <v>143.812018021504</v>
      </c>
      <c r="G1898" s="0" t="n">
        <v>114.469678923507</v>
      </c>
      <c r="H1898" s="0" t="n">
        <v>107.284317892053</v>
      </c>
      <c r="I1898" s="0" t="n">
        <v>-7.18536103145401</v>
      </c>
    </row>
    <row r="1899" customFormat="false" ht="13.8" hidden="false" customHeight="false" outlineLevel="0" collapsed="false">
      <c r="A1899" s="2" t="n">
        <v>42122</v>
      </c>
      <c r="B1899" s="0" t="n">
        <v>2114.76</v>
      </c>
      <c r="C1899" s="0" t="n">
        <v>268.55</v>
      </c>
      <c r="D1899" s="3" t="n">
        <f aca="false">B1899*100/B$2</f>
        <v>146.131733878769</v>
      </c>
      <c r="E1899" s="3" t="n">
        <f aca="false">C1899*100/C$2</f>
        <v>114.130896727582</v>
      </c>
      <c r="F1899" s="0" t="n">
        <v>143.334531081567</v>
      </c>
      <c r="G1899" s="0" t="n">
        <v>114.310179084022</v>
      </c>
      <c r="H1899" s="0" t="n">
        <v>109.723756906077</v>
      </c>
      <c r="I1899" s="0" t="n">
        <v>-4.58642217794443</v>
      </c>
    </row>
    <row r="1900" customFormat="false" ht="13.8" hidden="false" customHeight="false" outlineLevel="0" collapsed="false">
      <c r="A1900" s="2" t="n">
        <v>42123</v>
      </c>
      <c r="B1900" s="0" t="n">
        <v>2106.85</v>
      </c>
      <c r="C1900" s="0" t="n">
        <v>268.03</v>
      </c>
      <c r="D1900" s="3" t="n">
        <f aca="false">B1900*100/B$2</f>
        <v>145.585146079217</v>
      </c>
      <c r="E1900" s="3" t="n">
        <f aca="false">C1900*100/C$2</f>
        <v>113.909902252444</v>
      </c>
      <c r="F1900" s="0" t="n">
        <v>145.077254761049</v>
      </c>
      <c r="G1900" s="0" t="n">
        <v>114.892318874443</v>
      </c>
      <c r="H1900" s="0" t="n">
        <v>109.740756481088</v>
      </c>
      <c r="I1900" s="0" t="n">
        <v>-5.15156239335501</v>
      </c>
    </row>
    <row r="1901" customFormat="false" ht="13.8" hidden="false" customHeight="false" outlineLevel="0" collapsed="false">
      <c r="A1901" s="2" t="n">
        <v>42124</v>
      </c>
      <c r="B1901" s="0" t="n">
        <v>2085.51</v>
      </c>
      <c r="C1901" s="0" t="n">
        <v>266.42</v>
      </c>
      <c r="D1901" s="3" t="n">
        <f aca="false">B1901*100/B$2</f>
        <v>144.11053373504</v>
      </c>
      <c r="E1901" s="3" t="n">
        <f aca="false">C1901*100/C$2</f>
        <v>113.225669358266</v>
      </c>
      <c r="F1901" s="0" t="n">
        <v>144.370352967191</v>
      </c>
      <c r="G1901" s="0" t="n">
        <v>114.656185248114</v>
      </c>
      <c r="H1901" s="0" t="n">
        <v>110.067998300042</v>
      </c>
      <c r="I1901" s="0" t="n">
        <v>-4.58818694807182</v>
      </c>
    </row>
    <row r="1902" customFormat="false" ht="13.8" hidden="false" customHeight="false" outlineLevel="0" collapsed="false">
      <c r="A1902" s="2" t="n">
        <v>42125</v>
      </c>
      <c r="B1902" s="0" t="n">
        <v>2108.29</v>
      </c>
      <c r="C1902" s="0" t="n">
        <v>266.42</v>
      </c>
      <c r="D1902" s="3" t="n">
        <f aca="false">B1902*100/B$2</f>
        <v>145.684651317062</v>
      </c>
      <c r="E1902" s="3" t="n">
        <f aca="false">C1902*100/C$2</f>
        <v>113.225669358266</v>
      </c>
      <c r="F1902" s="0" t="n">
        <v>145.671522153736</v>
      </c>
      <c r="G1902" s="0" t="n">
        <v>115.090828081327</v>
      </c>
      <c r="H1902" s="0" t="n">
        <v>109.944751381215</v>
      </c>
      <c r="I1902" s="0" t="n">
        <v>-5.14607670011183</v>
      </c>
    </row>
    <row r="1903" customFormat="false" ht="13.8" hidden="false" customHeight="false" outlineLevel="0" collapsed="false">
      <c r="A1903" s="2" t="n">
        <v>42128</v>
      </c>
      <c r="B1903" s="0" t="n">
        <v>2114.49</v>
      </c>
      <c r="C1903" s="0" t="n">
        <v>267.33</v>
      </c>
      <c r="D1903" s="3" t="n">
        <f aca="false">B1903*100/B$2</f>
        <v>146.113076646673</v>
      </c>
      <c r="E1903" s="3" t="n">
        <f aca="false">C1903*100/C$2</f>
        <v>113.612409689758</v>
      </c>
      <c r="F1903" s="0" t="n">
        <v>145.417230990354</v>
      </c>
      <c r="G1903" s="0" t="n">
        <v>115.005884606754</v>
      </c>
      <c r="H1903" s="0" t="n">
        <v>110.050998725032</v>
      </c>
      <c r="I1903" s="0" t="n">
        <v>-4.95488588172167</v>
      </c>
    </row>
    <row r="1904" customFormat="false" ht="13.8" hidden="false" customHeight="false" outlineLevel="0" collapsed="false">
      <c r="A1904" s="2" t="n">
        <v>42129</v>
      </c>
      <c r="B1904" s="0" t="n">
        <v>2089.46</v>
      </c>
      <c r="C1904" s="0" t="n">
        <v>267.33</v>
      </c>
      <c r="D1904" s="3" t="n">
        <f aca="false">B1904*100/B$2</f>
        <v>144.383482130518</v>
      </c>
      <c r="E1904" s="3" t="n">
        <f aca="false">C1904*100/C$2</f>
        <v>113.612409689758</v>
      </c>
      <c r="F1904" s="0" t="n">
        <v>144.524447884132</v>
      </c>
      <c r="G1904" s="0" t="n">
        <v>114.707659147109</v>
      </c>
      <c r="H1904" s="0" t="n">
        <v>110.140246493838</v>
      </c>
      <c r="I1904" s="0" t="n">
        <v>-4.56741265327106</v>
      </c>
    </row>
    <row r="1905" customFormat="false" ht="13.8" hidden="false" customHeight="false" outlineLevel="0" collapsed="false">
      <c r="A1905" s="2" t="n">
        <v>42130</v>
      </c>
      <c r="B1905" s="0" t="n">
        <v>2080.15</v>
      </c>
      <c r="C1905" s="0" t="n">
        <v>264.03</v>
      </c>
      <c r="D1905" s="3" t="n">
        <f aca="false">B1905*100/B$2</f>
        <v>143.740153127505</v>
      </c>
      <c r="E1905" s="3" t="n">
        <f aca="false">C1905*100/C$2</f>
        <v>112.209944751381</v>
      </c>
      <c r="F1905" s="0" t="n">
        <v>142.420326708864</v>
      </c>
      <c r="G1905" s="0" t="n">
        <v>114.004798059943</v>
      </c>
      <c r="H1905" s="0" t="n">
        <v>110.046748831279</v>
      </c>
      <c r="I1905" s="0" t="n">
        <v>-3.95804922866353</v>
      </c>
    </row>
    <row r="1906" customFormat="false" ht="13.8" hidden="false" customHeight="false" outlineLevel="0" collapsed="false">
      <c r="A1906" s="2" t="n">
        <v>42131</v>
      </c>
      <c r="B1906" s="0" t="n">
        <v>2088</v>
      </c>
      <c r="C1906" s="0" t="n">
        <v>262.47</v>
      </c>
      <c r="D1906" s="3" t="n">
        <f aca="false">B1906*100/B$2</f>
        <v>144.28259487548</v>
      </c>
      <c r="E1906" s="3" t="n">
        <f aca="false">C1906*100/C$2</f>
        <v>111.546961325967</v>
      </c>
      <c r="F1906" s="0" t="n">
        <v>142.081732496752</v>
      </c>
      <c r="G1906" s="0" t="n">
        <v>113.891693976951</v>
      </c>
      <c r="H1906" s="0" t="n">
        <v>108.793030174246</v>
      </c>
      <c r="I1906" s="0" t="n">
        <v>-5.09866380270486</v>
      </c>
    </row>
    <row r="1907" customFormat="false" ht="13.8" hidden="false" customHeight="false" outlineLevel="0" collapsed="false">
      <c r="A1907" s="2" t="n">
        <v>42132</v>
      </c>
      <c r="B1907" s="0" t="n">
        <v>2116.1</v>
      </c>
      <c r="C1907" s="0" t="n">
        <v>260.81</v>
      </c>
      <c r="D1907" s="3" t="n">
        <f aca="false">B1907*100/B$2</f>
        <v>146.224329030653</v>
      </c>
      <c r="E1907" s="3" t="n">
        <f aca="false">C1907*100/C$2</f>
        <v>110.841478963026</v>
      </c>
      <c r="F1907" s="0" t="n">
        <v>142.418253683076</v>
      </c>
      <c r="G1907" s="0" t="n">
        <v>114.004105585965</v>
      </c>
      <c r="H1907" s="0" t="n">
        <v>108.601784955376</v>
      </c>
      <c r="I1907" s="0" t="n">
        <v>-5.40232063058915</v>
      </c>
    </row>
    <row r="1908" customFormat="false" ht="13.8" hidden="false" customHeight="false" outlineLevel="0" collapsed="false">
      <c r="A1908" s="2" t="n">
        <v>42135</v>
      </c>
      <c r="B1908" s="0" t="n">
        <v>2105.33</v>
      </c>
      <c r="C1908" s="0" t="n">
        <v>261.49</v>
      </c>
      <c r="D1908" s="3" t="n">
        <f aca="false">B1908*100/B$2</f>
        <v>145.480112772603</v>
      </c>
      <c r="E1908" s="3" t="n">
        <f aca="false">C1908*100/C$2</f>
        <v>111.130471738207</v>
      </c>
      <c r="F1908" s="0" t="n">
        <v>144.160977362558</v>
      </c>
      <c r="G1908" s="0" t="n">
        <v>114.586245376386</v>
      </c>
      <c r="H1908" s="0" t="n">
        <v>108.839779005525</v>
      </c>
      <c r="I1908" s="0" t="n">
        <v>-5.74646637086157</v>
      </c>
    </row>
    <row r="1909" customFormat="false" ht="13.8" hidden="false" customHeight="false" outlineLevel="0" collapsed="false">
      <c r="A1909" s="2" t="n">
        <v>42136</v>
      </c>
      <c r="B1909" s="0" t="n">
        <v>2099.12</v>
      </c>
      <c r="C1909" s="0" t="n">
        <v>261.42</v>
      </c>
      <c r="D1909" s="3" t="n">
        <f aca="false">B1909*100/B$2</f>
        <v>145.050996434396</v>
      </c>
      <c r="E1909" s="3" t="n">
        <f aca="false">C1909*100/C$2</f>
        <v>111.100722481938</v>
      </c>
      <c r="F1909" s="0" t="n">
        <v>142.892976588629</v>
      </c>
      <c r="G1909" s="0" t="n">
        <v>114.162682126814</v>
      </c>
      <c r="H1909" s="0" t="n">
        <v>109.341266468338</v>
      </c>
      <c r="I1909" s="0" t="n">
        <v>-4.82141565847525</v>
      </c>
    </row>
    <row r="1910" customFormat="false" ht="13.8" hidden="false" customHeight="false" outlineLevel="0" collapsed="false">
      <c r="A1910" s="2" t="n">
        <v>42137</v>
      </c>
      <c r="B1910" s="0" t="n">
        <v>2098.48</v>
      </c>
      <c r="C1910" s="0" t="n">
        <v>263.25</v>
      </c>
      <c r="D1910" s="3" t="n">
        <f aca="false">B1910*100/B$2</f>
        <v>145.006771884242</v>
      </c>
      <c r="E1910" s="3" t="n">
        <f aca="false">C1910*100/C$2</f>
        <v>111.878453038674</v>
      </c>
      <c r="F1910" s="0" t="n">
        <v>142.326349539788</v>
      </c>
      <c r="G1910" s="0" t="n">
        <v>113.973405906296</v>
      </c>
      <c r="H1910" s="0" t="n">
        <v>108.359541011475</v>
      </c>
      <c r="I1910" s="0" t="n">
        <v>-5.61386489482121</v>
      </c>
    </row>
    <row r="1911" customFormat="false" ht="13.8" hidden="false" customHeight="false" outlineLevel="0" collapsed="false">
      <c r="A1911" s="2" t="n">
        <v>42138</v>
      </c>
      <c r="B1911" s="0" t="n">
        <v>2121.1</v>
      </c>
      <c r="C1911" s="0" t="n">
        <v>263.69</v>
      </c>
      <c r="D1911" s="3" t="n">
        <f aca="false">B1911*100/B$2</f>
        <v>146.569833328727</v>
      </c>
      <c r="E1911" s="3" t="n">
        <f aca="false">C1911*100/C$2</f>
        <v>112.065448363791</v>
      </c>
      <c r="F1911" s="0" t="n">
        <v>142.828712789187</v>
      </c>
      <c r="G1911" s="0" t="n">
        <v>114.141215433511</v>
      </c>
      <c r="H1911" s="0" t="n">
        <v>108.36804079898</v>
      </c>
      <c r="I1911" s="0" t="n">
        <v>-5.7731746345309</v>
      </c>
    </row>
    <row r="1912" customFormat="false" ht="13.8" hidden="false" customHeight="false" outlineLevel="0" collapsed="false">
      <c r="A1912" s="2" t="n">
        <v>42139</v>
      </c>
      <c r="B1912" s="0" t="n">
        <v>2122.73</v>
      </c>
      <c r="C1912" s="0" t="n">
        <v>261.33</v>
      </c>
      <c r="D1912" s="3" t="n">
        <f aca="false">B1912*100/B$2</f>
        <v>146.682467729899</v>
      </c>
      <c r="E1912" s="3" t="n">
        <f aca="false">C1912*100/C$2</f>
        <v>111.062473438164</v>
      </c>
      <c r="F1912" s="0" t="n">
        <v>142.828712789187</v>
      </c>
      <c r="G1912" s="0" t="n">
        <v>114.141215433511</v>
      </c>
      <c r="H1912" s="0" t="n">
        <v>109.116022099448</v>
      </c>
      <c r="I1912" s="0" t="n">
        <v>-5.02519333406342</v>
      </c>
    </row>
    <row r="1913" customFormat="false" ht="13.8" hidden="false" customHeight="false" outlineLevel="0" collapsed="false">
      <c r="A1913" s="2" t="n">
        <v>42142</v>
      </c>
      <c r="B1913" s="0" t="n">
        <v>2129.2</v>
      </c>
      <c r="C1913" s="0" t="n">
        <v>261.97</v>
      </c>
      <c r="D1913" s="3" t="n">
        <f aca="false">B1913*100/B$2</f>
        <v>147.129550291606</v>
      </c>
      <c r="E1913" s="3" t="n">
        <f aca="false">C1913*100/C$2</f>
        <v>111.334466638334</v>
      </c>
      <c r="F1913" s="0" t="n">
        <v>143.772630531524</v>
      </c>
      <c r="G1913" s="0" t="n">
        <v>114.456521917934</v>
      </c>
      <c r="H1913" s="0" t="n">
        <v>109.192520186995</v>
      </c>
      <c r="I1913" s="0" t="n">
        <v>-5.26400173093883</v>
      </c>
    </row>
    <row r="1914" customFormat="false" ht="13.8" hidden="false" customHeight="false" outlineLevel="0" collapsed="false">
      <c r="A1914" s="2" t="n">
        <v>42143</v>
      </c>
      <c r="B1914" s="0" t="n">
        <v>2127.83</v>
      </c>
      <c r="C1914" s="0" t="n">
        <v>262.92</v>
      </c>
      <c r="D1914" s="3" t="n">
        <f aca="false">B1914*100/B$2</f>
        <v>147.034882113934</v>
      </c>
      <c r="E1914" s="3" t="n">
        <f aca="false">C1914*100/C$2</f>
        <v>111.738206544836</v>
      </c>
      <c r="F1914" s="0" t="n">
        <v>143.476187843777</v>
      </c>
      <c r="G1914" s="0" t="n">
        <v>114.357498139151</v>
      </c>
      <c r="H1914" s="0" t="n">
        <v>109.171270718232</v>
      </c>
      <c r="I1914" s="0" t="n">
        <v>-5.18622742091911</v>
      </c>
    </row>
    <row r="1915" customFormat="false" ht="13.8" hidden="false" customHeight="false" outlineLevel="0" collapsed="false">
      <c r="A1915" s="2" t="n">
        <v>42144</v>
      </c>
      <c r="B1915" s="0" t="n">
        <v>2125.85</v>
      </c>
      <c r="C1915" s="0" t="n">
        <v>265.36</v>
      </c>
      <c r="D1915" s="3" t="n">
        <f aca="false">B1915*100/B$2</f>
        <v>146.898062411896</v>
      </c>
      <c r="E1915" s="3" t="n">
        <f aca="false">C1915*100/C$2</f>
        <v>112.775180620484</v>
      </c>
      <c r="F1915" s="0" t="n">
        <v>143.861079631831</v>
      </c>
      <c r="G1915" s="0" t="n">
        <v>114.486067474308</v>
      </c>
      <c r="H1915" s="0" t="n">
        <v>109.864003399915</v>
      </c>
      <c r="I1915" s="0" t="n">
        <v>-4.62206407439264</v>
      </c>
    </row>
    <row r="1916" customFormat="false" ht="13.8" hidden="false" customHeight="false" outlineLevel="0" collapsed="false">
      <c r="A1916" s="2" t="n">
        <v>42145</v>
      </c>
      <c r="B1916" s="0" t="n">
        <v>2130.82</v>
      </c>
      <c r="C1916" s="0" t="n">
        <v>262.66</v>
      </c>
      <c r="D1916" s="3" t="n">
        <f aca="false">B1916*100/B$2</f>
        <v>147.241493684181</v>
      </c>
      <c r="E1916" s="3" t="n">
        <f aca="false">C1916*100/C$2</f>
        <v>111.627709307267</v>
      </c>
      <c r="F1916" s="0" t="n">
        <v>144.502335609055</v>
      </c>
      <c r="G1916" s="0" t="n">
        <v>114.700272758015</v>
      </c>
      <c r="H1916" s="0" t="n">
        <v>109.787505312367</v>
      </c>
      <c r="I1916" s="0" t="n">
        <v>-4.91276744564817</v>
      </c>
    </row>
    <row r="1917" customFormat="false" ht="13.8" hidden="false" customHeight="false" outlineLevel="0" collapsed="false">
      <c r="A1917" s="2" t="n">
        <v>42146</v>
      </c>
      <c r="B1917" s="0" t="n">
        <v>2126.06</v>
      </c>
      <c r="C1917" s="0" t="n">
        <v>266.03</v>
      </c>
      <c r="D1917" s="3" t="n">
        <f aca="false">B1917*100/B$2</f>
        <v>146.912573592415</v>
      </c>
      <c r="E1917" s="3" t="n">
        <f aca="false">C1917*100/C$2</f>
        <v>113.059923501912</v>
      </c>
      <c r="F1917" s="0" t="n">
        <v>145.254152961663</v>
      </c>
      <c r="G1917" s="0" t="n">
        <v>114.95140998719</v>
      </c>
      <c r="H1917" s="0" t="n">
        <v>111.325966850829</v>
      </c>
      <c r="I1917" s="0" t="n">
        <v>-3.62544313636123</v>
      </c>
    </row>
    <row r="1918" customFormat="false" ht="13.8" hidden="false" customHeight="false" outlineLevel="0" collapsed="false">
      <c r="A1918" s="2" t="n">
        <v>42150</v>
      </c>
      <c r="B1918" s="0" t="n">
        <v>2104.2</v>
      </c>
      <c r="C1918" s="0" t="n">
        <v>265.41</v>
      </c>
      <c r="D1918" s="3" t="n">
        <f aca="false">B1918*100/B$2</f>
        <v>145.402028801238</v>
      </c>
      <c r="E1918" s="3" t="n">
        <f aca="false">C1918*100/C$2</f>
        <v>112.796430089248</v>
      </c>
      <c r="F1918" s="0" t="n">
        <v>144.588711683573</v>
      </c>
      <c r="G1918" s="0" t="n">
        <v>114.729125840411</v>
      </c>
      <c r="H1918" s="0" t="n">
        <v>111.976200594985</v>
      </c>
      <c r="I1918" s="0" t="n">
        <v>-2.75292524542621</v>
      </c>
    </row>
    <row r="1919" customFormat="false" ht="13.8" hidden="false" customHeight="false" outlineLevel="0" collapsed="false">
      <c r="A1919" s="2" t="n">
        <v>42151</v>
      </c>
      <c r="B1919" s="0" t="n">
        <v>2123.48</v>
      </c>
      <c r="C1919" s="0" t="n">
        <v>260.16</v>
      </c>
      <c r="D1919" s="3" t="n">
        <f aca="false">B1919*100/B$2</f>
        <v>146.73429337461</v>
      </c>
      <c r="E1919" s="3" t="n">
        <f aca="false">C1919*100/C$2</f>
        <v>110.565235869103</v>
      </c>
      <c r="F1919" s="0" t="n">
        <v>144.824345614859</v>
      </c>
      <c r="G1919" s="0" t="n">
        <v>114.807837049188</v>
      </c>
      <c r="H1919" s="0" t="n">
        <v>112.86442838929</v>
      </c>
      <c r="I1919" s="0" t="n">
        <v>-1.94340865989729</v>
      </c>
    </row>
    <row r="1920" customFormat="false" ht="13.8" hidden="false" customHeight="false" outlineLevel="0" collapsed="false">
      <c r="A1920" s="2" t="n">
        <v>42152</v>
      </c>
      <c r="B1920" s="0" t="n">
        <v>2120.79</v>
      </c>
      <c r="C1920" s="0" t="n">
        <v>260.06</v>
      </c>
      <c r="D1920" s="3" t="n">
        <f aca="false">B1920*100/B$2</f>
        <v>146.548412062246</v>
      </c>
      <c r="E1920" s="3" t="n">
        <f aca="false">C1920*100/C$2</f>
        <v>110.522736931577</v>
      </c>
      <c r="F1920" s="0" t="n">
        <v>145.569943890102</v>
      </c>
      <c r="G1920" s="0" t="n">
        <v>115.05689685643</v>
      </c>
      <c r="H1920" s="0" t="n">
        <v>112.949426264343</v>
      </c>
      <c r="I1920" s="0" t="n">
        <v>-2.10747059208624</v>
      </c>
    </row>
    <row r="1921" customFormat="false" ht="13.8" hidden="false" customHeight="false" outlineLevel="0" collapsed="false">
      <c r="A1921" s="2" t="n">
        <v>42153</v>
      </c>
      <c r="B1921" s="0" t="n">
        <v>2107.39</v>
      </c>
      <c r="C1921" s="0" t="n">
        <v>260.39</v>
      </c>
      <c r="D1921" s="3" t="n">
        <f aca="false">B1921*100/B$2</f>
        <v>145.622460543409</v>
      </c>
      <c r="E1921" s="3" t="n">
        <f aca="false">C1921*100/C$2</f>
        <v>110.662983425414</v>
      </c>
      <c r="F1921" s="0" t="n">
        <v>145.456618480334</v>
      </c>
      <c r="G1921" s="0" t="n">
        <v>115.019041612326</v>
      </c>
      <c r="H1921" s="0" t="n">
        <v>114.088397790055</v>
      </c>
      <c r="I1921" s="0" t="n">
        <v>-0.930643822270866</v>
      </c>
    </row>
    <row r="1922" customFormat="false" ht="13.8" hidden="false" customHeight="false" outlineLevel="0" collapsed="false">
      <c r="A1922" s="2" t="n">
        <v>42156</v>
      </c>
      <c r="B1922" s="0" t="n">
        <v>2111.73</v>
      </c>
      <c r="C1922" s="0" t="n">
        <v>258.74</v>
      </c>
      <c r="D1922" s="3" t="n">
        <f aca="false">B1922*100/B$2</f>
        <v>145.922358274137</v>
      </c>
      <c r="E1922" s="3" t="n">
        <f aca="false">C1922*100/C$2</f>
        <v>109.961750956226</v>
      </c>
      <c r="F1922" s="0" t="n">
        <v>143.811327012908</v>
      </c>
      <c r="G1922" s="0" t="n">
        <v>114.469448098848</v>
      </c>
      <c r="H1922" s="0" t="n">
        <v>114.01614959626</v>
      </c>
      <c r="I1922" s="0" t="n">
        <v>-0.453298502587458</v>
      </c>
    </row>
    <row r="1923" customFormat="false" ht="13.8" hidden="false" customHeight="false" outlineLevel="0" collapsed="false">
      <c r="A1923" s="2" t="n">
        <v>42157</v>
      </c>
      <c r="B1923" s="0" t="n">
        <v>2109.6</v>
      </c>
      <c r="C1923" s="0" t="n">
        <v>256.29</v>
      </c>
      <c r="D1923" s="3" t="n">
        <f aca="false">B1923*100/B$2</f>
        <v>145.775173443158</v>
      </c>
      <c r="E1923" s="3" t="n">
        <f aca="false">C1923*100/C$2</f>
        <v>108.920526986825</v>
      </c>
      <c r="F1923" s="0" t="n">
        <v>145.139445534702</v>
      </c>
      <c r="G1923" s="0" t="n">
        <v>114.913093093768</v>
      </c>
      <c r="H1923" s="0" t="n">
        <v>114.130896727582</v>
      </c>
      <c r="I1923" s="0" t="n">
        <v>-0.782196366186284</v>
      </c>
    </row>
    <row r="1924" customFormat="false" ht="13.8" hidden="false" customHeight="false" outlineLevel="0" collapsed="false">
      <c r="A1924" s="2" t="n">
        <v>42158</v>
      </c>
      <c r="B1924" s="0" t="n">
        <v>2114.07</v>
      </c>
      <c r="C1924" s="0" t="n">
        <v>254.11</v>
      </c>
      <c r="D1924" s="3" t="n">
        <f aca="false">B1924*100/B$2</f>
        <v>146.084054285635</v>
      </c>
      <c r="E1924" s="3" t="n">
        <f aca="false">C1924*100/C$2</f>
        <v>107.994050148746</v>
      </c>
      <c r="F1924" s="0" t="n">
        <v>144.924541861301</v>
      </c>
      <c r="G1924" s="0" t="n">
        <v>114.841306624767</v>
      </c>
      <c r="H1924" s="0" t="n">
        <v>113.969400764981</v>
      </c>
      <c r="I1924" s="0" t="n">
        <v>-0.871905859786025</v>
      </c>
    </row>
    <row r="1925" customFormat="false" ht="13.8" hidden="false" customHeight="false" outlineLevel="0" collapsed="false">
      <c r="A1925" s="2" t="n">
        <v>42159</v>
      </c>
      <c r="B1925" s="0" t="n">
        <v>2095.84</v>
      </c>
      <c r="C1925" s="0" t="n">
        <v>255.47</v>
      </c>
      <c r="D1925" s="3" t="n">
        <f aca="false">B1925*100/B$2</f>
        <v>144.824345614859</v>
      </c>
      <c r="E1925" s="3" t="n">
        <f aca="false">C1925*100/C$2</f>
        <v>108.572035699108</v>
      </c>
      <c r="F1925" s="0" t="n">
        <v>145.66184803339</v>
      </c>
      <c r="G1925" s="0" t="n">
        <v>115.087596536099</v>
      </c>
      <c r="H1925" s="0" t="n">
        <v>114.169145771356</v>
      </c>
      <c r="I1925" s="0" t="n">
        <v>-0.918450764743227</v>
      </c>
    </row>
    <row r="1926" customFormat="false" ht="13.8" hidden="false" customHeight="false" outlineLevel="0" collapsed="false">
      <c r="A1926" s="2" t="n">
        <v>42160</v>
      </c>
      <c r="B1926" s="0" t="n">
        <v>2092.83</v>
      </c>
      <c r="C1926" s="0" t="n">
        <v>254.94</v>
      </c>
      <c r="D1926" s="3" t="n">
        <f aca="false">B1926*100/B$2</f>
        <v>144.616352027419</v>
      </c>
      <c r="E1926" s="3" t="n">
        <f aca="false">C1926*100/C$2</f>
        <v>108.346791330217</v>
      </c>
      <c r="F1926" s="0" t="n">
        <v>146.005279305675</v>
      </c>
      <c r="G1926" s="0" t="n">
        <v>115.202316391705</v>
      </c>
      <c r="H1926" s="0" t="n">
        <v>115.847853803655</v>
      </c>
      <c r="I1926" s="0" t="n">
        <v>0.645537411949547</v>
      </c>
    </row>
    <row r="1927" customFormat="false" ht="13.8" hidden="false" customHeight="false" outlineLevel="0" collapsed="false">
      <c r="A1927" s="2" t="n">
        <v>42163</v>
      </c>
      <c r="B1927" s="0" t="n">
        <v>2079.28</v>
      </c>
      <c r="C1927" s="0" t="n">
        <v>254.21</v>
      </c>
      <c r="D1927" s="3" t="n">
        <f aca="false">B1927*100/B$2</f>
        <v>143.68003537964</v>
      </c>
      <c r="E1927" s="3" t="n">
        <f aca="false">C1927*100/C$2</f>
        <v>108.036549086273</v>
      </c>
      <c r="F1927" s="0" t="n">
        <v>146.334199397441</v>
      </c>
      <c r="G1927" s="0" t="n">
        <v>115.312188929469</v>
      </c>
      <c r="H1927" s="0" t="n">
        <v>115.193370165746</v>
      </c>
      <c r="I1927" s="0" t="n">
        <v>-0.118818763723382</v>
      </c>
    </row>
    <row r="1928" customFormat="false" ht="13.8" hidden="false" customHeight="false" outlineLevel="0" collapsed="false">
      <c r="A1928" s="2" t="n">
        <v>42164</v>
      </c>
      <c r="B1928" s="0" t="n">
        <v>2080.15</v>
      </c>
      <c r="C1928" s="0" t="n">
        <v>253.51</v>
      </c>
      <c r="D1928" s="3" t="n">
        <f aca="false">B1928*100/B$2</f>
        <v>143.740153127505</v>
      </c>
      <c r="E1928" s="3" t="n">
        <f aca="false">C1928*100/C$2</f>
        <v>107.739056523587</v>
      </c>
      <c r="F1928" s="0" t="n">
        <v>145.72818485862</v>
      </c>
      <c r="G1928" s="0" t="n">
        <v>115.109755703379</v>
      </c>
      <c r="H1928" s="0" t="n">
        <v>114.76838079048</v>
      </c>
      <c r="I1928" s="0" t="n">
        <v>-0.341374912898814</v>
      </c>
    </row>
    <row r="1929" customFormat="false" ht="13.8" hidden="false" customHeight="false" outlineLevel="0" collapsed="false">
      <c r="A1929" s="2" t="n">
        <v>42165</v>
      </c>
      <c r="B1929" s="0" t="n">
        <v>2105.2</v>
      </c>
      <c r="C1929" s="0" t="n">
        <v>252.11</v>
      </c>
      <c r="D1929" s="3" t="n">
        <f aca="false">B1929*100/B$2</f>
        <v>145.471129660853</v>
      </c>
      <c r="E1929" s="3" t="n">
        <f aca="false">C1929*100/C$2</f>
        <v>107.144071398215</v>
      </c>
      <c r="F1929" s="0" t="n">
        <v>146.131733878769</v>
      </c>
      <c r="G1929" s="0" t="n">
        <v>115.244557304333</v>
      </c>
      <c r="H1929" s="0" t="n">
        <v>114.130896727582</v>
      </c>
      <c r="I1929" s="0" t="n">
        <v>-1.11366057675126</v>
      </c>
    </row>
    <row r="1930" customFormat="false" ht="13.8" hidden="false" customHeight="false" outlineLevel="0" collapsed="false">
      <c r="A1930" s="2" t="n">
        <v>42166</v>
      </c>
      <c r="B1930" s="0" t="n">
        <v>2108.86</v>
      </c>
      <c r="C1930" s="0" t="n">
        <v>252.32</v>
      </c>
      <c r="D1930" s="3" t="n">
        <f aca="false">B1930*100/B$2</f>
        <v>145.724038807043</v>
      </c>
      <c r="E1930" s="3" t="n">
        <f aca="false">C1930*100/C$2</f>
        <v>107.233319167021</v>
      </c>
      <c r="F1930" s="0" t="n">
        <v>145.585146079217</v>
      </c>
      <c r="G1930" s="0" t="n">
        <v>115.061974998931</v>
      </c>
      <c r="H1930" s="0" t="n">
        <v>113.909902252444</v>
      </c>
      <c r="I1930" s="0" t="n">
        <v>-1.15207274648765</v>
      </c>
    </row>
    <row r="1931" customFormat="false" ht="13.8" hidden="false" customHeight="false" outlineLevel="0" collapsed="false">
      <c r="A1931" s="2" t="n">
        <v>42167</v>
      </c>
      <c r="B1931" s="0" t="n">
        <v>2094.11</v>
      </c>
      <c r="C1931" s="0" t="n">
        <v>251.66</v>
      </c>
      <c r="D1931" s="3" t="n">
        <f aca="false">B1931*100/B$2</f>
        <v>144.704801127726</v>
      </c>
      <c r="E1931" s="3" t="n">
        <f aca="false">C1931*100/C$2</f>
        <v>106.952826179346</v>
      </c>
      <c r="F1931" s="0" t="n">
        <v>144.11053373504</v>
      </c>
      <c r="G1931" s="0" t="n">
        <v>114.569395176267</v>
      </c>
      <c r="H1931" s="0" t="n">
        <v>113.225669358266</v>
      </c>
      <c r="I1931" s="0" t="n">
        <v>-1.34372581800119</v>
      </c>
    </row>
    <row r="1932" customFormat="false" ht="13.8" hidden="false" customHeight="false" outlineLevel="0" collapsed="false">
      <c r="A1932" s="2" t="n">
        <v>42170</v>
      </c>
      <c r="B1932" s="0" t="n">
        <v>2084.43</v>
      </c>
      <c r="C1932" s="0" t="n">
        <v>250.74</v>
      </c>
      <c r="D1932" s="3" t="n">
        <f aca="false">B1932*100/B$2</f>
        <v>144.035904806656</v>
      </c>
      <c r="E1932" s="3" t="n">
        <f aca="false">C1932*100/C$2</f>
        <v>106.561835954101</v>
      </c>
      <c r="F1932" s="0" t="n">
        <v>145.684651317062</v>
      </c>
      <c r="G1932" s="0" t="n">
        <v>115.095213749852</v>
      </c>
      <c r="H1932" s="0" t="n">
        <v>113.225669358266</v>
      </c>
      <c r="I1932" s="0" t="n">
        <v>-1.86954439158546</v>
      </c>
    </row>
    <row r="1933" customFormat="false" ht="13.8" hidden="false" customHeight="false" outlineLevel="0" collapsed="false">
      <c r="A1933" s="2" t="n">
        <v>42171</v>
      </c>
      <c r="B1933" s="0" t="n">
        <v>2096.29</v>
      </c>
      <c r="C1933" s="0" t="n">
        <v>248.49</v>
      </c>
      <c r="D1933" s="3" t="n">
        <f aca="false">B1933*100/B$2</f>
        <v>144.855441001686</v>
      </c>
      <c r="E1933" s="3" t="n">
        <f aca="false">C1933*100/C$2</f>
        <v>105.605609859754</v>
      </c>
      <c r="F1933" s="0" t="n">
        <v>146.113076646673</v>
      </c>
      <c r="G1933" s="0" t="n">
        <v>115.238325038536</v>
      </c>
      <c r="H1933" s="0" t="n">
        <v>113.612409689758</v>
      </c>
      <c r="I1933" s="0" t="n">
        <v>-1.62591534877777</v>
      </c>
    </row>
    <row r="1934" customFormat="false" ht="13.8" hidden="false" customHeight="false" outlineLevel="0" collapsed="false">
      <c r="A1934" s="2" t="n">
        <v>42172</v>
      </c>
      <c r="B1934" s="0" t="n">
        <v>2100.44</v>
      </c>
      <c r="C1934" s="0" t="n">
        <v>249.08</v>
      </c>
      <c r="D1934" s="3" t="n">
        <f aca="false">B1934*100/B$2</f>
        <v>145.142209569087</v>
      </c>
      <c r="E1934" s="3" t="n">
        <f aca="false">C1934*100/C$2</f>
        <v>105.85635359116</v>
      </c>
      <c r="F1934" s="0" t="n">
        <v>144.383482130518</v>
      </c>
      <c r="G1934" s="0" t="n">
        <v>114.660570916639</v>
      </c>
      <c r="H1934" s="0" t="n">
        <v>113.612409689758</v>
      </c>
      <c r="I1934" s="0" t="n">
        <v>-1.04816122688075</v>
      </c>
    </row>
    <row r="1935" customFormat="false" ht="13.8" hidden="false" customHeight="false" outlineLevel="0" collapsed="false">
      <c r="A1935" s="2" t="n">
        <v>42173</v>
      </c>
      <c r="B1935" s="0" t="n">
        <v>2121.24</v>
      </c>
      <c r="C1935" s="0" t="n">
        <v>249.67</v>
      </c>
      <c r="D1935" s="3" t="n">
        <f aca="false">B1935*100/B$2</f>
        <v>146.579507449073</v>
      </c>
      <c r="E1935" s="3" t="n">
        <f aca="false">C1935*100/C$2</f>
        <v>106.107097322567</v>
      </c>
      <c r="F1935" s="0" t="n">
        <v>143.740153127505</v>
      </c>
      <c r="G1935" s="0" t="n">
        <v>114.445673158953</v>
      </c>
      <c r="H1935" s="0" t="n">
        <v>112.209944751381</v>
      </c>
      <c r="I1935" s="0" t="n">
        <v>-2.23572840757207</v>
      </c>
    </row>
    <row r="1936" customFormat="false" ht="13.8" hidden="false" customHeight="false" outlineLevel="0" collapsed="false">
      <c r="A1936" s="2" t="n">
        <v>42174</v>
      </c>
      <c r="B1936" s="0" t="n">
        <v>2109.99</v>
      </c>
      <c r="C1936" s="0" t="n">
        <v>249.84</v>
      </c>
      <c r="D1936" s="3" t="n">
        <f aca="false">B1936*100/B$2</f>
        <v>145.802122778407</v>
      </c>
      <c r="E1936" s="3" t="n">
        <f aca="false">C1936*100/C$2</f>
        <v>106.179345516362</v>
      </c>
      <c r="F1936" s="0" t="n">
        <v>144.28259487548</v>
      </c>
      <c r="G1936" s="0" t="n">
        <v>114.6268705164</v>
      </c>
      <c r="H1936" s="0" t="n">
        <v>111.546961325967</v>
      </c>
      <c r="I1936" s="0" t="n">
        <v>-3.07990919043314</v>
      </c>
    </row>
    <row r="1937" customFormat="false" ht="13.8" hidden="false" customHeight="false" outlineLevel="0" collapsed="false">
      <c r="A1937" s="2" t="n">
        <v>42177</v>
      </c>
      <c r="B1937" s="0" t="n">
        <v>2122.85</v>
      </c>
      <c r="C1937" s="0" t="n">
        <v>250.99</v>
      </c>
      <c r="D1937" s="3" t="n">
        <f aca="false">B1937*100/B$2</f>
        <v>146.690759833052</v>
      </c>
      <c r="E1937" s="3" t="n">
        <f aca="false">C1937*100/C$2</f>
        <v>106.668083297918</v>
      </c>
      <c r="F1937" s="0" t="n">
        <v>146.224329030653</v>
      </c>
      <c r="G1937" s="0" t="n">
        <v>115.275487808662</v>
      </c>
      <c r="H1937" s="0" t="n">
        <v>110.841478963026</v>
      </c>
      <c r="I1937" s="0" t="n">
        <v>-4.43400884563563</v>
      </c>
    </row>
    <row r="1938" customFormat="false" ht="13.8" hidden="false" customHeight="false" outlineLevel="0" collapsed="false">
      <c r="A1938" s="2" t="n">
        <v>42178</v>
      </c>
      <c r="B1938" s="0" t="n">
        <v>2124.2</v>
      </c>
      <c r="C1938" s="0" t="n">
        <v>254.52</v>
      </c>
      <c r="D1938" s="3" t="n">
        <f aca="false">B1938*100/B$2</f>
        <v>146.784045993532</v>
      </c>
      <c r="E1938" s="3" t="n">
        <f aca="false">C1938*100/C$2</f>
        <v>108.168295792605</v>
      </c>
      <c r="F1938" s="0" t="n">
        <v>145.480112772603</v>
      </c>
      <c r="G1938" s="0" t="n">
        <v>115.026889650738</v>
      </c>
      <c r="H1938" s="0" t="n">
        <v>111.130471738207</v>
      </c>
      <c r="I1938" s="0" t="n">
        <v>-3.89641791253128</v>
      </c>
    </row>
    <row r="1939" customFormat="false" ht="13.8" hidden="false" customHeight="false" outlineLevel="0" collapsed="false">
      <c r="A1939" s="2" t="n">
        <v>42179</v>
      </c>
      <c r="B1939" s="0" t="n">
        <v>2108.58</v>
      </c>
      <c r="C1939" s="0" t="n">
        <v>254.94</v>
      </c>
      <c r="D1939" s="3" t="n">
        <f aca="false">B1939*100/B$2</f>
        <v>145.704690566351</v>
      </c>
      <c r="E1939" s="3" t="n">
        <f aca="false">C1939*100/C$2</f>
        <v>108.346791330217</v>
      </c>
      <c r="F1939" s="0" t="n">
        <v>145.050996434396</v>
      </c>
      <c r="G1939" s="0" t="n">
        <v>114.883547537395</v>
      </c>
      <c r="H1939" s="0" t="n">
        <v>111.100722481938</v>
      </c>
      <c r="I1939" s="0" t="n">
        <v>-3.78282505545666</v>
      </c>
    </row>
    <row r="1940" customFormat="false" ht="13.8" hidden="false" customHeight="false" outlineLevel="0" collapsed="false">
      <c r="A1940" s="2" t="n">
        <v>42180</v>
      </c>
      <c r="B1940" s="0" t="n">
        <v>2102.31</v>
      </c>
      <c r="C1940" s="0" t="n">
        <v>253.8</v>
      </c>
      <c r="D1940" s="3" t="n">
        <f aca="false">B1940*100/B$2</f>
        <v>145.271428176567</v>
      </c>
      <c r="E1940" s="3" t="n">
        <f aca="false">C1940*100/C$2</f>
        <v>107.862303442414</v>
      </c>
      <c r="F1940" s="0" t="n">
        <v>145.006771884242</v>
      </c>
      <c r="G1940" s="0" t="n">
        <v>114.868774759208</v>
      </c>
      <c r="H1940" s="0" t="n">
        <v>111.878453038674</v>
      </c>
      <c r="I1940" s="0" t="n">
        <v>-2.99032172053384</v>
      </c>
    </row>
    <row r="1941" customFormat="false" ht="13.8" hidden="false" customHeight="false" outlineLevel="0" collapsed="false">
      <c r="A1941" s="2" t="n">
        <v>42181</v>
      </c>
      <c r="B1941" s="0" t="n">
        <v>2101.49</v>
      </c>
      <c r="C1941" s="0" t="n">
        <v>254.48</v>
      </c>
      <c r="D1941" s="3" t="n">
        <f aca="false">B1941*100/B$2</f>
        <v>145.214765471682</v>
      </c>
      <c r="E1941" s="3" t="n">
        <f aca="false">C1941*100/C$2</f>
        <v>108.151296217595</v>
      </c>
      <c r="F1941" s="0" t="n">
        <v>146.569833328727</v>
      </c>
      <c r="G1941" s="0" t="n">
        <v>115.390900138245</v>
      </c>
      <c r="H1941" s="0" t="n">
        <v>112.065448363791</v>
      </c>
      <c r="I1941" s="0" t="n">
        <v>-3.32545177445455</v>
      </c>
    </row>
    <row r="1942" customFormat="false" ht="13.8" hidden="false" customHeight="false" outlineLevel="0" collapsed="false">
      <c r="A1942" s="2" t="n">
        <v>42184</v>
      </c>
      <c r="B1942" s="0" t="n">
        <v>2057.64</v>
      </c>
      <c r="C1942" s="0" t="n">
        <v>251.26</v>
      </c>
      <c r="D1942" s="3" t="n">
        <f aca="false">B1942*100/B$2</f>
        <v>142.184692777578</v>
      </c>
      <c r="E1942" s="3" t="n">
        <f aca="false">C1942*100/C$2</f>
        <v>106.782830429239</v>
      </c>
      <c r="F1942" s="0" t="n">
        <v>146.682467729899</v>
      </c>
      <c r="G1942" s="0" t="n">
        <v>115.42852455769</v>
      </c>
      <c r="H1942" s="0" t="n">
        <v>111.062473438164</v>
      </c>
      <c r="I1942" s="0" t="n">
        <v>-4.36605111952576</v>
      </c>
    </row>
    <row r="1943" customFormat="false" ht="13.8" hidden="false" customHeight="false" outlineLevel="0" collapsed="false">
      <c r="A1943" s="2" t="n">
        <v>42185</v>
      </c>
      <c r="B1943" s="0" t="n">
        <v>2063.11</v>
      </c>
      <c r="C1943" s="0" t="n">
        <v>252.27</v>
      </c>
      <c r="D1943" s="3" t="n">
        <f aca="false">B1943*100/B$2</f>
        <v>142.562674479671</v>
      </c>
      <c r="E1943" s="3" t="n">
        <f aca="false">C1943*100/C$2</f>
        <v>107.212069698258</v>
      </c>
      <c r="F1943" s="0" t="n">
        <v>147.129550291606</v>
      </c>
      <c r="G1943" s="0" t="n">
        <v>115.577868112171</v>
      </c>
      <c r="H1943" s="0" t="n">
        <v>111.334466638334</v>
      </c>
      <c r="I1943" s="0" t="n">
        <v>-4.24340147383732</v>
      </c>
    </row>
    <row r="1944" customFormat="false" ht="13.8" hidden="false" customHeight="false" outlineLevel="0" collapsed="false">
      <c r="A1944" s="2" t="n">
        <v>42186</v>
      </c>
      <c r="B1944" s="0" t="n">
        <v>2077.42</v>
      </c>
      <c r="C1944" s="0" t="n">
        <v>255.07</v>
      </c>
      <c r="D1944" s="3" t="n">
        <f aca="false">B1944*100/B$2</f>
        <v>143.551507780757</v>
      </c>
      <c r="E1944" s="3" t="n">
        <f aca="false">C1944*100/C$2</f>
        <v>108.402039949001</v>
      </c>
      <c r="F1944" s="0" t="n">
        <v>147.034882113934</v>
      </c>
      <c r="G1944" s="0" t="n">
        <v>115.546245133865</v>
      </c>
      <c r="H1944" s="0" t="n">
        <v>111.738206544836</v>
      </c>
      <c r="I1944" s="0" t="n">
        <v>-3.80803858902902</v>
      </c>
    </row>
    <row r="1945" customFormat="false" ht="13.8" hidden="false" customHeight="false" outlineLevel="0" collapsed="false">
      <c r="A1945" s="2" t="n">
        <v>42187</v>
      </c>
      <c r="B1945" s="0" t="n">
        <v>2076.78</v>
      </c>
      <c r="C1945" s="0" t="n">
        <v>255.5</v>
      </c>
      <c r="D1945" s="3" t="n">
        <f aca="false">B1945*100/B$2</f>
        <v>143.507283230603</v>
      </c>
      <c r="E1945" s="3" t="n">
        <f aca="false">C1945*100/C$2</f>
        <v>108.584785380366</v>
      </c>
      <c r="F1945" s="0" t="n">
        <v>146.898062411896</v>
      </c>
      <c r="G1945" s="0" t="n">
        <v>115.50054185135</v>
      </c>
      <c r="H1945" s="0" t="n">
        <v>112.775180620484</v>
      </c>
      <c r="I1945" s="0" t="n">
        <v>-2.72536123086569</v>
      </c>
    </row>
    <row r="1946" customFormat="false" ht="13.8" hidden="false" customHeight="false" outlineLevel="0" collapsed="false">
      <c r="A1946" s="2" t="n">
        <v>42188</v>
      </c>
      <c r="B1946" s="0" t="n">
        <v>2076.78</v>
      </c>
      <c r="C1946" s="0" t="n">
        <v>254.66</v>
      </c>
      <c r="D1946" s="3" t="n">
        <f aca="false">B1946*100/B$2</f>
        <v>143.507283230603</v>
      </c>
      <c r="E1946" s="3" t="n">
        <f aca="false">C1946*100/C$2</f>
        <v>108.227794305142</v>
      </c>
      <c r="F1946" s="0" t="n">
        <v>147.241493684181</v>
      </c>
      <c r="G1946" s="0" t="n">
        <v>115.615261706957</v>
      </c>
      <c r="H1946" s="0" t="n">
        <v>111.627709307267</v>
      </c>
      <c r="I1946" s="0" t="n">
        <v>-3.98755239968925</v>
      </c>
    </row>
    <row r="1947" customFormat="false" ht="13.8" hidden="false" customHeight="false" outlineLevel="0" collapsed="false">
      <c r="A1947" s="2" t="n">
        <v>42191</v>
      </c>
      <c r="B1947" s="0" t="n">
        <v>2068.76</v>
      </c>
      <c r="C1947" s="0" t="n">
        <v>248.3</v>
      </c>
      <c r="D1947" s="3" t="n">
        <f aca="false">B1947*100/B$2</f>
        <v>142.953094336494</v>
      </c>
      <c r="E1947" s="3" t="n">
        <f aca="false">C1947*100/C$2</f>
        <v>105.524861878453</v>
      </c>
      <c r="F1947" s="0" t="n">
        <v>146.912573592415</v>
      </c>
      <c r="G1947" s="0" t="n">
        <v>115.505389169193</v>
      </c>
      <c r="H1947" s="0" t="n">
        <v>113.059923501912</v>
      </c>
      <c r="I1947" s="0" t="n">
        <v>-2.44546566728025</v>
      </c>
    </row>
    <row r="1948" customFormat="false" ht="13.8" hidden="false" customHeight="false" outlineLevel="0" collapsed="false">
      <c r="A1948" s="2" t="n">
        <v>42192</v>
      </c>
      <c r="B1948" s="0" t="n">
        <v>2081.34</v>
      </c>
      <c r="C1948" s="0" t="n">
        <v>248.05</v>
      </c>
      <c r="D1948" s="3" t="n">
        <f aca="false">B1948*100/B$2</f>
        <v>143.822383150446</v>
      </c>
      <c r="E1948" s="3" t="n">
        <f aca="false">C1948*100/C$2</f>
        <v>105.418614534637</v>
      </c>
      <c r="F1948" s="0" t="n">
        <v>145.402028801238</v>
      </c>
      <c r="G1948" s="0" t="n">
        <v>115.000806464252</v>
      </c>
      <c r="H1948" s="0" t="n">
        <v>112.796430089248</v>
      </c>
      <c r="I1948" s="0" t="n">
        <v>-2.20437637500406</v>
      </c>
    </row>
    <row r="1949" customFormat="false" ht="13.8" hidden="false" customHeight="false" outlineLevel="0" collapsed="false">
      <c r="A1949" s="2" t="n">
        <v>42193</v>
      </c>
      <c r="B1949" s="0" t="n">
        <v>2046.68</v>
      </c>
      <c r="C1949" s="0" t="n">
        <v>244.94</v>
      </c>
      <c r="D1949" s="3" t="n">
        <f aca="false">B1949*100/B$2</f>
        <v>141.427347356201</v>
      </c>
      <c r="E1949" s="3" t="n">
        <f aca="false">C1949*100/C$2</f>
        <v>104.096897577561</v>
      </c>
      <c r="F1949" s="0" t="n">
        <v>146.73429337461</v>
      </c>
      <c r="G1949" s="0" t="n">
        <v>115.445836407127</v>
      </c>
      <c r="H1949" s="0" t="n">
        <v>110.565235869103</v>
      </c>
      <c r="I1949" s="0" t="n">
        <v>-4.88060053802411</v>
      </c>
    </row>
    <row r="1950" customFormat="false" ht="13.8" hidden="false" customHeight="false" outlineLevel="0" collapsed="false">
      <c r="A1950" s="2" t="n">
        <v>42194</v>
      </c>
      <c r="B1950" s="0" t="n">
        <v>2051.31</v>
      </c>
      <c r="C1950" s="0" t="n">
        <v>246.77</v>
      </c>
      <c r="D1950" s="3" t="n">
        <f aca="false">B1950*100/B$2</f>
        <v>141.747284336217</v>
      </c>
      <c r="E1950" s="3" t="n">
        <f aca="false">C1950*100/C$2</f>
        <v>104.874628134297</v>
      </c>
      <c r="F1950" s="0" t="n">
        <v>146.548412062246</v>
      </c>
      <c r="G1950" s="0" t="n">
        <v>115.383744573811</v>
      </c>
      <c r="H1950" s="0" t="n">
        <v>110.522736931577</v>
      </c>
      <c r="I1950" s="0" t="n">
        <v>-4.86100764223455</v>
      </c>
    </row>
    <row r="1951" customFormat="false" ht="13.8" hidden="false" customHeight="false" outlineLevel="0" collapsed="false">
      <c r="A1951" s="2" t="n">
        <v>42195</v>
      </c>
      <c r="B1951" s="0" t="n">
        <v>2076.62</v>
      </c>
      <c r="C1951" s="0" t="n">
        <v>246.83</v>
      </c>
      <c r="D1951" s="3" t="n">
        <f aca="false">B1951*100/B$2</f>
        <v>143.496227093065</v>
      </c>
      <c r="E1951" s="3" t="n">
        <f aca="false">C1951*100/C$2</f>
        <v>104.900127496813</v>
      </c>
      <c r="F1951" s="0" t="n">
        <v>145.622460543409</v>
      </c>
      <c r="G1951" s="0" t="n">
        <v>115.074439530526</v>
      </c>
      <c r="H1951" s="0" t="n">
        <v>110.662983425414</v>
      </c>
      <c r="I1951" s="0" t="n">
        <v>-4.41145610511202</v>
      </c>
    </row>
    <row r="1952" customFormat="false" ht="13.8" hidden="false" customHeight="false" outlineLevel="0" collapsed="false">
      <c r="A1952" s="2" t="n">
        <v>42198</v>
      </c>
      <c r="B1952" s="0" t="n">
        <v>2099.6</v>
      </c>
      <c r="C1952" s="0" t="n">
        <v>249.84</v>
      </c>
      <c r="D1952" s="3" t="n">
        <f aca="false">B1952*100/B$2</f>
        <v>145.084164847011</v>
      </c>
      <c r="E1952" s="3" t="n">
        <f aca="false">C1952*100/C$2</f>
        <v>106.179345516362</v>
      </c>
      <c r="F1952" s="0" t="n">
        <v>145.922358274137</v>
      </c>
      <c r="G1952" s="0" t="n">
        <v>115.174617432605</v>
      </c>
      <c r="H1952" s="0" t="n">
        <v>109.961750956226</v>
      </c>
      <c r="I1952" s="0" t="n">
        <v>-5.21286647637912</v>
      </c>
    </row>
    <row r="1953" customFormat="false" ht="13.8" hidden="false" customHeight="false" outlineLevel="0" collapsed="false">
      <c r="A1953" s="2" t="n">
        <v>42199</v>
      </c>
      <c r="B1953" s="0" t="n">
        <v>2108.95</v>
      </c>
      <c r="C1953" s="0" t="n">
        <v>248.64</v>
      </c>
      <c r="D1953" s="3" t="n">
        <f aca="false">B1953*100/B$2</f>
        <v>145.730257884408</v>
      </c>
      <c r="E1953" s="3" t="n">
        <f aca="false">C1953*100/C$2</f>
        <v>105.669358266043</v>
      </c>
      <c r="F1953" s="0" t="n">
        <v>145.775173443158</v>
      </c>
      <c r="G1953" s="0" t="n">
        <v>115.125451780202</v>
      </c>
      <c r="H1953" s="0" t="n">
        <v>108.920526986825</v>
      </c>
      <c r="I1953" s="0" t="n">
        <v>-6.20492479337713</v>
      </c>
    </row>
    <row r="1954" customFormat="false" ht="13.8" hidden="false" customHeight="false" outlineLevel="0" collapsed="false">
      <c r="A1954" s="2" t="n">
        <v>42200</v>
      </c>
      <c r="B1954" s="0" t="n">
        <v>2107.4</v>
      </c>
      <c r="C1954" s="0" t="n">
        <v>249.65</v>
      </c>
      <c r="D1954" s="3" t="n">
        <f aca="false">B1954*100/B$2</f>
        <v>145.623151552005</v>
      </c>
      <c r="E1954" s="3" t="n">
        <f aca="false">C1954*100/C$2</f>
        <v>106.098597535062</v>
      </c>
      <c r="F1954" s="0" t="n">
        <v>146.084054285635</v>
      </c>
      <c r="G1954" s="0" t="n">
        <v>115.22863040285</v>
      </c>
      <c r="H1954" s="0" t="n">
        <v>107.994050148746</v>
      </c>
      <c r="I1954" s="0" t="n">
        <v>-7.2345802541042</v>
      </c>
    </row>
    <row r="1955" customFormat="false" ht="13.8" hidden="false" customHeight="false" outlineLevel="0" collapsed="false">
      <c r="A1955" s="2" t="n">
        <v>42201</v>
      </c>
      <c r="B1955" s="0" t="n">
        <v>2124.29</v>
      </c>
      <c r="C1955" s="0" t="n">
        <v>251.47</v>
      </c>
      <c r="D1955" s="3" t="n">
        <f aca="false">B1955*100/B$2</f>
        <v>146.790265070897</v>
      </c>
      <c r="E1955" s="3" t="n">
        <f aca="false">C1955*100/C$2</f>
        <v>106.872078198045</v>
      </c>
      <c r="F1955" s="0" t="n">
        <v>144.824345614859</v>
      </c>
      <c r="G1955" s="0" t="n">
        <v>114.807837049188</v>
      </c>
      <c r="H1955" s="0" t="n">
        <v>108.572035699108</v>
      </c>
      <c r="I1955" s="0" t="n">
        <v>-6.23580135008004</v>
      </c>
    </row>
    <row r="1956" customFormat="false" ht="13.8" hidden="false" customHeight="false" outlineLevel="0" collapsed="false">
      <c r="A1956" s="2" t="n">
        <v>42202</v>
      </c>
      <c r="B1956" s="0" t="n">
        <v>2126.64</v>
      </c>
      <c r="C1956" s="0" t="n">
        <v>250.23</v>
      </c>
      <c r="D1956" s="3" t="n">
        <f aca="false">B1956*100/B$2</f>
        <v>146.952652090992</v>
      </c>
      <c r="E1956" s="3" t="n">
        <f aca="false">C1956*100/C$2</f>
        <v>106.345091372716</v>
      </c>
      <c r="F1956" s="0" t="n">
        <v>144.616352027419</v>
      </c>
      <c r="G1956" s="0" t="n">
        <v>114.738358826778</v>
      </c>
      <c r="H1956" s="0" t="n">
        <v>108.346791330217</v>
      </c>
      <c r="I1956" s="0" t="n">
        <v>-6.39156749656131</v>
      </c>
    </row>
    <row r="1957" customFormat="false" ht="13.8" hidden="false" customHeight="false" outlineLevel="0" collapsed="false">
      <c r="A1957" s="2" t="n">
        <v>42205</v>
      </c>
      <c r="B1957" s="0" t="n">
        <v>2128.28</v>
      </c>
      <c r="C1957" s="0" t="n">
        <v>248.91</v>
      </c>
      <c r="D1957" s="3" t="n">
        <f aca="false">B1957*100/B$2</f>
        <v>147.06597750076</v>
      </c>
      <c r="E1957" s="3" t="n">
        <f aca="false">C1957*100/C$2</f>
        <v>105.784105397365</v>
      </c>
      <c r="F1957" s="0" t="n">
        <v>143.68003537964</v>
      </c>
      <c r="G1957" s="0" t="n">
        <v>114.425591413606</v>
      </c>
      <c r="H1957" s="0" t="n">
        <v>108.036549086273</v>
      </c>
      <c r="I1957" s="0" t="n">
        <v>-6.38904232733283</v>
      </c>
    </row>
    <row r="1958" customFormat="false" ht="13.8" hidden="false" customHeight="false" outlineLevel="0" collapsed="false">
      <c r="A1958" s="2" t="n">
        <v>42206</v>
      </c>
      <c r="B1958" s="0" t="n">
        <v>2119.21</v>
      </c>
      <c r="C1958" s="0" t="n">
        <v>250.35</v>
      </c>
      <c r="D1958" s="3" t="n">
        <f aca="false">B1958*100/B$2</f>
        <v>146.439232704055</v>
      </c>
      <c r="E1958" s="3" t="n">
        <f aca="false">C1958*100/C$2</f>
        <v>106.396090097748</v>
      </c>
      <c r="F1958" s="0" t="n">
        <v>143.740153127505</v>
      </c>
      <c r="G1958" s="0" t="n">
        <v>114.445673158953</v>
      </c>
      <c r="H1958" s="0" t="n">
        <v>107.739056523587</v>
      </c>
      <c r="I1958" s="0" t="n">
        <v>-6.70661663536636</v>
      </c>
    </row>
    <row r="1959" customFormat="false" ht="13.8" hidden="false" customHeight="false" outlineLevel="0" collapsed="false">
      <c r="A1959" s="2" t="n">
        <v>42207</v>
      </c>
      <c r="B1959" s="0" t="n">
        <v>2114.15</v>
      </c>
      <c r="C1959" s="0" t="n">
        <v>247.88</v>
      </c>
      <c r="D1959" s="3" t="n">
        <f aca="false">B1959*100/B$2</f>
        <v>146.089582354404</v>
      </c>
      <c r="E1959" s="3" t="n">
        <f aca="false">C1959*100/C$2</f>
        <v>105.346366340841</v>
      </c>
      <c r="F1959" s="0" t="n">
        <v>145.471129660853</v>
      </c>
      <c r="G1959" s="0" t="n">
        <v>115.023888930169</v>
      </c>
      <c r="H1959" s="0" t="n">
        <v>107.144071398215</v>
      </c>
      <c r="I1959" s="0" t="n">
        <v>-7.87981753195359</v>
      </c>
    </row>
    <row r="1960" customFormat="false" ht="13.8" hidden="false" customHeight="false" outlineLevel="0" collapsed="false">
      <c r="A1960" s="2" t="n">
        <v>42208</v>
      </c>
      <c r="B1960" s="0" t="n">
        <v>2102.15</v>
      </c>
      <c r="C1960" s="0" t="n">
        <v>247.31</v>
      </c>
      <c r="D1960" s="3" t="n">
        <f aca="false">B1960*100/B$2</f>
        <v>145.260372039028</v>
      </c>
      <c r="E1960" s="3" t="n">
        <f aca="false">C1960*100/C$2</f>
        <v>105.10412239694</v>
      </c>
      <c r="F1960" s="0" t="n">
        <v>145.724038807043</v>
      </c>
      <c r="G1960" s="0" t="n">
        <v>115.108370755424</v>
      </c>
      <c r="H1960" s="0" t="n">
        <v>107.233319167021</v>
      </c>
      <c r="I1960" s="0" t="n">
        <v>-7.87505158840322</v>
      </c>
    </row>
    <row r="1961" customFormat="false" ht="13.8" hidden="false" customHeight="false" outlineLevel="0" collapsed="false">
      <c r="A1961" s="2" t="n">
        <v>42209</v>
      </c>
      <c r="B1961" s="0" t="n">
        <v>2079.65</v>
      </c>
      <c r="C1961" s="0" t="n">
        <v>244.91</v>
      </c>
      <c r="D1961" s="3" t="n">
        <f aca="false">B1961*100/B$2</f>
        <v>143.705602697698</v>
      </c>
      <c r="E1961" s="3" t="n">
        <f aca="false">C1961*100/C$2</f>
        <v>104.084147896303</v>
      </c>
      <c r="F1961" s="0" t="n">
        <v>144.704801127726</v>
      </c>
      <c r="G1961" s="0" t="n">
        <v>114.767904383152</v>
      </c>
      <c r="H1961" s="0" t="n">
        <v>106.952826179346</v>
      </c>
      <c r="I1961" s="0" t="n">
        <v>-7.81507820380602</v>
      </c>
    </row>
    <row r="1962" customFormat="false" ht="13.8" hidden="false" customHeight="false" outlineLevel="0" collapsed="false">
      <c r="A1962" s="2" t="n">
        <v>42212</v>
      </c>
      <c r="B1962" s="0" t="n">
        <v>2067.64</v>
      </c>
      <c r="C1962" s="0" t="n">
        <v>244.98</v>
      </c>
      <c r="D1962" s="3" t="n">
        <f aca="false">B1962*100/B$2</f>
        <v>142.875701373725</v>
      </c>
      <c r="E1962" s="3" t="n">
        <f aca="false">C1962*100/C$2</f>
        <v>104.113897152571</v>
      </c>
      <c r="F1962" s="0" t="n">
        <v>144.035904806656</v>
      </c>
      <c r="G1962" s="0" t="n">
        <v>114.544466113077</v>
      </c>
      <c r="H1962" s="0" t="n">
        <v>106.561835954101</v>
      </c>
      <c r="I1962" s="0" t="n">
        <v>-7.98263015897594</v>
      </c>
    </row>
    <row r="1963" customFormat="false" ht="13.8" hidden="false" customHeight="false" outlineLevel="0" collapsed="false">
      <c r="A1963" s="2" t="n">
        <v>42213</v>
      </c>
      <c r="B1963" s="0" t="n">
        <v>2067.64</v>
      </c>
      <c r="C1963" s="0" t="n">
        <v>245.21</v>
      </c>
      <c r="D1963" s="3" t="n">
        <f aca="false">B1963*100/B$2</f>
        <v>142.875701373725</v>
      </c>
      <c r="E1963" s="3" t="n">
        <f aca="false">C1963*100/C$2</f>
        <v>104.211644708882</v>
      </c>
      <c r="F1963" s="0" t="n">
        <v>144.855441001686</v>
      </c>
      <c r="G1963" s="0" t="n">
        <v>114.81822415885</v>
      </c>
      <c r="H1963" s="0" t="n">
        <v>105.605609859754</v>
      </c>
      <c r="I1963" s="0" t="n">
        <v>-9.21261429909661</v>
      </c>
    </row>
    <row r="1964" customFormat="false" ht="13.8" hidden="false" customHeight="false" outlineLevel="0" collapsed="false">
      <c r="A1964" s="2" t="n">
        <v>42214</v>
      </c>
      <c r="B1964" s="0" t="n">
        <v>2108.57</v>
      </c>
      <c r="C1964" s="0" t="n">
        <v>245.97</v>
      </c>
      <c r="D1964" s="3" t="n">
        <f aca="false">B1964*100/B$2</f>
        <v>145.703999557755</v>
      </c>
      <c r="E1964" s="3" t="n">
        <f aca="false">C1964*100/C$2</f>
        <v>104.534636634084</v>
      </c>
      <c r="F1964" s="0" t="n">
        <v>145.142209569087</v>
      </c>
      <c r="G1964" s="0" t="n">
        <v>114.914016392405</v>
      </c>
      <c r="H1964" s="0" t="n">
        <v>105.85635359116</v>
      </c>
      <c r="I1964" s="0" t="n">
        <v>-9.05766280124455</v>
      </c>
    </row>
    <row r="1965" customFormat="false" ht="13.8" hidden="false" customHeight="false" outlineLevel="0" collapsed="false">
      <c r="A1965" s="2" t="n">
        <v>42215</v>
      </c>
      <c r="B1965" s="0" t="n">
        <v>2108.63</v>
      </c>
      <c r="C1965" s="0" t="n">
        <v>243.61</v>
      </c>
      <c r="D1965" s="3" t="n">
        <f aca="false">B1965*100/B$2</f>
        <v>145.708145609331</v>
      </c>
      <c r="E1965" s="3" t="n">
        <f aca="false">C1965*100/C$2</f>
        <v>103.531661708457</v>
      </c>
      <c r="F1965" s="0" t="n">
        <v>146.579507449073</v>
      </c>
      <c r="G1965" s="0" t="n">
        <v>115.394131683474</v>
      </c>
      <c r="H1965" s="0" t="n">
        <v>106.107097322567</v>
      </c>
      <c r="I1965" s="0" t="n">
        <v>-9.28703436090687</v>
      </c>
    </row>
    <row r="1966" customFormat="false" ht="13.8" hidden="false" customHeight="false" outlineLevel="0" collapsed="false">
      <c r="A1966" s="2" t="n">
        <v>42216</v>
      </c>
      <c r="B1966" s="0" t="n">
        <v>2103.84</v>
      </c>
      <c r="C1966" s="0" t="n">
        <v>244.3</v>
      </c>
      <c r="D1966" s="3" t="n">
        <f aca="false">B1966*100/B$2</f>
        <v>145.377152491777</v>
      </c>
      <c r="E1966" s="3" t="n">
        <f aca="false">C1966*100/C$2</f>
        <v>103.824904377391</v>
      </c>
      <c r="F1966" s="0" t="n">
        <v>145.802122778407</v>
      </c>
      <c r="G1966" s="0" t="n">
        <v>115.13445394191</v>
      </c>
      <c r="H1966" s="0" t="n">
        <v>106.179345516362</v>
      </c>
      <c r="I1966" s="0" t="n">
        <v>-8.95510842554792</v>
      </c>
    </row>
    <row r="1967" customFormat="false" ht="13.8" hidden="false" customHeight="false" outlineLevel="0" collapsed="false">
      <c r="A1967" s="2" t="n">
        <v>42219</v>
      </c>
      <c r="B1967" s="0" t="n">
        <v>2098.04</v>
      </c>
      <c r="C1967" s="0" t="n">
        <v>241.48</v>
      </c>
      <c r="D1967" s="3" t="n">
        <f aca="false">B1967*100/B$2</f>
        <v>144.976367506012</v>
      </c>
      <c r="E1967" s="3" t="n">
        <f aca="false">C1967*100/C$2</f>
        <v>102.626434339142</v>
      </c>
      <c r="F1967" s="0" t="n">
        <v>146.690759833052</v>
      </c>
      <c r="G1967" s="0" t="n">
        <v>115.4312944536</v>
      </c>
      <c r="H1967" s="0" t="n">
        <v>106.668083297918</v>
      </c>
      <c r="I1967" s="0" t="n">
        <v>-8.76321115568227</v>
      </c>
    </row>
    <row r="1968" customFormat="false" ht="13.8" hidden="false" customHeight="false" outlineLevel="0" collapsed="false">
      <c r="A1968" s="2" t="n">
        <v>42220</v>
      </c>
      <c r="B1968" s="0" t="n">
        <v>2093.32</v>
      </c>
      <c r="C1968" s="0" t="n">
        <v>243.55</v>
      </c>
      <c r="D1968" s="3" t="n">
        <f aca="false">B1968*100/B$2</f>
        <v>144.65021144863</v>
      </c>
      <c r="E1968" s="3" t="n">
        <f aca="false">C1968*100/C$2</f>
        <v>103.506162345941</v>
      </c>
      <c r="F1968" s="0" t="n">
        <v>146.784045993532</v>
      </c>
      <c r="G1968" s="0" t="n">
        <v>115.462455782587</v>
      </c>
      <c r="H1968" s="0" t="n">
        <v>108.168295792605</v>
      </c>
      <c r="I1968" s="0" t="n">
        <v>-7.29415998998228</v>
      </c>
    </row>
    <row r="1969" customFormat="false" ht="13.8" hidden="false" customHeight="false" outlineLevel="0" collapsed="false">
      <c r="A1969" s="2" t="n">
        <v>42221</v>
      </c>
      <c r="B1969" s="0" t="n">
        <v>2099.84</v>
      </c>
      <c r="C1969" s="0" t="n">
        <v>243.12</v>
      </c>
      <c r="D1969" s="3" t="n">
        <f aca="false">B1969*100/B$2</f>
        <v>145.100749053318</v>
      </c>
      <c r="E1969" s="3" t="n">
        <f aca="false">C1969*100/C$2</f>
        <v>103.323416914577</v>
      </c>
      <c r="F1969" s="0" t="n">
        <v>145.704690566351</v>
      </c>
      <c r="G1969" s="0" t="n">
        <v>115.101907664967</v>
      </c>
      <c r="H1969" s="0" t="n">
        <v>108.346791330217</v>
      </c>
      <c r="I1969" s="0" t="n">
        <v>-6.75511633475061</v>
      </c>
    </row>
    <row r="1970" customFormat="false" ht="13.8" hidden="false" customHeight="false" outlineLevel="0" collapsed="false">
      <c r="A1970" s="2" t="n">
        <v>42222</v>
      </c>
      <c r="B1970" s="0" t="n">
        <v>2083.56</v>
      </c>
      <c r="C1970" s="0" t="n">
        <v>240.04</v>
      </c>
      <c r="D1970" s="3" t="n">
        <f aca="false">B1970*100/B$2</f>
        <v>143.975787058791</v>
      </c>
      <c r="E1970" s="3" t="n">
        <f aca="false">C1970*100/C$2</f>
        <v>102.014449638759</v>
      </c>
      <c r="F1970" s="0" t="n">
        <v>145.271428176567</v>
      </c>
      <c r="G1970" s="0" t="n">
        <v>114.957180603669</v>
      </c>
      <c r="H1970" s="0" t="n">
        <v>107.862303442414</v>
      </c>
      <c r="I1970" s="0" t="n">
        <v>-7.0948771612552</v>
      </c>
    </row>
    <row r="1971" customFormat="false" ht="13.8" hidden="false" customHeight="false" outlineLevel="0" collapsed="false">
      <c r="A1971" s="2" t="n">
        <v>42223</v>
      </c>
      <c r="B1971" s="0" t="n">
        <v>2077.57</v>
      </c>
      <c r="C1971" s="0" t="n">
        <v>239.79</v>
      </c>
      <c r="D1971" s="3" t="n">
        <f aca="false">B1971*100/B$2</f>
        <v>143.561872909699</v>
      </c>
      <c r="E1971" s="3" t="n">
        <f aca="false">C1971*100/C$2</f>
        <v>101.908202294943</v>
      </c>
      <c r="F1971" s="0" t="n">
        <v>145.214765471682</v>
      </c>
      <c r="G1971" s="0" t="n">
        <v>114.938252981617</v>
      </c>
      <c r="H1971" s="0" t="n">
        <v>108.151296217595</v>
      </c>
      <c r="I1971" s="0" t="n">
        <v>-6.7869567640228</v>
      </c>
    </row>
    <row r="1972" customFormat="false" ht="13.8" hidden="false" customHeight="false" outlineLevel="0" collapsed="false">
      <c r="A1972" s="2" t="n">
        <v>42226</v>
      </c>
      <c r="B1972" s="0" t="n">
        <v>2104.18</v>
      </c>
      <c r="C1972" s="0" t="n">
        <v>239.18</v>
      </c>
      <c r="D1972" s="3" t="n">
        <f aca="false">B1972*100/B$2</f>
        <v>145.400646784046</v>
      </c>
      <c r="E1972" s="3" t="n">
        <f aca="false">C1972*100/C$2</f>
        <v>101.648958776031</v>
      </c>
      <c r="F1972" s="0" t="n">
        <v>142.184692777578</v>
      </c>
      <c r="G1972" s="0" t="n">
        <v>113.926086851167</v>
      </c>
      <c r="H1972" s="0" t="n">
        <v>106.782830429239</v>
      </c>
      <c r="I1972" s="0" t="n">
        <v>-7.14325642192725</v>
      </c>
    </row>
    <row r="1973" customFormat="false" ht="13.8" hidden="false" customHeight="false" outlineLevel="0" collapsed="false">
      <c r="A1973" s="2" t="n">
        <v>42227</v>
      </c>
      <c r="B1973" s="0" t="n">
        <v>2084.07</v>
      </c>
      <c r="C1973" s="0" t="n">
        <v>237.91</v>
      </c>
      <c r="D1973" s="3" t="n">
        <f aca="false">B1973*100/B$2</f>
        <v>144.011028497195</v>
      </c>
      <c r="E1973" s="3" t="n">
        <f aca="false">C1973*100/C$2</f>
        <v>101.109222269443</v>
      </c>
      <c r="F1973" s="0" t="n">
        <v>142.562674479671</v>
      </c>
      <c r="G1973" s="0" t="n">
        <v>114.052347939731</v>
      </c>
      <c r="H1973" s="0" t="n">
        <v>107.212069698258</v>
      </c>
      <c r="I1973" s="0" t="n">
        <v>-6.84027824147377</v>
      </c>
    </row>
    <row r="1974" customFormat="false" ht="13.8" hidden="false" customHeight="false" outlineLevel="0" collapsed="false">
      <c r="A1974" s="2" t="n">
        <v>42228</v>
      </c>
      <c r="B1974" s="0" t="n">
        <v>2086.05</v>
      </c>
      <c r="C1974" s="0" t="n">
        <v>237.24</v>
      </c>
      <c r="D1974" s="3" t="n">
        <f aca="false">B1974*100/B$2</f>
        <v>144.147848199232</v>
      </c>
      <c r="E1974" s="3" t="n">
        <f aca="false">C1974*100/C$2</f>
        <v>100.824479388015</v>
      </c>
      <c r="F1974" s="0" t="n">
        <v>143.551507780757</v>
      </c>
      <c r="G1974" s="0" t="n">
        <v>114.382658027</v>
      </c>
      <c r="H1974" s="0" t="n">
        <v>108.402039949001</v>
      </c>
      <c r="I1974" s="0" t="n">
        <v>-5.98061807799918</v>
      </c>
    </row>
    <row r="1975" customFormat="false" ht="13.8" hidden="false" customHeight="false" outlineLevel="0" collapsed="false">
      <c r="A1975" s="2" t="n">
        <v>42229</v>
      </c>
      <c r="B1975" s="0" t="n">
        <v>2083.39</v>
      </c>
      <c r="C1975" s="0" t="n">
        <v>237.32</v>
      </c>
      <c r="D1975" s="3" t="n">
        <f aca="false">B1975*100/B$2</f>
        <v>143.964039912657</v>
      </c>
      <c r="E1975" s="3" t="n">
        <f aca="false">C1975*100/C$2</f>
        <v>100.858478538037</v>
      </c>
      <c r="F1975" s="0" t="n">
        <v>143.507283230603</v>
      </c>
      <c r="G1975" s="0" t="n">
        <v>114.367885248814</v>
      </c>
      <c r="H1975" s="0" t="n">
        <v>108.584785380366</v>
      </c>
      <c r="I1975" s="0" t="n">
        <v>-5.78309986844822</v>
      </c>
    </row>
    <row r="1976" customFormat="false" ht="13.8" hidden="false" customHeight="false" outlineLevel="0" collapsed="false">
      <c r="A1976" s="2" t="n">
        <v>42230</v>
      </c>
      <c r="B1976" s="0" t="n">
        <v>2091.54</v>
      </c>
      <c r="C1976" s="0" t="n">
        <v>237.32</v>
      </c>
      <c r="D1976" s="3" t="n">
        <f aca="false">B1976*100/B$2</f>
        <v>144.527211918516</v>
      </c>
      <c r="E1976" s="3" t="n">
        <f aca="false">C1976*100/C$2</f>
        <v>100.858478538037</v>
      </c>
      <c r="F1976" s="0" t="n">
        <v>143.507283230603</v>
      </c>
      <c r="G1976" s="0" t="n">
        <v>114.367885248814</v>
      </c>
      <c r="H1976" s="0" t="n">
        <v>108.227794305142</v>
      </c>
      <c r="I1976" s="0" t="n">
        <v>-6.14009094367134</v>
      </c>
    </row>
    <row r="1977" customFormat="false" ht="13.8" hidden="false" customHeight="false" outlineLevel="0" collapsed="false">
      <c r="A1977" s="2" t="n">
        <v>42233</v>
      </c>
      <c r="B1977" s="0" t="n">
        <v>2102.44</v>
      </c>
      <c r="C1977" s="0" t="n">
        <v>235.37</v>
      </c>
      <c r="D1977" s="3" t="n">
        <f aca="false">B1977*100/B$2</f>
        <v>145.280411288316</v>
      </c>
      <c r="E1977" s="3" t="n">
        <f aca="false">C1977*100/C$2</f>
        <v>100.029749256269</v>
      </c>
      <c r="F1977" s="0" t="n">
        <v>142.953094336494</v>
      </c>
      <c r="G1977" s="0" t="n">
        <v>114.182763872161</v>
      </c>
      <c r="H1977" s="0" t="n">
        <v>105.524861878453</v>
      </c>
      <c r="I1977" s="0" t="n">
        <v>-8.65790199370809</v>
      </c>
    </row>
    <row r="1978" customFormat="false" ht="13.8" hidden="false" customHeight="false" outlineLevel="0" collapsed="false">
      <c r="A1978" s="2" t="n">
        <v>42234</v>
      </c>
      <c r="B1978" s="0" t="n">
        <v>2096.92</v>
      </c>
      <c r="C1978" s="0" t="n">
        <v>235.2</v>
      </c>
      <c r="D1978" s="3" t="n">
        <f aca="false">B1978*100/B$2</f>
        <v>144.898974543243</v>
      </c>
      <c r="E1978" s="3" t="n">
        <f aca="false">C1978*100/C$2</f>
        <v>99.9575010624734</v>
      </c>
      <c r="F1978" s="0" t="n">
        <v>143.822383150446</v>
      </c>
      <c r="G1978" s="0" t="n">
        <v>114.473141293394</v>
      </c>
      <c r="H1978" s="0" t="n">
        <v>105.418614534637</v>
      </c>
      <c r="I1978" s="0" t="n">
        <v>-9.0545267587576</v>
      </c>
    </row>
    <row r="1979" customFormat="false" ht="13.8" hidden="false" customHeight="false" outlineLevel="0" collapsed="false">
      <c r="A1979" s="2" t="n">
        <v>42235</v>
      </c>
      <c r="B1979" s="0" t="n">
        <v>2079.61</v>
      </c>
      <c r="C1979" s="0" t="n">
        <v>234.27</v>
      </c>
      <c r="D1979" s="3" t="n">
        <f aca="false">B1979*100/B$2</f>
        <v>143.702838663313</v>
      </c>
      <c r="E1979" s="3" t="n">
        <f aca="false">C1979*100/C$2</f>
        <v>99.5622609434764</v>
      </c>
      <c r="F1979" s="0" t="n">
        <v>141.427347356201</v>
      </c>
      <c r="G1979" s="0" t="n">
        <v>113.673103024719</v>
      </c>
      <c r="H1979" s="0" t="n">
        <v>104.096897577561</v>
      </c>
      <c r="I1979" s="0" t="n">
        <v>-9.57620544715803</v>
      </c>
    </row>
    <row r="1980" customFormat="false" ht="13.8" hidden="false" customHeight="false" outlineLevel="0" collapsed="false">
      <c r="A1980" s="2" t="n">
        <v>42236</v>
      </c>
      <c r="B1980" s="0" t="n">
        <v>2035.73</v>
      </c>
      <c r="C1980" s="0" t="n">
        <v>231.59</v>
      </c>
      <c r="D1980" s="3" t="n">
        <f aca="false">B1980*100/B$2</f>
        <v>140.67069294342</v>
      </c>
      <c r="E1980" s="3" t="n">
        <f aca="false">C1980*100/C$2</f>
        <v>98.4232894177645</v>
      </c>
      <c r="F1980" s="0" t="n">
        <v>141.747284336217</v>
      </c>
      <c r="G1980" s="0" t="n">
        <v>113.779974841913</v>
      </c>
      <c r="H1980" s="0" t="n">
        <v>104.874628134297</v>
      </c>
      <c r="I1980" s="0" t="n">
        <v>-8.90534670761664</v>
      </c>
    </row>
    <row r="1981" customFormat="false" ht="13.8" hidden="false" customHeight="false" outlineLevel="0" collapsed="false">
      <c r="A1981" s="2" t="n">
        <v>42237</v>
      </c>
      <c r="B1981" s="0" t="n">
        <v>1970.89</v>
      </c>
      <c r="C1981" s="0" t="n">
        <v>227.14</v>
      </c>
      <c r="D1981" s="3" t="n">
        <f aca="false">B1981*100/B$2</f>
        <v>136.190193206003</v>
      </c>
      <c r="E1981" s="3" t="n">
        <f aca="false">C1981*100/C$2</f>
        <v>96.5320866978326</v>
      </c>
      <c r="F1981" s="0" t="n">
        <v>143.496227093065</v>
      </c>
      <c r="G1981" s="0" t="n">
        <v>114.364192054267</v>
      </c>
      <c r="H1981" s="0" t="n">
        <v>104.900127496813</v>
      </c>
      <c r="I1981" s="0" t="n">
        <v>-9.46406455745445</v>
      </c>
    </row>
    <row r="1982" customFormat="false" ht="13.8" hidden="false" customHeight="false" outlineLevel="0" collapsed="false">
      <c r="A1982" s="2" t="n">
        <v>42240</v>
      </c>
      <c r="B1982" s="0" t="n">
        <v>1893.21</v>
      </c>
      <c r="C1982" s="0" t="n">
        <v>221.53</v>
      </c>
      <c r="D1982" s="3" t="n">
        <f aca="false">B1982*100/B$2</f>
        <v>130.822438431134</v>
      </c>
      <c r="E1982" s="3" t="n">
        <f aca="false">C1982*100/C$2</f>
        <v>94.1478963025924</v>
      </c>
      <c r="F1982" s="0" t="n">
        <v>145.084164847011</v>
      </c>
      <c r="G1982" s="0" t="n">
        <v>114.894627121035</v>
      </c>
      <c r="H1982" s="0" t="n">
        <v>106.179345516362</v>
      </c>
      <c r="I1982" s="0" t="n">
        <v>-8.71528160467257</v>
      </c>
    </row>
    <row r="1983" customFormat="false" ht="13.8" hidden="false" customHeight="false" outlineLevel="0" collapsed="false">
      <c r="A1983" s="2" t="n">
        <v>42241</v>
      </c>
      <c r="B1983" s="0" t="n">
        <v>1867.62</v>
      </c>
      <c r="C1983" s="0" t="n">
        <v>223.07</v>
      </c>
      <c r="D1983" s="3" t="n">
        <f aca="false">B1983*100/B$2</f>
        <v>129.054147433594</v>
      </c>
      <c r="E1983" s="3" t="n">
        <f aca="false">C1983*100/C$2</f>
        <v>94.8023799405015</v>
      </c>
      <c r="F1983" s="0" t="n">
        <v>145.730257884408</v>
      </c>
      <c r="G1983" s="0" t="n">
        <v>115.110448177357</v>
      </c>
      <c r="H1983" s="0" t="n">
        <v>105.669358266043</v>
      </c>
      <c r="I1983" s="0" t="n">
        <v>-9.4410899113132</v>
      </c>
    </row>
    <row r="1984" customFormat="false" ht="13.8" hidden="false" customHeight="false" outlineLevel="0" collapsed="false">
      <c r="A1984" s="2" t="n">
        <v>42242</v>
      </c>
      <c r="B1984" s="0" t="n">
        <v>1940.51</v>
      </c>
      <c r="C1984" s="0" t="n">
        <v>227.71</v>
      </c>
      <c r="D1984" s="3" t="n">
        <f aca="false">B1984*100/B$2</f>
        <v>134.090909090909</v>
      </c>
      <c r="E1984" s="3" t="n">
        <f aca="false">C1984*100/C$2</f>
        <v>96.774330641734</v>
      </c>
      <c r="F1984" s="0" t="n">
        <v>145.623151552005</v>
      </c>
      <c r="G1984" s="0" t="n">
        <v>115.074670355186</v>
      </c>
      <c r="H1984" s="0" t="n">
        <v>106.098597535062</v>
      </c>
      <c r="I1984" s="0" t="n">
        <v>-8.97607282012395</v>
      </c>
    </row>
    <row r="1985" customFormat="false" ht="13.8" hidden="false" customHeight="false" outlineLevel="0" collapsed="false">
      <c r="A1985" s="2" t="n">
        <v>42243</v>
      </c>
      <c r="B1985" s="0" t="n">
        <v>1987.66</v>
      </c>
      <c r="C1985" s="0" t="n">
        <v>228.94</v>
      </c>
      <c r="D1985" s="3" t="n">
        <f aca="false">B1985*100/B$2</f>
        <v>137.349014621742</v>
      </c>
      <c r="E1985" s="3" t="n">
        <f aca="false">C1985*100/C$2</f>
        <v>97.2970675733107</v>
      </c>
      <c r="F1985" s="0" t="n">
        <v>146.790265070897</v>
      </c>
      <c r="G1985" s="0" t="n">
        <v>115.46453320452</v>
      </c>
      <c r="H1985" s="0" t="n">
        <v>106.872078198045</v>
      </c>
      <c r="I1985" s="0" t="n">
        <v>-8.59245500647495</v>
      </c>
    </row>
    <row r="1986" customFormat="false" ht="13.8" hidden="false" customHeight="false" outlineLevel="0" collapsed="false">
      <c r="A1986" s="2" t="n">
        <v>42244</v>
      </c>
      <c r="B1986" s="0" t="n">
        <v>1988.87</v>
      </c>
      <c r="C1986" s="0" t="n">
        <v>232.35</v>
      </c>
      <c r="D1986" s="3" t="n">
        <f aca="false">B1986*100/B$2</f>
        <v>137.432626661876</v>
      </c>
      <c r="E1986" s="3" t="n">
        <f aca="false">C1986*100/C$2</f>
        <v>98.7462813429664</v>
      </c>
      <c r="F1986" s="0" t="n">
        <v>146.952652090992</v>
      </c>
      <c r="G1986" s="0" t="n">
        <v>115.518776999424</v>
      </c>
      <c r="H1986" s="0" t="n">
        <v>106.345091372716</v>
      </c>
      <c r="I1986" s="0" t="n">
        <v>-9.17368562670875</v>
      </c>
    </row>
    <row r="1987" customFormat="false" ht="13.8" hidden="false" customHeight="false" outlineLevel="0" collapsed="false">
      <c r="A1987" s="2" t="n">
        <v>42247</v>
      </c>
      <c r="B1987" s="0" t="n">
        <v>1972.18</v>
      </c>
      <c r="C1987" s="0" t="n">
        <v>232.8</v>
      </c>
      <c r="D1987" s="3" t="n">
        <f aca="false">B1987*100/B$2</f>
        <v>136.279333314906</v>
      </c>
      <c r="E1987" s="3" t="n">
        <f aca="false">C1987*100/C$2</f>
        <v>98.937526561836</v>
      </c>
      <c r="F1987" s="0" t="n">
        <v>147.06597750076</v>
      </c>
      <c r="G1987" s="0" t="n">
        <v>115.556632243528</v>
      </c>
      <c r="H1987" s="0" t="n">
        <v>105.784105397365</v>
      </c>
      <c r="I1987" s="0" t="n">
        <v>-9.77252684616288</v>
      </c>
    </row>
    <row r="1988" customFormat="false" ht="13.8" hidden="false" customHeight="false" outlineLevel="0" collapsed="false">
      <c r="A1988" s="2" t="n">
        <v>42248</v>
      </c>
      <c r="B1988" s="0" t="n">
        <v>1913.85</v>
      </c>
      <c r="C1988" s="0" t="n">
        <v>229.55</v>
      </c>
      <c r="D1988" s="3" t="n">
        <f aca="false">B1988*100/B$2</f>
        <v>132.248680173581</v>
      </c>
      <c r="E1988" s="3" t="n">
        <f aca="false">C1988*100/C$2</f>
        <v>97.5563110922227</v>
      </c>
      <c r="F1988" s="0" t="n">
        <v>146.439232704055</v>
      </c>
      <c r="G1988" s="0" t="n">
        <v>115.347274277663</v>
      </c>
      <c r="H1988" s="0" t="n">
        <v>106.396090097748</v>
      </c>
      <c r="I1988" s="0" t="n">
        <v>-8.95118417991519</v>
      </c>
    </row>
    <row r="1989" customFormat="false" ht="13.8" hidden="false" customHeight="false" outlineLevel="0" collapsed="false">
      <c r="A1989" s="2" t="n">
        <v>42249</v>
      </c>
      <c r="B1989" s="0" t="n">
        <v>1948.86</v>
      </c>
      <c r="C1989" s="0" t="n">
        <v>229.91</v>
      </c>
      <c r="D1989" s="3" t="n">
        <f aca="false">B1989*100/B$2</f>
        <v>134.667901268692</v>
      </c>
      <c r="E1989" s="3" t="n">
        <f aca="false">C1989*100/C$2</f>
        <v>97.7093072673183</v>
      </c>
      <c r="F1989" s="0" t="n">
        <v>146.089582354404</v>
      </c>
      <c r="G1989" s="0" t="n">
        <v>115.230477000124</v>
      </c>
      <c r="H1989" s="0" t="n">
        <v>105.346366340841</v>
      </c>
      <c r="I1989" s="0" t="n">
        <v>-9.88411065928236</v>
      </c>
    </row>
    <row r="1990" customFormat="false" ht="13.8" hidden="false" customHeight="false" outlineLevel="0" collapsed="false">
      <c r="A1990" s="2" t="n">
        <v>42250</v>
      </c>
      <c r="B1990" s="0" t="n">
        <v>1951.13</v>
      </c>
      <c r="C1990" s="0" t="n">
        <v>230.4</v>
      </c>
      <c r="D1990" s="3" t="n">
        <f aca="false">B1990*100/B$2</f>
        <v>134.824760220017</v>
      </c>
      <c r="E1990" s="3" t="n">
        <f aca="false">C1990*100/C$2</f>
        <v>97.9175520611985</v>
      </c>
      <c r="F1990" s="0" t="n">
        <v>145.260372039028</v>
      </c>
      <c r="G1990" s="0" t="n">
        <v>114.953487409122</v>
      </c>
      <c r="H1990" s="0" t="n">
        <v>105.10412239694</v>
      </c>
      <c r="I1990" s="0" t="n">
        <v>-9.84936501218239</v>
      </c>
    </row>
    <row r="1991" customFormat="false" ht="13.8" hidden="false" customHeight="false" outlineLevel="0" collapsed="false">
      <c r="A1991" s="2" t="n">
        <v>42251</v>
      </c>
      <c r="B1991" s="0" t="n">
        <v>1921.22</v>
      </c>
      <c r="C1991" s="0" t="n">
        <v>227.9</v>
      </c>
      <c r="D1991" s="3" t="n">
        <f aca="false">B1991*100/B$2</f>
        <v>132.757953508942</v>
      </c>
      <c r="E1991" s="3" t="n">
        <f aca="false">C1991*100/C$2</f>
        <v>96.8550786230344</v>
      </c>
      <c r="F1991" s="0" t="n">
        <v>143.705602697698</v>
      </c>
      <c r="G1991" s="0" t="n">
        <v>114.434131925995</v>
      </c>
      <c r="H1991" s="0" t="n">
        <v>104.084147896303</v>
      </c>
      <c r="I1991" s="0" t="n">
        <v>-10.3499840296923</v>
      </c>
    </row>
    <row r="1992" customFormat="false" ht="13.8" hidden="false" customHeight="false" outlineLevel="0" collapsed="false">
      <c r="A1992" s="2" t="n">
        <v>42254</v>
      </c>
      <c r="B1992" s="0" t="n">
        <v>1921.22</v>
      </c>
      <c r="C1992" s="0" t="n">
        <v>227.31</v>
      </c>
      <c r="D1992" s="3" t="n">
        <f aca="false">B1992*100/B$2</f>
        <v>132.757953508942</v>
      </c>
      <c r="E1992" s="3" t="n">
        <f aca="false">C1992*100/C$2</f>
        <v>96.6043348916277</v>
      </c>
      <c r="F1992" s="0" t="n">
        <v>142.875701373725</v>
      </c>
      <c r="G1992" s="0" t="n">
        <v>114.156911510334</v>
      </c>
      <c r="H1992" s="0" t="n">
        <v>104.113897152571</v>
      </c>
      <c r="I1992" s="0" t="n">
        <v>-10.0430143577632</v>
      </c>
    </row>
    <row r="1993" customFormat="false" ht="13.8" hidden="false" customHeight="false" outlineLevel="0" collapsed="false">
      <c r="A1993" s="2" t="n">
        <v>42255</v>
      </c>
      <c r="B1993" s="0" t="n">
        <v>1969.41</v>
      </c>
      <c r="C1993" s="0" t="n">
        <v>227.76</v>
      </c>
      <c r="D1993" s="3" t="n">
        <f aca="false">B1993*100/B$2</f>
        <v>136.087923933774</v>
      </c>
      <c r="E1993" s="3" t="n">
        <f aca="false">C1993*100/C$2</f>
        <v>96.7955801104972</v>
      </c>
      <c r="F1993" s="0" t="n">
        <v>142.875701373725</v>
      </c>
      <c r="G1993" s="0" t="n">
        <v>114.156911510334</v>
      </c>
      <c r="H1993" s="0" t="n">
        <v>104.211644708882</v>
      </c>
      <c r="I1993" s="0" t="n">
        <v>-9.94526680145206</v>
      </c>
    </row>
    <row r="1994" customFormat="false" ht="13.8" hidden="false" customHeight="false" outlineLevel="0" collapsed="false">
      <c r="A1994" s="2" t="n">
        <v>42256</v>
      </c>
      <c r="B1994" s="0" t="n">
        <v>1942.04</v>
      </c>
      <c r="C1994" s="0" t="n">
        <v>234.4</v>
      </c>
      <c r="D1994" s="3" t="n">
        <f aca="false">B1994*100/B$2</f>
        <v>134.19663340612</v>
      </c>
      <c r="E1994" s="3" t="n">
        <f aca="false">C1994*100/C$2</f>
        <v>99.6175095622609</v>
      </c>
      <c r="F1994" s="0" t="n">
        <v>145.703999557755</v>
      </c>
      <c r="G1994" s="0" t="n">
        <v>115.101676840308</v>
      </c>
      <c r="H1994" s="0" t="n">
        <v>104.534636634084</v>
      </c>
      <c r="I1994" s="0" t="n">
        <v>-10.5670402062241</v>
      </c>
    </row>
    <row r="1995" customFormat="false" ht="13.8" hidden="false" customHeight="false" outlineLevel="0" collapsed="false">
      <c r="A1995" s="2" t="n">
        <v>42257</v>
      </c>
      <c r="B1995" s="0" t="n">
        <v>1952.29</v>
      </c>
      <c r="C1995" s="0" t="n">
        <v>237.18</v>
      </c>
      <c r="D1995" s="3" t="n">
        <f aca="false">B1995*100/B$2</f>
        <v>134.90491721717</v>
      </c>
      <c r="E1995" s="3" t="n">
        <f aca="false">C1995*100/C$2</f>
        <v>100.798980025499</v>
      </c>
      <c r="F1995" s="0" t="n">
        <v>145.708145609331</v>
      </c>
      <c r="G1995" s="0" t="n">
        <v>115.103061788263</v>
      </c>
      <c r="H1995" s="0" t="n">
        <v>103.531661708457</v>
      </c>
      <c r="I1995" s="0" t="n">
        <v>-11.5714000798059</v>
      </c>
    </row>
    <row r="1996" customFormat="false" ht="13.8" hidden="false" customHeight="false" outlineLevel="0" collapsed="false">
      <c r="A1996" s="2" t="n">
        <v>42258</v>
      </c>
      <c r="B1996" s="0" t="n">
        <v>1961.05</v>
      </c>
      <c r="C1996" s="0" t="n">
        <v>233.74</v>
      </c>
      <c r="D1996" s="3" t="n">
        <f aca="false">B1996*100/B$2</f>
        <v>135.510240747395</v>
      </c>
      <c r="E1996" s="3" t="n">
        <f aca="false">C1996*100/C$2</f>
        <v>99.3370165745856</v>
      </c>
      <c r="F1996" s="0" t="n">
        <v>145.377152491777</v>
      </c>
      <c r="G1996" s="0" t="n">
        <v>114.992496776522</v>
      </c>
      <c r="H1996" s="0" t="n">
        <v>103.824904377391</v>
      </c>
      <c r="I1996" s="0" t="n">
        <v>-11.1675923991313</v>
      </c>
    </row>
    <row r="1997" customFormat="false" ht="13.8" hidden="false" customHeight="false" outlineLevel="0" collapsed="false">
      <c r="A1997" s="2" t="n">
        <v>42261</v>
      </c>
      <c r="B1997" s="0" t="n">
        <v>1953.03</v>
      </c>
      <c r="C1997" s="0" t="n">
        <v>233.06</v>
      </c>
      <c r="D1997" s="3" t="n">
        <f aca="false">B1997*100/B$2</f>
        <v>134.956051853285</v>
      </c>
      <c r="E1997" s="3" t="n">
        <f aca="false">C1997*100/C$2</f>
        <v>99.048023799405</v>
      </c>
      <c r="F1997" s="0" t="n">
        <v>144.976367506012</v>
      </c>
      <c r="G1997" s="0" t="n">
        <v>114.858618474204</v>
      </c>
      <c r="H1997" s="0" t="n">
        <v>102.626434339142</v>
      </c>
      <c r="I1997" s="0" t="n">
        <v>-12.232184135063</v>
      </c>
    </row>
    <row r="1998" customFormat="false" ht="13.8" hidden="false" customHeight="false" outlineLevel="0" collapsed="false">
      <c r="A1998" s="2" t="n">
        <v>42262</v>
      </c>
      <c r="B1998" s="0" t="n">
        <v>1978.09</v>
      </c>
      <c r="C1998" s="0" t="n">
        <v>233.59</v>
      </c>
      <c r="D1998" s="3" t="n">
        <f aca="false">B1998*100/B$2</f>
        <v>136.687719395229</v>
      </c>
      <c r="E1998" s="3" t="n">
        <f aca="false">C1998*100/C$2</f>
        <v>99.2732681682958</v>
      </c>
      <c r="F1998" s="0" t="n">
        <v>144.65021144863</v>
      </c>
      <c r="G1998" s="0" t="n">
        <v>114.749669235077</v>
      </c>
      <c r="H1998" s="0" t="n">
        <v>103.506162345941</v>
      </c>
      <c r="I1998" s="0" t="n">
        <v>-11.2435068891359</v>
      </c>
    </row>
    <row r="1999" customFormat="false" ht="13.8" hidden="false" customHeight="false" outlineLevel="0" collapsed="false">
      <c r="A1999" s="2" t="n">
        <v>42263</v>
      </c>
      <c r="B1999" s="0" t="n">
        <v>1995.31</v>
      </c>
      <c r="C1999" s="0" t="n">
        <v>238.78</v>
      </c>
      <c r="D1999" s="3" t="n">
        <f aca="false">B1999*100/B$2</f>
        <v>137.877636197794</v>
      </c>
      <c r="E1999" s="3" t="n">
        <f aca="false">C1999*100/C$2</f>
        <v>101.478963025924</v>
      </c>
      <c r="F1999" s="0" t="n">
        <v>145.100749053318</v>
      </c>
      <c r="G1999" s="0" t="n">
        <v>114.900166912855</v>
      </c>
      <c r="H1999" s="0" t="n">
        <v>103.323416914577</v>
      </c>
      <c r="I1999" s="0" t="n">
        <v>-11.5767499982776</v>
      </c>
    </row>
    <row r="2000" customFormat="false" ht="13.8" hidden="false" customHeight="false" outlineLevel="0" collapsed="false">
      <c r="A2000" s="2" t="n">
        <v>42264</v>
      </c>
      <c r="B2000" s="0" t="n">
        <v>1990.2</v>
      </c>
      <c r="C2000" s="0" t="n">
        <v>239.29</v>
      </c>
      <c r="D2000" s="3" t="n">
        <f aca="false">B2000*100/B$2</f>
        <v>137.524530805163</v>
      </c>
      <c r="E2000" s="3" t="n">
        <f aca="false">C2000*100/C$2</f>
        <v>101.69570760731</v>
      </c>
      <c r="F2000" s="0" t="n">
        <v>143.975787058791</v>
      </c>
      <c r="G2000" s="0" t="n">
        <v>114.52438436773</v>
      </c>
      <c r="H2000" s="0" t="n">
        <v>102.014449638759</v>
      </c>
      <c r="I2000" s="0" t="n">
        <v>-12.5099347289704</v>
      </c>
    </row>
    <row r="2001" customFormat="false" ht="13.8" hidden="false" customHeight="false" outlineLevel="0" collapsed="false">
      <c r="A2001" s="2" t="n">
        <v>42265</v>
      </c>
      <c r="B2001" s="0" t="n">
        <v>1958.08</v>
      </c>
      <c r="C2001" s="0" t="n">
        <v>241.12</v>
      </c>
      <c r="D2001" s="3" t="n">
        <f aca="false">B2001*100/B$2</f>
        <v>135.305011194339</v>
      </c>
      <c r="E2001" s="3" t="n">
        <f aca="false">C2001*100/C$2</f>
        <v>102.473438164046</v>
      </c>
      <c r="F2001" s="0" t="n">
        <v>143.561872909699</v>
      </c>
      <c r="G2001" s="0" t="n">
        <v>114.386120396888</v>
      </c>
      <c r="H2001" s="0" t="n">
        <v>101.908202294943</v>
      </c>
      <c r="I2001" s="0" t="n">
        <v>-12.4779181019453</v>
      </c>
    </row>
    <row r="2002" customFormat="false" ht="13.8" hidden="false" customHeight="false" outlineLevel="0" collapsed="false">
      <c r="A2002" s="2" t="n">
        <v>42268</v>
      </c>
      <c r="B2002" s="0" t="n">
        <v>1966.97</v>
      </c>
      <c r="C2002" s="0" t="n">
        <v>236.72</v>
      </c>
      <c r="D2002" s="3" t="n">
        <f aca="false">B2002*100/B$2</f>
        <v>135.919317836314</v>
      </c>
      <c r="E2002" s="3" t="n">
        <f aca="false">C2002*100/C$2</f>
        <v>100.603484912877</v>
      </c>
      <c r="F2002" s="0" t="n">
        <v>145.400646784046</v>
      </c>
      <c r="G2002" s="0" t="n">
        <v>115.000344814934</v>
      </c>
      <c r="H2002" s="0" t="n">
        <v>101.648958776031</v>
      </c>
      <c r="I2002" s="0" t="n">
        <v>-13.3513860389029</v>
      </c>
    </row>
    <row r="2003" customFormat="false" ht="13.8" hidden="false" customHeight="false" outlineLevel="0" collapsed="false">
      <c r="A2003" s="2" t="n">
        <v>42269</v>
      </c>
      <c r="B2003" s="0" t="n">
        <v>1942.74</v>
      </c>
      <c r="C2003" s="0" t="n">
        <v>238.68</v>
      </c>
      <c r="D2003" s="3" t="n">
        <f aca="false">B2003*100/B$2</f>
        <v>134.24500400785</v>
      </c>
      <c r="E2003" s="3" t="n">
        <f aca="false">C2003*100/C$2</f>
        <v>101.436464088398</v>
      </c>
      <c r="F2003" s="0" t="n">
        <v>144.011028497195</v>
      </c>
      <c r="G2003" s="0" t="n">
        <v>114.536156425347</v>
      </c>
      <c r="H2003" s="0" t="n">
        <v>101.109222269443</v>
      </c>
      <c r="I2003" s="0" t="n">
        <v>-13.4269341559038</v>
      </c>
    </row>
    <row r="2004" customFormat="false" ht="13.8" hidden="false" customHeight="false" outlineLevel="0" collapsed="false">
      <c r="A2004" s="2" t="n">
        <v>42270</v>
      </c>
      <c r="B2004" s="0" t="n">
        <v>1938.76</v>
      </c>
      <c r="C2004" s="0" t="n">
        <v>234.26</v>
      </c>
      <c r="D2004" s="3" t="n">
        <f aca="false">B2004*100/B$2</f>
        <v>133.969982586583</v>
      </c>
      <c r="E2004" s="3" t="n">
        <f aca="false">C2004*100/C$2</f>
        <v>99.5580110497238</v>
      </c>
      <c r="F2004" s="0" t="n">
        <v>144.147848199232</v>
      </c>
      <c r="G2004" s="0" t="n">
        <v>114.581859707862</v>
      </c>
      <c r="H2004" s="0" t="n">
        <v>100.824479388015</v>
      </c>
      <c r="I2004" s="0" t="n">
        <v>-13.757380319847</v>
      </c>
    </row>
    <row r="2005" customFormat="false" ht="13.8" hidden="false" customHeight="false" outlineLevel="0" collapsed="false">
      <c r="A2005" s="2" t="n">
        <v>42271</v>
      </c>
      <c r="B2005" s="0" t="n">
        <v>1932.24</v>
      </c>
      <c r="C2005" s="0" t="n">
        <v>234.26</v>
      </c>
      <c r="D2005" s="3" t="n">
        <f aca="false">B2005*100/B$2</f>
        <v>133.519444981896</v>
      </c>
      <c r="E2005" s="3" t="n">
        <f aca="false">C2005*100/C$2</f>
        <v>99.5580110497238</v>
      </c>
      <c r="F2005" s="0" t="n">
        <v>143.964039912657</v>
      </c>
      <c r="G2005" s="0" t="n">
        <v>114.520460348524</v>
      </c>
      <c r="H2005" s="0" t="n">
        <v>100.858478538037</v>
      </c>
      <c r="I2005" s="0" t="n">
        <v>-13.6619818104871</v>
      </c>
    </row>
    <row r="2006" customFormat="false" ht="13.8" hidden="false" customHeight="false" outlineLevel="0" collapsed="false">
      <c r="A2006" s="2" t="n">
        <v>42272</v>
      </c>
      <c r="B2006" s="0" t="n">
        <v>1931.34</v>
      </c>
      <c r="C2006" s="0" t="n">
        <v>233.79</v>
      </c>
      <c r="D2006" s="3" t="n">
        <f aca="false">B2006*100/B$2</f>
        <v>133.457254208242</v>
      </c>
      <c r="E2006" s="3" t="n">
        <f aca="false">C2006*100/C$2</f>
        <v>99.3582660433489</v>
      </c>
      <c r="F2006" s="0" t="n">
        <v>144.527211918516</v>
      </c>
      <c r="G2006" s="0" t="n">
        <v>114.708582445745</v>
      </c>
      <c r="H2006" s="0" t="n">
        <v>100.858478538037</v>
      </c>
      <c r="I2006" s="0" t="n">
        <v>-13.8501039077089</v>
      </c>
    </row>
    <row r="2007" customFormat="false" ht="13.8" hidden="false" customHeight="false" outlineLevel="0" collapsed="false">
      <c r="A2007" s="2" t="n">
        <v>42275</v>
      </c>
      <c r="B2007" s="0" t="n">
        <v>1881.77</v>
      </c>
      <c r="C2007" s="0" t="n">
        <v>233.79</v>
      </c>
      <c r="D2007" s="3" t="n">
        <f aca="false">B2007*100/B$2</f>
        <v>130.031924597142</v>
      </c>
      <c r="E2007" s="3" t="n">
        <f aca="false">C2007*100/C$2</f>
        <v>99.3582660433489</v>
      </c>
      <c r="F2007" s="0" t="n">
        <v>145.280411288316</v>
      </c>
      <c r="G2007" s="0" t="n">
        <v>114.960181324238</v>
      </c>
      <c r="H2007" s="0" t="n">
        <v>100.029749256269</v>
      </c>
      <c r="I2007" s="0" t="n">
        <v>-14.9304320679697</v>
      </c>
    </row>
    <row r="2008" customFormat="false" ht="13.8" hidden="false" customHeight="false" outlineLevel="0" collapsed="false">
      <c r="A2008" s="2" t="n">
        <v>42276</v>
      </c>
      <c r="B2008" s="0" t="n">
        <v>1884.09</v>
      </c>
      <c r="C2008" s="0" t="n">
        <v>233.79</v>
      </c>
      <c r="D2008" s="3" t="n">
        <f aca="false">B2008*100/B$2</f>
        <v>130.192238591448</v>
      </c>
      <c r="E2008" s="3" t="n">
        <f aca="false">C2008*100/C$2</f>
        <v>99.3582660433489</v>
      </c>
      <c r="F2008" s="0" t="n">
        <v>144.898974543243</v>
      </c>
      <c r="G2008" s="0" t="n">
        <v>114.832766112378</v>
      </c>
      <c r="H2008" s="0" t="n">
        <v>99.9575010624734</v>
      </c>
      <c r="I2008" s="0" t="n">
        <v>-14.8752650499042</v>
      </c>
    </row>
    <row r="2009" customFormat="false" ht="13.8" hidden="false" customHeight="false" outlineLevel="0" collapsed="false">
      <c r="A2009" s="2" t="n">
        <v>42277</v>
      </c>
      <c r="B2009" s="0" t="n">
        <v>1920.03</v>
      </c>
      <c r="C2009" s="0" t="n">
        <v>236.71</v>
      </c>
      <c r="D2009" s="3" t="n">
        <f aca="false">B2009*100/B$2</f>
        <v>132.675723486</v>
      </c>
      <c r="E2009" s="3" t="n">
        <f aca="false">C2009*100/C$2</f>
        <v>100.599235019125</v>
      </c>
      <c r="F2009" s="0" t="n">
        <v>143.702838663313</v>
      </c>
      <c r="G2009" s="0" t="n">
        <v>114.433208627358</v>
      </c>
      <c r="H2009" s="0" t="n">
        <v>99.5622609434764</v>
      </c>
      <c r="I2009" s="0" t="n">
        <v>-14.8709476838818</v>
      </c>
    </row>
    <row r="2010" customFormat="false" ht="13.8" hidden="false" customHeight="false" outlineLevel="0" collapsed="false">
      <c r="A2010" s="2" t="n">
        <v>42278</v>
      </c>
      <c r="B2010" s="0" t="n">
        <v>1923.82</v>
      </c>
      <c r="C2010" s="0" t="n">
        <v>238.62</v>
      </c>
      <c r="D2010" s="3" t="n">
        <f aca="false">B2010*100/B$2</f>
        <v>132.93761574394</v>
      </c>
      <c r="E2010" s="3" t="n">
        <f aca="false">C2010*100/C$2</f>
        <v>101.410964725882</v>
      </c>
      <c r="F2010" s="0" t="n">
        <v>140.67069294342</v>
      </c>
      <c r="G2010" s="0" t="n">
        <v>113.42035002293</v>
      </c>
      <c r="H2010" s="0" t="n">
        <v>98.4232894177645</v>
      </c>
      <c r="I2010" s="0" t="n">
        <v>-14.9970606051653</v>
      </c>
    </row>
    <row r="2011" customFormat="false" ht="13.8" hidden="false" customHeight="false" outlineLevel="0" collapsed="false">
      <c r="A2011" s="2" t="n">
        <v>42279</v>
      </c>
      <c r="B2011" s="0" t="n">
        <v>1951.36</v>
      </c>
      <c r="C2011" s="0" t="n">
        <v>237.15</v>
      </c>
      <c r="D2011" s="3" t="n">
        <f aca="false">B2011*100/B$2</f>
        <v>134.840653417729</v>
      </c>
      <c r="E2011" s="3" t="n">
        <f aca="false">C2011*100/C$2</f>
        <v>100.786230344241</v>
      </c>
      <c r="F2011" s="0" t="n">
        <v>136.190193206003</v>
      </c>
      <c r="G2011" s="0" t="n">
        <v>111.923682932886</v>
      </c>
      <c r="H2011" s="0" t="n">
        <v>96.5320866978326</v>
      </c>
      <c r="I2011" s="0" t="n">
        <v>-15.3915962350532</v>
      </c>
    </row>
    <row r="2012" customFormat="false" ht="13.8" hidden="false" customHeight="false" outlineLevel="0" collapsed="false">
      <c r="A2012" s="2" t="n">
        <v>42282</v>
      </c>
      <c r="B2012" s="0" t="n">
        <v>1987.05</v>
      </c>
      <c r="C2012" s="0" t="n">
        <v>237.98</v>
      </c>
      <c r="D2012" s="3" t="n">
        <f aca="false">B2012*100/B$2</f>
        <v>137.306863097377</v>
      </c>
      <c r="E2012" s="3" t="n">
        <f aca="false">C2012*100/C$2</f>
        <v>101.138971525712</v>
      </c>
      <c r="F2012" s="0" t="n">
        <v>130.822438431134</v>
      </c>
      <c r="G2012" s="0" t="n">
        <v>110.13063698047</v>
      </c>
      <c r="H2012" s="0" t="n">
        <v>94.1478963025924</v>
      </c>
      <c r="I2012" s="0" t="n">
        <v>-15.9827406778778</v>
      </c>
    </row>
    <row r="2013" customFormat="false" ht="13.8" hidden="false" customHeight="false" outlineLevel="0" collapsed="false">
      <c r="A2013" s="2" t="n">
        <v>42283</v>
      </c>
      <c r="B2013" s="0" t="n">
        <v>1979.92</v>
      </c>
      <c r="C2013" s="0" t="n">
        <v>240.18</v>
      </c>
      <c r="D2013" s="3" t="n">
        <f aca="false">B2013*100/B$2</f>
        <v>136.814173968324</v>
      </c>
      <c r="E2013" s="3" t="n">
        <f aca="false">C2013*100/C$2</f>
        <v>102.073948151296</v>
      </c>
      <c r="F2013" s="0" t="n">
        <v>129.054147433594</v>
      </c>
      <c r="G2013" s="0" t="n">
        <v>109.53995667766</v>
      </c>
      <c r="H2013" s="0" t="n">
        <v>94.8023799405015</v>
      </c>
      <c r="I2013" s="0" t="n">
        <v>-14.7375767371583</v>
      </c>
    </row>
    <row r="2014" customFormat="false" ht="13.8" hidden="false" customHeight="false" outlineLevel="0" collapsed="false">
      <c r="A2014" s="2" t="n">
        <v>42284</v>
      </c>
      <c r="B2014" s="0" t="n">
        <v>1995.83</v>
      </c>
      <c r="C2014" s="0" t="n">
        <v>243.52</v>
      </c>
      <c r="D2014" s="3" t="n">
        <f aca="false">B2014*100/B$2</f>
        <v>137.913568644794</v>
      </c>
      <c r="E2014" s="3" t="n">
        <f aca="false">C2014*100/C$2</f>
        <v>103.493412664683</v>
      </c>
      <c r="F2014" s="0" t="n">
        <v>134.090909090909</v>
      </c>
      <c r="G2014" s="0" t="n">
        <v>111.222437618334</v>
      </c>
      <c r="H2014" s="0" t="n">
        <v>96.774330641734</v>
      </c>
      <c r="I2014" s="0" t="n">
        <v>-14.4481069766</v>
      </c>
    </row>
    <row r="2015" customFormat="false" ht="13.8" hidden="false" customHeight="false" outlineLevel="0" collapsed="false">
      <c r="A2015" s="2" t="n">
        <v>42285</v>
      </c>
      <c r="B2015" s="0" t="n">
        <v>2013.43</v>
      </c>
      <c r="C2015" s="0" t="n">
        <v>246.02</v>
      </c>
      <c r="D2015" s="3" t="n">
        <f aca="false">B2015*100/B$2</f>
        <v>139.129743774013</v>
      </c>
      <c r="E2015" s="3" t="n">
        <f aca="false">C2015*100/C$2</f>
        <v>104.555886102847</v>
      </c>
      <c r="F2015" s="0" t="n">
        <v>137.349014621742</v>
      </c>
      <c r="G2015" s="0" t="n">
        <v>112.31077588631</v>
      </c>
      <c r="H2015" s="0" t="n">
        <v>97.2970675733107</v>
      </c>
      <c r="I2015" s="0" t="n">
        <v>-15.0137083129995</v>
      </c>
    </row>
    <row r="2016" customFormat="false" ht="13.8" hidden="false" customHeight="false" outlineLevel="0" collapsed="false">
      <c r="A2016" s="2" t="n">
        <v>42286</v>
      </c>
      <c r="B2016" s="0" t="n">
        <v>2014.89</v>
      </c>
      <c r="C2016" s="0" t="n">
        <v>246.02</v>
      </c>
      <c r="D2016" s="3" t="n">
        <f aca="false">B2016*100/B$2</f>
        <v>139.23063102905</v>
      </c>
      <c r="E2016" s="3" t="n">
        <f aca="false">C2016*100/C$2</f>
        <v>104.555886102847</v>
      </c>
      <c r="F2016" s="0" t="n">
        <v>137.432626661876</v>
      </c>
      <c r="G2016" s="0" t="n">
        <v>112.338705670069</v>
      </c>
      <c r="H2016" s="0" t="n">
        <v>98.7462813429664</v>
      </c>
      <c r="I2016" s="0" t="n">
        <v>-13.592424327103</v>
      </c>
    </row>
    <row r="2017" customFormat="false" ht="13.8" hidden="false" customHeight="false" outlineLevel="0" collapsed="false">
      <c r="A2017" s="2" t="n">
        <v>42289</v>
      </c>
      <c r="B2017" s="0" t="n">
        <v>2017.46</v>
      </c>
      <c r="C2017" s="0" t="n">
        <v>246.49</v>
      </c>
      <c r="D2017" s="3" t="n">
        <f aca="false">B2017*100/B$2</f>
        <v>139.40822023826</v>
      </c>
      <c r="E2017" s="3" t="n">
        <f aca="false">C2017*100/C$2</f>
        <v>104.755631109222</v>
      </c>
      <c r="F2017" s="0" t="n">
        <v>136.279333314906</v>
      </c>
      <c r="G2017" s="0" t="n">
        <v>111.953459313918</v>
      </c>
      <c r="H2017" s="0" t="n">
        <v>98.937526561836</v>
      </c>
      <c r="I2017" s="0" t="n">
        <v>-13.0159327520824</v>
      </c>
    </row>
    <row r="2018" customFormat="false" ht="13.8" hidden="false" customHeight="false" outlineLevel="0" collapsed="false">
      <c r="A2018" s="2" t="n">
        <v>42290</v>
      </c>
      <c r="B2018" s="0" t="n">
        <v>2003.69</v>
      </c>
      <c r="C2018" s="0" t="n">
        <v>246.04</v>
      </c>
      <c r="D2018" s="3" t="n">
        <f aca="false">B2018*100/B$2</f>
        <v>138.456701401365</v>
      </c>
      <c r="E2018" s="3" t="n">
        <f aca="false">C2018*100/C$2</f>
        <v>104.564385890353</v>
      </c>
      <c r="F2018" s="0" t="n">
        <v>132.248680173581</v>
      </c>
      <c r="G2018" s="0" t="n">
        <v>110.607059076993</v>
      </c>
      <c r="H2018" s="0" t="n">
        <v>97.5563110922227</v>
      </c>
      <c r="I2018" s="0" t="n">
        <v>-13.0507479847699</v>
      </c>
    </row>
    <row r="2019" customFormat="false" ht="13.8" hidden="false" customHeight="false" outlineLevel="0" collapsed="false">
      <c r="A2019" s="2" t="n">
        <v>42291</v>
      </c>
      <c r="B2019" s="0" t="n">
        <v>1994.24</v>
      </c>
      <c r="C2019" s="0" t="n">
        <v>244.94</v>
      </c>
      <c r="D2019" s="3" t="n">
        <f aca="false">B2019*100/B$2</f>
        <v>137.803698278007</v>
      </c>
      <c r="E2019" s="3" t="n">
        <f aca="false">C2019*100/C$2</f>
        <v>104.096897577561</v>
      </c>
      <c r="F2019" s="0" t="n">
        <v>134.667901268692</v>
      </c>
      <c r="G2019" s="0" t="n">
        <v>111.415176208739</v>
      </c>
      <c r="H2019" s="0" t="n">
        <v>97.7093072673183</v>
      </c>
      <c r="I2019" s="0" t="n">
        <v>-13.7058689414207</v>
      </c>
    </row>
    <row r="2020" customFormat="false" ht="13.8" hidden="false" customHeight="false" outlineLevel="0" collapsed="false">
      <c r="A2020" s="2" t="n">
        <v>42292</v>
      </c>
      <c r="B2020" s="0" t="n">
        <v>2023.86</v>
      </c>
      <c r="C2020" s="0" t="n">
        <v>247.89</v>
      </c>
      <c r="D2020" s="3" t="n">
        <f aca="false">B2020*100/B$2</f>
        <v>139.850465739794</v>
      </c>
      <c r="E2020" s="3" t="n">
        <f aca="false">C2020*100/C$2</f>
        <v>105.350616234594</v>
      </c>
      <c r="F2020" s="0" t="n">
        <v>134.824760220017</v>
      </c>
      <c r="G2020" s="0" t="n">
        <v>111.46757340637</v>
      </c>
      <c r="H2020" s="0" t="n">
        <v>97.9175520611985</v>
      </c>
      <c r="I2020" s="0" t="n">
        <v>-13.5500213451717</v>
      </c>
    </row>
    <row r="2021" customFormat="false" ht="13.8" hidden="false" customHeight="false" outlineLevel="0" collapsed="false">
      <c r="A2021" s="2" t="n">
        <v>42293</v>
      </c>
      <c r="B2021" s="0" t="n">
        <v>2033.11</v>
      </c>
      <c r="C2021" s="0" t="n">
        <v>247.37</v>
      </c>
      <c r="D2021" s="3" t="n">
        <f aca="false">B2021*100/B$2</f>
        <v>140.48964869123</v>
      </c>
      <c r="E2021" s="3" t="n">
        <f aca="false">C2021*100/C$2</f>
        <v>105.129621759456</v>
      </c>
      <c r="F2021" s="0" t="n">
        <v>132.757953508942</v>
      </c>
      <c r="G2021" s="0" t="n">
        <v>110.777176850799</v>
      </c>
      <c r="H2021" s="0" t="n">
        <v>96.8550786230344</v>
      </c>
      <c r="I2021" s="0" t="n">
        <v>-13.9220982277648</v>
      </c>
    </row>
    <row r="2022" customFormat="false" ht="13.8" hidden="false" customHeight="false" outlineLevel="0" collapsed="false">
      <c r="A2022" s="2" t="n">
        <v>42296</v>
      </c>
      <c r="B2022" s="0" t="n">
        <v>2033.66</v>
      </c>
      <c r="C2022" s="0" t="n">
        <v>247.47</v>
      </c>
      <c r="D2022" s="3" t="n">
        <f aca="false">B2022*100/B$2</f>
        <v>140.527654164018</v>
      </c>
      <c r="E2022" s="3" t="n">
        <f aca="false">C2022*100/C$2</f>
        <v>105.172120696983</v>
      </c>
      <c r="F2022" s="0" t="n">
        <v>132.757953508942</v>
      </c>
      <c r="G2022" s="0" t="n">
        <v>110.777176850799</v>
      </c>
      <c r="H2022" s="0" t="n">
        <v>96.6043348916277</v>
      </c>
      <c r="I2022" s="0" t="n">
        <v>-14.1728419591715</v>
      </c>
    </row>
    <row r="2023" customFormat="false" ht="13.8" hidden="false" customHeight="false" outlineLevel="0" collapsed="false">
      <c r="A2023" s="2" t="n">
        <v>42297</v>
      </c>
      <c r="B2023" s="0" t="n">
        <v>2030.77</v>
      </c>
      <c r="C2023" s="0" t="n">
        <v>248.53</v>
      </c>
      <c r="D2023" s="3" t="n">
        <f aca="false">B2023*100/B$2</f>
        <v>140.327952679731</v>
      </c>
      <c r="E2023" s="3" t="n">
        <f aca="false">C2023*100/C$2</f>
        <v>105.622609434764</v>
      </c>
      <c r="F2023" s="0" t="n">
        <v>136.087923933774</v>
      </c>
      <c r="G2023" s="0" t="n">
        <v>111.889520883329</v>
      </c>
      <c r="H2023" s="0" t="n">
        <v>96.7955801104972</v>
      </c>
      <c r="I2023" s="0" t="n">
        <v>-15.0939407728317</v>
      </c>
    </row>
    <row r="2024" customFormat="false" ht="13.8" hidden="false" customHeight="false" outlineLevel="0" collapsed="false">
      <c r="A2024" s="2" t="n">
        <v>42298</v>
      </c>
      <c r="B2024" s="0" t="n">
        <v>2018.94</v>
      </c>
      <c r="C2024" s="0" t="n">
        <v>249.25</v>
      </c>
      <c r="D2024" s="3" t="n">
        <f aca="false">B2024*100/B$2</f>
        <v>139.51048951049</v>
      </c>
      <c r="E2024" s="3" t="n">
        <f aca="false">C2024*100/C$2</f>
        <v>105.928601784955</v>
      </c>
      <c r="F2024" s="0" t="n">
        <v>134.19663340612</v>
      </c>
      <c r="G2024" s="0" t="n">
        <v>111.257753791187</v>
      </c>
      <c r="H2024" s="0" t="n">
        <v>99.6175095622609</v>
      </c>
      <c r="I2024" s="0" t="n">
        <v>-11.6402442289257</v>
      </c>
    </row>
    <row r="2025" customFormat="false" ht="13.8" hidden="false" customHeight="false" outlineLevel="0" collapsed="false">
      <c r="A2025" s="2" t="n">
        <v>42299</v>
      </c>
      <c r="B2025" s="0" t="n">
        <v>2052.51</v>
      </c>
      <c r="C2025" s="0" t="n">
        <v>247.22</v>
      </c>
      <c r="D2025" s="3" t="n">
        <f aca="false">B2025*100/B$2</f>
        <v>141.830205367755</v>
      </c>
      <c r="E2025" s="3" t="n">
        <f aca="false">C2025*100/C$2</f>
        <v>105.065873353166</v>
      </c>
      <c r="F2025" s="0" t="n">
        <v>134.90491721717</v>
      </c>
      <c r="G2025" s="0" t="n">
        <v>111.494349066834</v>
      </c>
      <c r="H2025" s="0" t="n">
        <v>100.798980025499</v>
      </c>
      <c r="I2025" s="0" t="n">
        <v>-10.6953690413343</v>
      </c>
    </row>
    <row r="2026" customFormat="false" ht="13.8" hidden="false" customHeight="false" outlineLevel="0" collapsed="false">
      <c r="A2026" s="2" t="n">
        <v>42300</v>
      </c>
      <c r="B2026" s="0" t="n">
        <v>2075.15</v>
      </c>
      <c r="C2026" s="0" t="n">
        <v>249.41</v>
      </c>
      <c r="D2026" s="3" t="n">
        <f aca="false">B2026*100/B$2</f>
        <v>143.394648829431</v>
      </c>
      <c r="E2026" s="3" t="n">
        <f aca="false">C2026*100/C$2</f>
        <v>105.996600084998</v>
      </c>
      <c r="F2026" s="0" t="n">
        <v>135.510240747395</v>
      </c>
      <c r="G2026" s="0" t="n">
        <v>111.696551468265</v>
      </c>
      <c r="H2026" s="0" t="n">
        <v>99.3370165745856</v>
      </c>
      <c r="I2026" s="0" t="n">
        <v>-12.359534893679</v>
      </c>
    </row>
    <row r="2027" customFormat="false" ht="13.8" hidden="false" customHeight="false" outlineLevel="0" collapsed="false">
      <c r="A2027" s="2" t="n">
        <v>42303</v>
      </c>
      <c r="B2027" s="0" t="n">
        <v>2071.18</v>
      </c>
      <c r="C2027" s="0" t="n">
        <v>250.36</v>
      </c>
      <c r="D2027" s="3" t="n">
        <f aca="false">B2027*100/B$2</f>
        <v>143.120318416761</v>
      </c>
      <c r="E2027" s="3" t="n">
        <f aca="false">C2027*100/C$2</f>
        <v>106.4003399915</v>
      </c>
      <c r="F2027" s="0" t="n">
        <v>134.956051853285</v>
      </c>
      <c r="G2027" s="0" t="n">
        <v>111.511430091612</v>
      </c>
      <c r="H2027" s="0" t="n">
        <v>99.048023799405</v>
      </c>
      <c r="I2027" s="0" t="n">
        <v>-12.463406292207</v>
      </c>
    </row>
    <row r="2028" customFormat="false" ht="13.8" hidden="false" customHeight="false" outlineLevel="0" collapsed="false">
      <c r="A2028" s="2" t="n">
        <v>42304</v>
      </c>
      <c r="B2028" s="0" t="n">
        <v>2065.89</v>
      </c>
      <c r="C2028" s="0" t="n">
        <v>250.04</v>
      </c>
      <c r="D2028" s="3" t="n">
        <f aca="false">B2028*100/B$2</f>
        <v>142.754774869399</v>
      </c>
      <c r="E2028" s="3" t="n">
        <f aca="false">C2028*100/C$2</f>
        <v>106.264343391415</v>
      </c>
      <c r="F2028" s="0" t="n">
        <v>136.687719395229</v>
      </c>
      <c r="G2028" s="0" t="n">
        <v>112.089876687487</v>
      </c>
      <c r="H2028" s="0" t="n">
        <v>99.2732681682958</v>
      </c>
      <c r="I2028" s="0" t="n">
        <v>-12.8166085191908</v>
      </c>
    </row>
    <row r="2029" customFormat="false" ht="13.8" hidden="false" customHeight="false" outlineLevel="0" collapsed="false">
      <c r="A2029" s="2" t="n">
        <v>42305</v>
      </c>
      <c r="B2029" s="0" t="n">
        <v>2090.35</v>
      </c>
      <c r="C2029" s="0" t="n">
        <v>249.79</v>
      </c>
      <c r="D2029" s="3" t="n">
        <f aca="false">B2029*100/B$2</f>
        <v>144.444981895575</v>
      </c>
      <c r="E2029" s="3" t="n">
        <f aca="false">C2029*100/C$2</f>
        <v>106.158096047599</v>
      </c>
      <c r="F2029" s="0" t="n">
        <v>137.877636197794</v>
      </c>
      <c r="G2029" s="0" t="n">
        <v>112.487356750574</v>
      </c>
      <c r="H2029" s="0" t="n">
        <v>101.478963025924</v>
      </c>
      <c r="I2029" s="0" t="n">
        <v>-11.0083937246492</v>
      </c>
    </row>
    <row r="2030" customFormat="false" ht="13.8" hidden="false" customHeight="false" outlineLevel="0" collapsed="false">
      <c r="A2030" s="2" t="n">
        <v>42306</v>
      </c>
      <c r="B2030" s="0" t="n">
        <v>2089.41</v>
      </c>
      <c r="C2030" s="0" t="n">
        <v>248.93</v>
      </c>
      <c r="D2030" s="3" t="n">
        <f aca="false">B2030*100/B$2</f>
        <v>144.380027087537</v>
      </c>
      <c r="E2030" s="3" t="n">
        <f aca="false">C2030*100/C$2</f>
        <v>105.79260518487</v>
      </c>
      <c r="F2030" s="0" t="n">
        <v>137.524530805163</v>
      </c>
      <c r="G2030" s="0" t="n">
        <v>112.369405349739</v>
      </c>
      <c r="H2030" s="0" t="n">
        <v>101.69570760731</v>
      </c>
      <c r="I2030" s="0" t="n">
        <v>-10.673697742429</v>
      </c>
    </row>
    <row r="2031" customFormat="false" ht="13.8" hidden="false" customHeight="false" outlineLevel="0" collapsed="false">
      <c r="A2031" s="2" t="n">
        <v>42307</v>
      </c>
      <c r="B2031" s="0" t="n">
        <v>2079.36</v>
      </c>
      <c r="C2031" s="0" t="n">
        <v>249.41</v>
      </c>
      <c r="D2031" s="3" t="n">
        <f aca="false">B2031*100/B$2</f>
        <v>143.685563448409</v>
      </c>
      <c r="E2031" s="3" t="n">
        <f aca="false">C2031*100/C$2</f>
        <v>105.996600084998</v>
      </c>
      <c r="F2031" s="0" t="n">
        <v>135.305011194339</v>
      </c>
      <c r="G2031" s="0" t="n">
        <v>111.627996544492</v>
      </c>
      <c r="H2031" s="0" t="n">
        <v>102.473438164046</v>
      </c>
      <c r="I2031" s="0" t="n">
        <v>-9.15455838044589</v>
      </c>
    </row>
    <row r="2032" customFormat="false" ht="13.8" hidden="false" customHeight="false" outlineLevel="0" collapsed="false">
      <c r="A2032" s="2" t="n">
        <v>42310</v>
      </c>
      <c r="B2032" s="0" t="n">
        <v>2104.05</v>
      </c>
      <c r="C2032" s="0" t="n">
        <v>250.6</v>
      </c>
      <c r="D2032" s="3" t="n">
        <f aca="false">B2032*100/B$2</f>
        <v>145.391663672296</v>
      </c>
      <c r="E2032" s="3" t="n">
        <f aca="false">C2032*100/C$2</f>
        <v>106.502337441564</v>
      </c>
      <c r="F2032" s="0" t="n">
        <v>135.919317836314</v>
      </c>
      <c r="G2032" s="0" t="n">
        <v>111.833199666492</v>
      </c>
      <c r="H2032" s="0" t="n">
        <v>100.603484912877</v>
      </c>
      <c r="I2032" s="0" t="n">
        <v>-11.2297147536148</v>
      </c>
    </row>
    <row r="2033" customFormat="false" ht="13.8" hidden="false" customHeight="false" outlineLevel="0" collapsed="false">
      <c r="A2033" s="2" t="n">
        <v>42311</v>
      </c>
      <c r="B2033" s="0" t="n">
        <v>2109.79</v>
      </c>
      <c r="C2033" s="0" t="n">
        <v>252.12</v>
      </c>
      <c r="D2033" s="3" t="n">
        <f aca="false">B2033*100/B$2</f>
        <v>145.788302606484</v>
      </c>
      <c r="E2033" s="3" t="n">
        <f aca="false">C2033*100/C$2</f>
        <v>107.148321291968</v>
      </c>
      <c r="F2033" s="0" t="n">
        <v>134.24500400785</v>
      </c>
      <c r="G2033" s="0" t="n">
        <v>111.273911517328</v>
      </c>
      <c r="H2033" s="0" t="n">
        <v>101.436464088398</v>
      </c>
      <c r="I2033" s="0" t="n">
        <v>-9.83744742893056</v>
      </c>
    </row>
    <row r="2034" customFormat="false" ht="13.8" hidden="false" customHeight="false" outlineLevel="0" collapsed="false">
      <c r="A2034" s="2" t="n">
        <v>42312</v>
      </c>
      <c r="B2034" s="0" t="n">
        <v>2102.31</v>
      </c>
      <c r="C2034" s="0" t="n">
        <v>252.33</v>
      </c>
      <c r="D2034" s="3" t="n">
        <f aca="false">B2034*100/B$2</f>
        <v>145.271428176567</v>
      </c>
      <c r="E2034" s="3" t="n">
        <f aca="false">C2034*100/C$2</f>
        <v>107.237569060773</v>
      </c>
      <c r="F2034" s="0" t="n">
        <v>133.969982586583</v>
      </c>
      <c r="G2034" s="0" t="n">
        <v>111.18204330298</v>
      </c>
      <c r="H2034" s="0" t="n">
        <v>99.5580110497238</v>
      </c>
      <c r="I2034" s="0" t="n">
        <v>-11.6240322532558</v>
      </c>
    </row>
    <row r="2035" customFormat="false" ht="13.8" hidden="false" customHeight="false" outlineLevel="0" collapsed="false">
      <c r="A2035" s="2" t="n">
        <v>42313</v>
      </c>
      <c r="B2035" s="0" t="n">
        <v>2099.93</v>
      </c>
      <c r="C2035" s="0" t="n">
        <v>251.79</v>
      </c>
      <c r="D2035" s="3" t="n">
        <f aca="false">B2035*100/B$2</f>
        <v>145.106968130684</v>
      </c>
      <c r="E2035" s="3" t="n">
        <f aca="false">C2035*100/C$2</f>
        <v>107.00807479813</v>
      </c>
      <c r="F2035" s="0" t="n">
        <v>133.519444981896</v>
      </c>
      <c r="G2035" s="0" t="n">
        <v>111.031545625202</v>
      </c>
      <c r="H2035" s="0" t="n">
        <v>99.5580110497238</v>
      </c>
      <c r="I2035" s="0" t="n">
        <v>-11.4735345754784</v>
      </c>
    </row>
    <row r="2036" customFormat="false" ht="13.8" hidden="false" customHeight="false" outlineLevel="0" collapsed="false">
      <c r="A2036" s="2" t="n">
        <v>42314</v>
      </c>
      <c r="B2036" s="0" t="n">
        <v>2099.2</v>
      </c>
      <c r="C2036" s="0" t="n">
        <v>250.25</v>
      </c>
      <c r="D2036" s="3" t="n">
        <f aca="false">B2036*100/B$2</f>
        <v>145.056524503165</v>
      </c>
      <c r="E2036" s="3" t="n">
        <f aca="false">C2036*100/C$2</f>
        <v>106.353591160221</v>
      </c>
      <c r="F2036" s="0" t="n">
        <v>133.457254208242</v>
      </c>
      <c r="G2036" s="0" t="n">
        <v>111.010771405877</v>
      </c>
      <c r="H2036" s="0" t="n">
        <v>99.3582660433489</v>
      </c>
      <c r="I2036" s="0" t="n">
        <v>-11.6525053625281</v>
      </c>
    </row>
    <row r="2037" customFormat="false" ht="13.8" hidden="false" customHeight="false" outlineLevel="0" collapsed="false">
      <c r="A2037" s="2" t="n">
        <v>42317</v>
      </c>
      <c r="B2037" s="0" t="n">
        <v>2078.58</v>
      </c>
      <c r="C2037" s="0" t="n">
        <v>249.21</v>
      </c>
      <c r="D2037" s="3" t="n">
        <f aca="false">B2037*100/B$2</f>
        <v>143.63166477791</v>
      </c>
      <c r="E2037" s="3" t="n">
        <f aca="false">C2037*100/C$2</f>
        <v>105.911602209945</v>
      </c>
      <c r="F2037" s="0" t="n">
        <v>130.031924597142</v>
      </c>
      <c r="G2037" s="0" t="n">
        <v>109.866573570382</v>
      </c>
      <c r="H2037" s="0" t="n">
        <v>99.3582660433489</v>
      </c>
      <c r="I2037" s="0" t="n">
        <v>-10.5083075270333</v>
      </c>
    </row>
    <row r="2038" customFormat="false" ht="13.8" hidden="false" customHeight="false" outlineLevel="0" collapsed="false">
      <c r="A2038" s="2" t="n">
        <v>42318</v>
      </c>
      <c r="B2038" s="0" t="n">
        <v>2081.72</v>
      </c>
      <c r="C2038" s="0" t="n">
        <v>245.86</v>
      </c>
      <c r="D2038" s="3" t="n">
        <f aca="false">B2038*100/B$2</f>
        <v>143.8486414771</v>
      </c>
      <c r="E2038" s="3" t="n">
        <f aca="false">C2038*100/C$2</f>
        <v>104.487887802805</v>
      </c>
      <c r="F2038" s="0" t="n">
        <v>130.192238591448</v>
      </c>
      <c r="G2038" s="0" t="n">
        <v>109.920124891309</v>
      </c>
      <c r="H2038" s="0" t="n">
        <v>99.3582660433489</v>
      </c>
      <c r="I2038" s="0" t="n">
        <v>-10.5618588479602</v>
      </c>
    </row>
    <row r="2039" customFormat="false" ht="13.8" hidden="false" customHeight="false" outlineLevel="0" collapsed="false">
      <c r="A2039" s="2" t="n">
        <v>42319</v>
      </c>
      <c r="B2039" s="0" t="n">
        <v>2075</v>
      </c>
      <c r="C2039" s="0" t="n">
        <v>245.86</v>
      </c>
      <c r="D2039" s="3" t="n">
        <f aca="false">B2039*100/B$2</f>
        <v>143.384283700489</v>
      </c>
      <c r="E2039" s="3" t="n">
        <f aca="false">C2039*100/C$2</f>
        <v>104.487887802805</v>
      </c>
      <c r="F2039" s="0" t="n">
        <v>132.675723486</v>
      </c>
      <c r="G2039" s="0" t="n">
        <v>110.749708716358</v>
      </c>
      <c r="H2039" s="0" t="n">
        <v>100.599235019125</v>
      </c>
      <c r="I2039" s="0" t="n">
        <v>-10.1504736972337</v>
      </c>
    </row>
    <row r="2040" customFormat="false" ht="13.8" hidden="false" customHeight="false" outlineLevel="0" collapsed="false">
      <c r="A2040" s="2" t="n">
        <v>42320</v>
      </c>
      <c r="B2040" s="0" t="n">
        <v>2045.97</v>
      </c>
      <c r="C2040" s="0" t="n">
        <v>245.14</v>
      </c>
      <c r="D2040" s="3" t="n">
        <f aca="false">B2040*100/B$2</f>
        <v>141.378285745875</v>
      </c>
      <c r="E2040" s="3" t="n">
        <f aca="false">C2040*100/C$2</f>
        <v>104.181895452614</v>
      </c>
      <c r="F2040" s="0" t="n">
        <v>132.93761574394</v>
      </c>
      <c r="G2040" s="0" t="n">
        <v>110.837191262183</v>
      </c>
      <c r="H2040" s="0" t="n">
        <v>101.410964725882</v>
      </c>
      <c r="I2040" s="0" t="n">
        <v>-9.426226536301</v>
      </c>
    </row>
    <row r="2041" customFormat="false" ht="13.8" hidden="false" customHeight="false" outlineLevel="0" collapsed="false">
      <c r="A2041" s="2" t="n">
        <v>42321</v>
      </c>
      <c r="B2041" s="0" t="n">
        <v>2023.04</v>
      </c>
      <c r="C2041" s="0" t="n">
        <v>242.71</v>
      </c>
      <c r="D2041" s="3" t="n">
        <f aca="false">B2041*100/B$2</f>
        <v>139.79380303491</v>
      </c>
      <c r="E2041" s="3" t="n">
        <f aca="false">C2041*100/C$2</f>
        <v>103.149171270718</v>
      </c>
      <c r="F2041" s="0" t="n">
        <v>134.840653417729</v>
      </c>
      <c r="G2041" s="0" t="n">
        <v>111.472882373531</v>
      </c>
      <c r="H2041" s="0" t="n">
        <v>100.786230344241</v>
      </c>
      <c r="I2041" s="0" t="n">
        <v>-10.6866520292896</v>
      </c>
    </row>
    <row r="2042" customFormat="false" ht="13.8" hidden="false" customHeight="false" outlineLevel="0" collapsed="false">
      <c r="A2042" s="2" t="n">
        <v>42324</v>
      </c>
      <c r="B2042" s="0" t="n">
        <v>2053.19</v>
      </c>
      <c r="C2042" s="0" t="n">
        <v>238.87</v>
      </c>
      <c r="D2042" s="3" t="n">
        <f aca="false">B2042*100/B$2</f>
        <v>141.877193952293</v>
      </c>
      <c r="E2042" s="3" t="n">
        <f aca="false">C2042*100/C$2</f>
        <v>101.517212069698</v>
      </c>
      <c r="F2042" s="0" t="n">
        <v>137.306863097377</v>
      </c>
      <c r="G2042" s="0" t="n">
        <v>112.296695582101</v>
      </c>
      <c r="H2042" s="0" t="n">
        <v>101.138971525712</v>
      </c>
      <c r="I2042" s="0" t="n">
        <v>-11.1577240563891</v>
      </c>
    </row>
    <row r="2043" customFormat="false" ht="13.8" hidden="false" customHeight="false" outlineLevel="0" collapsed="false">
      <c r="A2043" s="2" t="n">
        <v>42325</v>
      </c>
      <c r="B2043" s="0" t="n">
        <v>2050.44</v>
      </c>
      <c r="C2043" s="0" t="n">
        <v>241.26</v>
      </c>
      <c r="D2043" s="3" t="n">
        <f aca="false">B2043*100/B$2</f>
        <v>141.687166588352</v>
      </c>
      <c r="E2043" s="3" t="n">
        <f aca="false">C2043*100/C$2</f>
        <v>102.532936676583</v>
      </c>
      <c r="F2043" s="0" t="n">
        <v>136.814173968324</v>
      </c>
      <c r="G2043" s="0" t="n">
        <v>112.132117600114</v>
      </c>
      <c r="H2043" s="0" t="n">
        <v>102.073948151296</v>
      </c>
      <c r="I2043" s="0" t="n">
        <v>-10.0581694488181</v>
      </c>
    </row>
    <row r="2044" customFormat="false" ht="13.8" hidden="false" customHeight="false" outlineLevel="0" collapsed="false">
      <c r="A2044" s="2" t="n">
        <v>42326</v>
      </c>
      <c r="B2044" s="0" t="n">
        <v>2083.58</v>
      </c>
      <c r="C2044" s="0" t="n">
        <v>241.44</v>
      </c>
      <c r="D2044" s="3" t="n">
        <f aca="false">B2044*100/B$2</f>
        <v>143.977169075983</v>
      </c>
      <c r="E2044" s="3" t="n">
        <f aca="false">C2044*100/C$2</f>
        <v>102.609434764131</v>
      </c>
      <c r="F2044" s="0" t="n">
        <v>137.913568644794</v>
      </c>
      <c r="G2044" s="0" t="n">
        <v>112.49935963285</v>
      </c>
      <c r="H2044" s="0" t="n">
        <v>103.493412664683</v>
      </c>
      <c r="I2044" s="0" t="n">
        <v>-9.0059469681669</v>
      </c>
    </row>
    <row r="2045" customFormat="false" ht="13.8" hidden="false" customHeight="false" outlineLevel="0" collapsed="false">
      <c r="A2045" s="2" t="n">
        <v>42327</v>
      </c>
      <c r="B2045" s="0" t="n">
        <v>2081.24</v>
      </c>
      <c r="C2045" s="0" t="n">
        <v>244.79</v>
      </c>
      <c r="D2045" s="3" t="n">
        <f aca="false">B2045*100/B$2</f>
        <v>143.815473064485</v>
      </c>
      <c r="E2045" s="3" t="n">
        <f aca="false">C2045*100/C$2</f>
        <v>104.033149171271</v>
      </c>
      <c r="F2045" s="0" t="n">
        <v>139.129743774013</v>
      </c>
      <c r="G2045" s="0" t="n">
        <v>112.905611032986</v>
      </c>
      <c r="H2045" s="0" t="n">
        <v>104.555886102847</v>
      </c>
      <c r="I2045" s="0" t="n">
        <v>-8.34972493013821</v>
      </c>
    </row>
    <row r="2046" customFormat="false" ht="13.8" hidden="false" customHeight="false" outlineLevel="0" collapsed="false">
      <c r="A2046" s="2" t="n">
        <v>42328</v>
      </c>
      <c r="B2046" s="0" t="n">
        <v>2089.17</v>
      </c>
      <c r="C2046" s="0" t="n">
        <v>244.8</v>
      </c>
      <c r="D2046" s="3" t="n">
        <f aca="false">B2046*100/B$2</f>
        <v>144.363442881229</v>
      </c>
      <c r="E2046" s="3" t="n">
        <f aca="false">C2046*100/C$2</f>
        <v>104.037399065023</v>
      </c>
      <c r="F2046" s="0" t="n">
        <v>139.23063102905</v>
      </c>
      <c r="G2046" s="0" t="n">
        <v>112.939311433224</v>
      </c>
      <c r="H2046" s="0" t="n">
        <v>104.555886102847</v>
      </c>
      <c r="I2046" s="0" t="n">
        <v>-8.3834253303767</v>
      </c>
    </row>
    <row r="2047" customFormat="false" ht="13.8" hidden="false" customHeight="false" outlineLevel="0" collapsed="false">
      <c r="A2047" s="2" t="n">
        <v>42331</v>
      </c>
      <c r="B2047" s="0" t="n">
        <v>2086.59</v>
      </c>
      <c r="C2047" s="0" t="n">
        <v>245.92</v>
      </c>
      <c r="D2047" s="3" t="n">
        <f aca="false">B2047*100/B$2</f>
        <v>144.185162663424</v>
      </c>
      <c r="E2047" s="3" t="n">
        <f aca="false">C2047*100/C$2</f>
        <v>104.513387165321</v>
      </c>
      <c r="F2047" s="0" t="n">
        <v>139.40822023826</v>
      </c>
      <c r="G2047" s="0" t="n">
        <v>112.99863337063</v>
      </c>
      <c r="H2047" s="0" t="n">
        <v>104.755631109222</v>
      </c>
      <c r="I2047" s="0" t="n">
        <v>-8.24300226140798</v>
      </c>
    </row>
    <row r="2048" customFormat="false" ht="13.8" hidden="false" customHeight="false" outlineLevel="0" collapsed="false">
      <c r="A2048" s="2" t="n">
        <v>42332</v>
      </c>
      <c r="B2048" s="0" t="n">
        <v>2089.14</v>
      </c>
      <c r="C2048" s="0" t="n">
        <v>247.51</v>
      </c>
      <c r="D2048" s="3" t="n">
        <f aca="false">B2048*100/B$2</f>
        <v>144.361369855441</v>
      </c>
      <c r="E2048" s="3" t="n">
        <f aca="false">C2048*100/C$2</f>
        <v>105.189120271993</v>
      </c>
      <c r="F2048" s="0" t="n">
        <v>138.456701401365</v>
      </c>
      <c r="G2048" s="0" t="n">
        <v>112.680787814956</v>
      </c>
      <c r="H2048" s="0" t="n">
        <v>104.564385890353</v>
      </c>
      <c r="I2048" s="0" t="n">
        <v>-8.11640192460344</v>
      </c>
    </row>
    <row r="2049" customFormat="false" ht="13.8" hidden="false" customHeight="false" outlineLevel="0" collapsed="false">
      <c r="A2049" s="2" t="n">
        <v>42333</v>
      </c>
      <c r="B2049" s="0" t="n">
        <v>2088.87</v>
      </c>
      <c r="C2049" s="0" t="n">
        <v>246.58</v>
      </c>
      <c r="D2049" s="3" t="n">
        <f aca="false">B2049*100/B$2</f>
        <v>144.342712623345</v>
      </c>
      <c r="E2049" s="3" t="n">
        <f aca="false">C2049*100/C$2</f>
        <v>104.793880152996</v>
      </c>
      <c r="F2049" s="0" t="n">
        <v>137.803698278007</v>
      </c>
      <c r="G2049" s="0" t="n">
        <v>112.462658512043</v>
      </c>
      <c r="H2049" s="0" t="n">
        <v>104.096897577561</v>
      </c>
      <c r="I2049" s="0" t="n">
        <v>-8.36576093448204</v>
      </c>
    </row>
    <row r="2050" customFormat="false" ht="13.8" hidden="false" customHeight="false" outlineLevel="0" collapsed="false">
      <c r="A2050" s="2" t="n">
        <v>42334</v>
      </c>
      <c r="B2050" s="0" t="n">
        <v>2088.87</v>
      </c>
      <c r="C2050" s="0" t="n">
        <v>249.43</v>
      </c>
      <c r="D2050" s="3" t="n">
        <f aca="false">B2050*100/B$2</f>
        <v>144.342712623345</v>
      </c>
      <c r="E2050" s="3" t="n">
        <f aca="false">C2050*100/C$2</f>
        <v>106.005099872503</v>
      </c>
      <c r="F2050" s="0" t="n">
        <v>139.850465739794</v>
      </c>
      <c r="G2050" s="0" t="n">
        <v>113.146361152498</v>
      </c>
      <c r="H2050" s="0" t="n">
        <v>105.350616234594</v>
      </c>
      <c r="I2050" s="0" t="n">
        <v>-7.79574491790352</v>
      </c>
    </row>
    <row r="2051" customFormat="false" ht="13.8" hidden="false" customHeight="false" outlineLevel="0" collapsed="false">
      <c r="A2051" s="2" t="n">
        <v>42335</v>
      </c>
      <c r="B2051" s="0" t="n">
        <v>2090.11</v>
      </c>
      <c r="C2051" s="0" t="n">
        <v>249.07</v>
      </c>
      <c r="D2051" s="3" t="n">
        <f aca="false">B2051*100/B$2</f>
        <v>144.428397689267</v>
      </c>
      <c r="E2051" s="3" t="n">
        <f aca="false">C2051*100/C$2</f>
        <v>105.852103697408</v>
      </c>
      <c r="F2051" s="0" t="n">
        <v>140.48964869123</v>
      </c>
      <c r="G2051" s="0" t="n">
        <v>113.359873962228</v>
      </c>
      <c r="H2051" s="0" t="n">
        <v>105.129621759456</v>
      </c>
      <c r="I2051" s="0" t="n">
        <v>-8.23025220277187</v>
      </c>
    </row>
    <row r="2052" customFormat="false" ht="13.8" hidden="false" customHeight="false" outlineLevel="0" collapsed="false">
      <c r="A2052" s="2" t="n">
        <v>42338</v>
      </c>
      <c r="B2052" s="0" t="n">
        <v>2080.41</v>
      </c>
      <c r="C2052" s="0" t="n">
        <v>244.24</v>
      </c>
      <c r="D2052" s="3" t="n">
        <f aca="false">B2052*100/B$2</f>
        <v>143.758119351005</v>
      </c>
      <c r="E2052" s="3" t="n">
        <f aca="false">C2052*100/C$2</f>
        <v>103.799405014875</v>
      </c>
      <c r="F2052" s="0" t="n">
        <v>140.527654164018</v>
      </c>
      <c r="G2052" s="0" t="n">
        <v>113.372569318482</v>
      </c>
      <c r="H2052" s="0" t="n">
        <v>105.172120696983</v>
      </c>
      <c r="I2052" s="0" t="n">
        <v>-8.20044862149953</v>
      </c>
    </row>
    <row r="2053" customFormat="false" ht="13.8" hidden="false" customHeight="false" outlineLevel="0" collapsed="false">
      <c r="A2053" s="2" t="n">
        <v>42339</v>
      </c>
      <c r="B2053" s="0" t="n">
        <v>2102.63</v>
      </c>
      <c r="C2053" s="0" t="n">
        <v>248.7</v>
      </c>
      <c r="D2053" s="3" t="n">
        <f aca="false">B2053*100/B$2</f>
        <v>145.293540451643</v>
      </c>
      <c r="E2053" s="3" t="n">
        <f aca="false">C2053*100/C$2</f>
        <v>105.694857628559</v>
      </c>
      <c r="F2053" s="0" t="n">
        <v>140.327952679731</v>
      </c>
      <c r="G2053" s="0" t="n">
        <v>113.305860991983</v>
      </c>
      <c r="H2053" s="0" t="n">
        <v>105.622609434764</v>
      </c>
      <c r="I2053" s="0" t="n">
        <v>-7.68325155721848</v>
      </c>
    </row>
    <row r="2054" customFormat="false" ht="13.8" hidden="false" customHeight="false" outlineLevel="0" collapsed="false">
      <c r="A2054" s="2" t="n">
        <v>42340</v>
      </c>
      <c r="B2054" s="0" t="n">
        <v>2079.51</v>
      </c>
      <c r="C2054" s="0" t="n">
        <v>246.6</v>
      </c>
      <c r="D2054" s="3" t="n">
        <f aca="false">B2054*100/B$2</f>
        <v>143.695928577352</v>
      </c>
      <c r="E2054" s="3" t="n">
        <f aca="false">C2054*100/C$2</f>
        <v>104.802379940501</v>
      </c>
      <c r="F2054" s="0" t="n">
        <v>139.51048951049</v>
      </c>
      <c r="G2054" s="0" t="n">
        <v>113.032795420187</v>
      </c>
      <c r="H2054" s="0" t="n">
        <v>105.928601784955</v>
      </c>
      <c r="I2054" s="0" t="n">
        <v>-7.10419363523171</v>
      </c>
    </row>
    <row r="2055" customFormat="false" ht="13.8" hidden="false" customHeight="false" outlineLevel="0" collapsed="false">
      <c r="A2055" s="2" t="n">
        <v>42341</v>
      </c>
      <c r="B2055" s="0" t="n">
        <v>2049.62</v>
      </c>
      <c r="C2055" s="0" t="n">
        <v>244.68</v>
      </c>
      <c r="D2055" s="3" t="n">
        <f aca="false">B2055*100/B$2</f>
        <v>141.630503883468</v>
      </c>
      <c r="E2055" s="3" t="n">
        <f aca="false">C2055*100/C$2</f>
        <v>103.986400339992</v>
      </c>
      <c r="F2055" s="0" t="n">
        <v>141.830205367755</v>
      </c>
      <c r="G2055" s="0" t="n">
        <v>113.807673801013</v>
      </c>
      <c r="H2055" s="0" t="n">
        <v>105.065873353166</v>
      </c>
      <c r="I2055" s="0" t="n">
        <v>-8.74180044784727</v>
      </c>
    </row>
    <row r="2056" customFormat="false" ht="13.8" hidden="false" customHeight="false" outlineLevel="0" collapsed="false">
      <c r="A2056" s="2" t="n">
        <v>42342</v>
      </c>
      <c r="B2056" s="0" t="n">
        <v>2091.69</v>
      </c>
      <c r="C2056" s="0" t="n">
        <v>242.15</v>
      </c>
      <c r="D2056" s="3" t="n">
        <f aca="false">B2056*100/B$2</f>
        <v>144.537577047458</v>
      </c>
      <c r="E2056" s="3" t="n">
        <f aca="false">C2056*100/C$2</f>
        <v>102.911177220569</v>
      </c>
      <c r="F2056" s="0" t="n">
        <v>143.394648829431</v>
      </c>
      <c r="G2056" s="0" t="n">
        <v>114.330260829369</v>
      </c>
      <c r="H2056" s="0" t="n">
        <v>105.996600084998</v>
      </c>
      <c r="I2056" s="0" t="n">
        <v>-8.33366074437149</v>
      </c>
    </row>
    <row r="2057" customFormat="false" ht="13.8" hidden="false" customHeight="false" outlineLevel="0" collapsed="false">
      <c r="A2057" s="2" t="n">
        <v>42345</v>
      </c>
      <c r="B2057" s="0" t="n">
        <v>2077.07</v>
      </c>
      <c r="C2057" s="0" t="n">
        <v>240.68</v>
      </c>
      <c r="D2057" s="3" t="n">
        <f aca="false">B2057*100/B$2</f>
        <v>143.527322479892</v>
      </c>
      <c r="E2057" s="3" t="n">
        <f aca="false">C2057*100/C$2</f>
        <v>102.286442838929</v>
      </c>
      <c r="F2057" s="0" t="n">
        <v>143.120318416761</v>
      </c>
      <c r="G2057" s="0" t="n">
        <v>114.23862343968</v>
      </c>
      <c r="H2057" s="0" t="n">
        <v>106.4003399915</v>
      </c>
      <c r="I2057" s="0" t="n">
        <v>-7.83828344817952</v>
      </c>
    </row>
    <row r="2058" customFormat="false" ht="13.8" hidden="false" customHeight="false" outlineLevel="0" collapsed="false">
      <c r="A2058" s="2" t="n">
        <v>42346</v>
      </c>
      <c r="B2058" s="0" t="n">
        <v>2063.59</v>
      </c>
      <c r="C2058" s="0" t="n">
        <v>239.23</v>
      </c>
      <c r="D2058" s="3" t="n">
        <f aca="false">B2058*100/B$2</f>
        <v>142.595842892286</v>
      </c>
      <c r="E2058" s="3" t="n">
        <f aca="false">C2058*100/C$2</f>
        <v>101.670208244794</v>
      </c>
      <c r="F2058" s="0" t="n">
        <v>142.754774869399</v>
      </c>
      <c r="G2058" s="0" t="n">
        <v>114.11651719498</v>
      </c>
      <c r="H2058" s="0" t="n">
        <v>106.264343391415</v>
      </c>
      <c r="I2058" s="0" t="n">
        <v>-7.85217380356475</v>
      </c>
    </row>
    <row r="2059" customFormat="false" ht="13.8" hidden="false" customHeight="false" outlineLevel="0" collapsed="false">
      <c r="A2059" s="2" t="n">
        <v>42347</v>
      </c>
      <c r="B2059" s="0" t="n">
        <v>2047.62</v>
      </c>
      <c r="C2059" s="0" t="n">
        <v>239.4</v>
      </c>
      <c r="D2059" s="3" t="n">
        <f aca="false">B2059*100/B$2</f>
        <v>141.492302164239</v>
      </c>
      <c r="E2059" s="3" t="n">
        <f aca="false">C2059*100/C$2</f>
        <v>101.742456438589</v>
      </c>
      <c r="F2059" s="0" t="n">
        <v>144.444981895575</v>
      </c>
      <c r="G2059" s="0" t="n">
        <v>114.681114311304</v>
      </c>
      <c r="H2059" s="0" t="n">
        <v>106.158096047599</v>
      </c>
      <c r="I2059" s="0" t="n">
        <v>-8.52301826370564</v>
      </c>
    </row>
    <row r="2060" customFormat="false" ht="13.8" hidden="false" customHeight="false" outlineLevel="0" collapsed="false">
      <c r="A2060" s="2" t="n">
        <v>42348</v>
      </c>
      <c r="B2060" s="0" t="n">
        <v>2052.23</v>
      </c>
      <c r="C2060" s="0" t="n">
        <v>240.6</v>
      </c>
      <c r="D2060" s="3" t="n">
        <f aca="false">B2060*100/B$2</f>
        <v>141.810857127063</v>
      </c>
      <c r="E2060" s="3" t="n">
        <f aca="false">C2060*100/C$2</f>
        <v>102.252443688908</v>
      </c>
      <c r="F2060" s="0" t="n">
        <v>144.380027087537</v>
      </c>
      <c r="G2060" s="0" t="n">
        <v>114.659416793343</v>
      </c>
      <c r="H2060" s="0" t="n">
        <v>105.79260518487</v>
      </c>
      <c r="I2060" s="0" t="n">
        <v>-8.86681160847229</v>
      </c>
    </row>
    <row r="2061" customFormat="false" ht="13.8" hidden="false" customHeight="false" outlineLevel="0" collapsed="false">
      <c r="A2061" s="2" t="n">
        <v>42349</v>
      </c>
      <c r="B2061" s="0" t="n">
        <v>2012.37</v>
      </c>
      <c r="C2061" s="0" t="n">
        <v>240.35</v>
      </c>
      <c r="D2061" s="3" t="n">
        <f aca="false">B2061*100/B$2</f>
        <v>139.056496862821</v>
      </c>
      <c r="E2061" s="3" t="n">
        <f aca="false">C2061*100/C$2</f>
        <v>102.146196345091</v>
      </c>
      <c r="F2061" s="0" t="n">
        <v>143.685563448409</v>
      </c>
      <c r="G2061" s="0" t="n">
        <v>114.427438010879</v>
      </c>
      <c r="H2061" s="0" t="n">
        <v>105.996600084998</v>
      </c>
      <c r="I2061" s="0" t="n">
        <v>-8.43083792588114</v>
      </c>
    </row>
    <row r="2062" customFormat="false" ht="13.8" hidden="false" customHeight="false" outlineLevel="0" collapsed="false">
      <c r="A2062" s="2" t="n">
        <v>42352</v>
      </c>
      <c r="B2062" s="0" t="n">
        <v>2021.94</v>
      </c>
      <c r="C2062" s="0" t="n">
        <v>238.17</v>
      </c>
      <c r="D2062" s="3" t="n">
        <f aca="false">B2062*100/B$2</f>
        <v>139.717792089334</v>
      </c>
      <c r="E2062" s="3" t="n">
        <f aca="false">C2062*100/C$2</f>
        <v>101.219719507012</v>
      </c>
      <c r="F2062" s="0" t="n">
        <v>145.391663672296</v>
      </c>
      <c r="G2062" s="0" t="n">
        <v>114.997344094364</v>
      </c>
      <c r="H2062" s="0" t="n">
        <v>106.502337441564</v>
      </c>
      <c r="I2062" s="0" t="n">
        <v>-8.49500665280038</v>
      </c>
    </row>
    <row r="2063" customFormat="false" ht="13.8" hidden="false" customHeight="false" outlineLevel="0" collapsed="false">
      <c r="A2063" s="2" t="n">
        <v>42353</v>
      </c>
      <c r="B2063" s="0" t="n">
        <v>2043.41</v>
      </c>
      <c r="C2063" s="0" t="n">
        <v>238.8</v>
      </c>
      <c r="D2063" s="3" t="n">
        <f aca="false">B2063*100/B$2</f>
        <v>141.201387545261</v>
      </c>
      <c r="E2063" s="3" t="n">
        <f aca="false">C2063*100/C$2</f>
        <v>101.48746281343</v>
      </c>
      <c r="F2063" s="0" t="n">
        <v>145.788302606484</v>
      </c>
      <c r="G2063" s="0" t="n">
        <v>115.129837448727</v>
      </c>
      <c r="H2063" s="0" t="n">
        <v>107.148321291968</v>
      </c>
      <c r="I2063" s="0" t="n">
        <v>-7.98151615675897</v>
      </c>
    </row>
    <row r="2064" customFormat="false" ht="13.8" hidden="false" customHeight="false" outlineLevel="0" collapsed="false">
      <c r="A2064" s="2" t="n">
        <v>42354</v>
      </c>
      <c r="B2064" s="0" t="n">
        <v>2073.07</v>
      </c>
      <c r="C2064" s="0" t="n">
        <v>243.49</v>
      </c>
      <c r="D2064" s="3" t="n">
        <f aca="false">B2064*100/B$2</f>
        <v>143.250919041433</v>
      </c>
      <c r="E2064" s="3" t="n">
        <f aca="false">C2064*100/C$2</f>
        <v>103.480662983425</v>
      </c>
      <c r="F2064" s="0" t="n">
        <v>145.271428176567</v>
      </c>
      <c r="G2064" s="0" t="n">
        <v>114.957180603669</v>
      </c>
      <c r="H2064" s="0" t="n">
        <v>107.237569060773</v>
      </c>
      <c r="I2064" s="0" t="n">
        <v>-7.71961154289565</v>
      </c>
    </row>
    <row r="2065" customFormat="false" ht="13.8" hidden="false" customHeight="false" outlineLevel="0" collapsed="false">
      <c r="A2065" s="2" t="n">
        <v>42355</v>
      </c>
      <c r="B2065" s="0" t="n">
        <v>2041.89</v>
      </c>
      <c r="C2065" s="0" t="n">
        <v>244.17</v>
      </c>
      <c r="D2065" s="3" t="n">
        <f aca="false">B2065*100/B$2</f>
        <v>141.096354238647</v>
      </c>
      <c r="E2065" s="3" t="n">
        <f aca="false">C2065*100/C$2</f>
        <v>103.769655758606</v>
      </c>
      <c r="F2065" s="0" t="n">
        <v>145.106968130684</v>
      </c>
      <c r="G2065" s="0" t="n">
        <v>114.902244334787</v>
      </c>
      <c r="H2065" s="0" t="n">
        <v>107.00807479813</v>
      </c>
      <c r="I2065" s="0" t="n">
        <v>-7.89416953665715</v>
      </c>
    </row>
    <row r="2066" customFormat="false" ht="13.8" hidden="false" customHeight="false" outlineLevel="0" collapsed="false">
      <c r="A2066" s="2" t="n">
        <v>42356</v>
      </c>
      <c r="B2066" s="0" t="n">
        <v>2005.55</v>
      </c>
      <c r="C2066" s="0" t="n">
        <v>243</v>
      </c>
      <c r="D2066" s="3" t="n">
        <f aca="false">B2066*100/B$2</f>
        <v>138.585229000249</v>
      </c>
      <c r="E2066" s="3" t="n">
        <f aca="false">C2066*100/C$2</f>
        <v>103.272418189545</v>
      </c>
      <c r="F2066" s="0" t="n">
        <v>145.056524503165</v>
      </c>
      <c r="G2066" s="0" t="n">
        <v>114.885394134668</v>
      </c>
      <c r="H2066" s="0" t="n">
        <v>106.353591160221</v>
      </c>
      <c r="I2066" s="0" t="n">
        <v>-8.53180297444695</v>
      </c>
    </row>
    <row r="2067" customFormat="false" ht="13.8" hidden="false" customHeight="false" outlineLevel="0" collapsed="false">
      <c r="A2067" s="2" t="n">
        <v>42359</v>
      </c>
      <c r="B2067" s="0" t="n">
        <v>2021.15</v>
      </c>
      <c r="C2067" s="0" t="n">
        <v>243.76</v>
      </c>
      <c r="D2067" s="3" t="n">
        <f aca="false">B2067*100/B$2</f>
        <v>139.663202410238</v>
      </c>
      <c r="E2067" s="3" t="n">
        <f aca="false">C2067*100/C$2</f>
        <v>103.595410114747</v>
      </c>
      <c r="F2067" s="0" t="n">
        <v>143.63166477791</v>
      </c>
      <c r="G2067" s="0" t="n">
        <v>114.409433687464</v>
      </c>
      <c r="H2067" s="0" t="n">
        <v>105.911602209945</v>
      </c>
      <c r="I2067" s="0" t="n">
        <v>-8.49783147751917</v>
      </c>
    </row>
    <row r="2068" customFormat="false" ht="13.8" hidden="false" customHeight="false" outlineLevel="0" collapsed="false">
      <c r="A2068" s="2" t="n">
        <v>42360</v>
      </c>
      <c r="B2068" s="0" t="n">
        <v>2038.97</v>
      </c>
      <c r="C2068" s="0" t="n">
        <v>245.48</v>
      </c>
      <c r="D2068" s="3" t="n">
        <f aca="false">B2068*100/B$2</f>
        <v>140.894579728572</v>
      </c>
      <c r="E2068" s="3" t="n">
        <f aca="false">C2068*100/C$2</f>
        <v>104.326391840204</v>
      </c>
      <c r="F2068" s="0" t="n">
        <v>143.8486414771</v>
      </c>
      <c r="G2068" s="0" t="n">
        <v>114.481912630443</v>
      </c>
      <c r="H2068" s="0" t="n">
        <v>104.487887802805</v>
      </c>
      <c r="I2068" s="0" t="n">
        <v>-9.99402482763769</v>
      </c>
    </row>
    <row r="2069" customFormat="false" ht="13.8" hidden="false" customHeight="false" outlineLevel="0" collapsed="false">
      <c r="A2069" s="2" t="n">
        <v>42361</v>
      </c>
      <c r="B2069" s="0" t="n">
        <v>2064.29</v>
      </c>
      <c r="C2069" s="0" t="n">
        <v>246.53</v>
      </c>
      <c r="D2069" s="3" t="n">
        <f aca="false">B2069*100/B$2</f>
        <v>142.644213494016</v>
      </c>
      <c r="E2069" s="3" t="n">
        <f aca="false">C2069*100/C$2</f>
        <v>104.772630684233</v>
      </c>
      <c r="F2069" s="0" t="n">
        <v>143.384283700489</v>
      </c>
      <c r="G2069" s="0" t="n">
        <v>114.326798459482</v>
      </c>
      <c r="H2069" s="0" t="n">
        <v>104.487887802805</v>
      </c>
      <c r="I2069" s="0" t="n">
        <v>-9.83891065667692</v>
      </c>
    </row>
    <row r="2070" customFormat="false" ht="13.8" hidden="false" customHeight="false" outlineLevel="0" collapsed="false">
      <c r="A2070" s="2" t="n">
        <v>42362</v>
      </c>
      <c r="B2070" s="0" t="n">
        <v>2060.99</v>
      </c>
      <c r="C2070" s="0" t="n">
        <v>245.33</v>
      </c>
      <c r="D2070" s="3" t="n">
        <f aca="false">B2070*100/B$2</f>
        <v>142.416180657287</v>
      </c>
      <c r="E2070" s="3" t="n">
        <f aca="false">C2070*100/C$2</f>
        <v>104.262643433914</v>
      </c>
      <c r="F2070" s="0" t="n">
        <v>141.378285745875</v>
      </c>
      <c r="G2070" s="0" t="n">
        <v>113.656714473918</v>
      </c>
      <c r="H2070" s="0" t="n">
        <v>104.181895452614</v>
      </c>
      <c r="I2070" s="0" t="n">
        <v>-9.474819021304</v>
      </c>
    </row>
    <row r="2071" customFormat="false" ht="13.8" hidden="false" customHeight="false" outlineLevel="0" collapsed="false">
      <c r="A2071" s="2" t="n">
        <v>42366</v>
      </c>
      <c r="B2071" s="0" t="n">
        <v>2056.5</v>
      </c>
      <c r="C2071" s="0" t="n">
        <v>241.79</v>
      </c>
      <c r="D2071" s="3" t="n">
        <f aca="false">B2071*100/B$2</f>
        <v>142.105917797617</v>
      </c>
      <c r="E2071" s="3" t="n">
        <f aca="false">C2071*100/C$2</f>
        <v>102.758181045474</v>
      </c>
      <c r="F2071" s="0" t="n">
        <v>139.79380303491</v>
      </c>
      <c r="G2071" s="0" t="n">
        <v>113.127433530446</v>
      </c>
      <c r="H2071" s="0" t="n">
        <v>103.149171270718</v>
      </c>
      <c r="I2071" s="0" t="n">
        <v>-9.97826225972767</v>
      </c>
    </row>
    <row r="2072" customFormat="false" ht="13.8" hidden="false" customHeight="false" outlineLevel="0" collapsed="false">
      <c r="A2072" s="2" t="n">
        <v>42367</v>
      </c>
      <c r="B2072" s="0" t="n">
        <v>2078.36</v>
      </c>
      <c r="C2072" s="0" t="n">
        <v>241.22</v>
      </c>
      <c r="D2072" s="3" t="n">
        <f aca="false">B2072*100/B$2</f>
        <v>143.616462588795</v>
      </c>
      <c r="E2072" s="3" t="n">
        <f aca="false">C2072*100/C$2</f>
        <v>102.515937101572</v>
      </c>
      <c r="F2072" s="0" t="n">
        <v>141.877193952293</v>
      </c>
      <c r="G2072" s="0" t="n">
        <v>113.823369877837</v>
      </c>
      <c r="H2072" s="0" t="n">
        <v>101.517212069698</v>
      </c>
      <c r="I2072" s="0" t="n">
        <v>-12.3061578081386</v>
      </c>
    </row>
    <row r="2073" customFormat="false" ht="13.8" hidden="false" customHeight="false" outlineLevel="0" collapsed="false">
      <c r="A2073" s="2" t="n">
        <v>42368</v>
      </c>
      <c r="B2073" s="0" t="n">
        <v>2063.36</v>
      </c>
      <c r="C2073" s="0" t="n">
        <v>240.38</v>
      </c>
      <c r="D2073" s="3" t="n">
        <f aca="false">B2073*100/B$2</f>
        <v>142.579949694574</v>
      </c>
      <c r="E2073" s="3" t="n">
        <f aca="false">C2073*100/C$2</f>
        <v>102.158946026349</v>
      </c>
      <c r="F2073" s="0" t="n">
        <v>141.687166588352</v>
      </c>
      <c r="G2073" s="0" t="n">
        <v>113.759893096566</v>
      </c>
      <c r="H2073" s="0" t="n">
        <v>102.532936676583</v>
      </c>
      <c r="I2073" s="0" t="n">
        <v>-11.2269564199826</v>
      </c>
    </row>
    <row r="2074" customFormat="false" ht="13.8" hidden="false" customHeight="false" outlineLevel="0" collapsed="false">
      <c r="A2074" s="2" t="n">
        <v>42369</v>
      </c>
      <c r="B2074" s="0" t="n">
        <v>2043.94</v>
      </c>
      <c r="C2074" s="0" t="n">
        <v>240.38</v>
      </c>
      <c r="D2074" s="3" t="n">
        <f aca="false">B2074*100/B$2</f>
        <v>141.238011000857</v>
      </c>
      <c r="E2074" s="3" t="n">
        <f aca="false">C2074*100/C$2</f>
        <v>102.158946026349</v>
      </c>
      <c r="F2074" s="0" t="n">
        <v>143.977169075983</v>
      </c>
      <c r="G2074" s="0" t="n">
        <v>114.524846017048</v>
      </c>
      <c r="H2074" s="0" t="n">
        <v>102.609434764131</v>
      </c>
      <c r="I2074" s="0" t="n">
        <v>-11.9154112529169</v>
      </c>
    </row>
    <row r="2075" customFormat="false" ht="13.8" hidden="false" customHeight="false" outlineLevel="0" collapsed="false">
      <c r="A2075" s="2" t="n">
        <v>42373</v>
      </c>
      <c r="B2075" s="0" t="n">
        <v>2012.66</v>
      </c>
      <c r="C2075" s="0" t="n">
        <v>234.63</v>
      </c>
      <c r="D2075" s="3" t="n">
        <f aca="false">B2075*100/B$2</f>
        <v>139.076536112109</v>
      </c>
      <c r="E2075" s="3" t="n">
        <f aca="false">C2075*100/C$2</f>
        <v>99.715257118572</v>
      </c>
      <c r="F2075" s="0" t="n">
        <v>143.815473064485</v>
      </c>
      <c r="G2075" s="0" t="n">
        <v>114.470833046803</v>
      </c>
      <c r="H2075" s="0" t="n">
        <v>104.033149171271</v>
      </c>
      <c r="I2075" s="0" t="n">
        <v>-10.4376838755318</v>
      </c>
    </row>
    <row r="2076" customFormat="false" ht="13.8" hidden="false" customHeight="false" outlineLevel="0" collapsed="false">
      <c r="A2076" s="2" t="n">
        <v>42374</v>
      </c>
      <c r="B2076" s="0" t="n">
        <v>2016.71</v>
      </c>
      <c r="C2076" s="0" t="n">
        <v>236.13</v>
      </c>
      <c r="D2076" s="3" t="n">
        <f aca="false">B2076*100/B$2</f>
        <v>139.356394593549</v>
      </c>
      <c r="E2076" s="3" t="n">
        <f aca="false">C2076*100/C$2</f>
        <v>100.35274118147</v>
      </c>
      <c r="F2076" s="0" t="n">
        <v>144.363442881229</v>
      </c>
      <c r="G2076" s="0" t="n">
        <v>114.653877001523</v>
      </c>
      <c r="H2076" s="0" t="n">
        <v>104.037399065023</v>
      </c>
      <c r="I2076" s="0" t="n">
        <v>-10.6164779364993</v>
      </c>
    </row>
    <row r="2077" customFormat="false" ht="13.8" hidden="false" customHeight="false" outlineLevel="0" collapsed="false">
      <c r="A2077" s="2" t="n">
        <v>42375</v>
      </c>
      <c r="B2077" s="0" t="n">
        <v>1990.26</v>
      </c>
      <c r="C2077" s="0" t="n">
        <v>234.6</v>
      </c>
      <c r="D2077" s="3" t="n">
        <f aca="false">B2077*100/B$2</f>
        <v>137.52867685674</v>
      </c>
      <c r="E2077" s="3" t="n">
        <f aca="false">C2077*100/C$2</f>
        <v>99.7025074373141</v>
      </c>
      <c r="F2077" s="0" t="n">
        <v>144.185162663424</v>
      </c>
      <c r="G2077" s="0" t="n">
        <v>114.594324239457</v>
      </c>
      <c r="H2077" s="0" t="n">
        <v>104.513387165321</v>
      </c>
      <c r="I2077" s="0" t="n">
        <v>-10.0809370741365</v>
      </c>
    </row>
    <row r="2078" customFormat="false" ht="13.8" hidden="false" customHeight="false" outlineLevel="0" collapsed="false">
      <c r="A2078" s="2" t="n">
        <v>42376</v>
      </c>
      <c r="B2078" s="0" t="n">
        <v>1943.09</v>
      </c>
      <c r="C2078" s="0" t="n">
        <v>231.93</v>
      </c>
      <c r="D2078" s="3" t="n">
        <f aca="false">B2078*100/B$2</f>
        <v>134.269189308715</v>
      </c>
      <c r="E2078" s="3" t="n">
        <f aca="false">C2078*100/C$2</f>
        <v>98.5677858053549</v>
      </c>
      <c r="F2078" s="0" t="n">
        <v>144.361369855441</v>
      </c>
      <c r="G2078" s="0" t="n">
        <v>114.653184527545</v>
      </c>
      <c r="H2078" s="0" t="n">
        <v>105.189120271993</v>
      </c>
      <c r="I2078" s="0" t="n">
        <v>-9.46406425555193</v>
      </c>
    </row>
    <row r="2079" customFormat="false" ht="13.8" hidden="false" customHeight="false" outlineLevel="0" collapsed="false">
      <c r="A2079" s="2" t="n">
        <v>42377</v>
      </c>
      <c r="B2079" s="0" t="n">
        <v>1922.03</v>
      </c>
      <c r="C2079" s="0" t="n">
        <v>233.68</v>
      </c>
      <c r="D2079" s="3" t="n">
        <f aca="false">B2079*100/B$2</f>
        <v>132.81392520523</v>
      </c>
      <c r="E2079" s="3" t="n">
        <f aca="false">C2079*100/C$2</f>
        <v>99.3115172120697</v>
      </c>
      <c r="F2079" s="0" t="n">
        <v>144.342712623345</v>
      </c>
      <c r="G2079" s="0" t="n">
        <v>114.646952261748</v>
      </c>
      <c r="H2079" s="0" t="n">
        <v>104.793880152996</v>
      </c>
      <c r="I2079" s="0" t="n">
        <v>-9.85307210875143</v>
      </c>
    </row>
    <row r="2080" customFormat="false" ht="13.8" hidden="false" customHeight="false" outlineLevel="0" collapsed="false">
      <c r="A2080" s="2" t="n">
        <v>42380</v>
      </c>
      <c r="B2080" s="0" t="n">
        <v>1923.67</v>
      </c>
      <c r="C2080" s="0" t="n">
        <v>230.83</v>
      </c>
      <c r="D2080" s="3" t="n">
        <f aca="false">B2080*100/B$2</f>
        <v>132.927250614998</v>
      </c>
      <c r="E2080" s="3" t="n">
        <f aca="false">C2080*100/C$2</f>
        <v>98.1002974925627</v>
      </c>
      <c r="F2080" s="0" t="n">
        <v>144.342712623345</v>
      </c>
      <c r="G2080" s="0" t="n">
        <v>114.646952261748</v>
      </c>
      <c r="H2080" s="0" t="n">
        <v>106.005099872503</v>
      </c>
      <c r="I2080" s="0" t="n">
        <v>-8.64185238924442</v>
      </c>
    </row>
    <row r="2081" customFormat="false" ht="13.8" hidden="false" customHeight="false" outlineLevel="0" collapsed="false">
      <c r="A2081" s="2" t="n">
        <v>42381</v>
      </c>
      <c r="B2081" s="0" t="n">
        <v>1938.68</v>
      </c>
      <c r="C2081" s="0" t="n">
        <v>230.55</v>
      </c>
      <c r="D2081" s="3" t="n">
        <f aca="false">B2081*100/B$2</f>
        <v>133.964454517814</v>
      </c>
      <c r="E2081" s="3" t="n">
        <f aca="false">C2081*100/C$2</f>
        <v>97.9813004674883</v>
      </c>
      <c r="F2081" s="0" t="n">
        <v>144.428397689267</v>
      </c>
      <c r="G2081" s="0" t="n">
        <v>114.675574519484</v>
      </c>
      <c r="H2081" s="0" t="n">
        <v>105.852103697408</v>
      </c>
      <c r="I2081" s="0" t="n">
        <v>-8.82347082207684</v>
      </c>
    </row>
    <row r="2082" customFormat="false" ht="13.8" hidden="false" customHeight="false" outlineLevel="0" collapsed="false">
      <c r="A2082" s="2" t="n">
        <v>42382</v>
      </c>
      <c r="B2082" s="0" t="n">
        <v>1890.28</v>
      </c>
      <c r="C2082" s="0" t="n">
        <v>233.52</v>
      </c>
      <c r="D2082" s="3" t="n">
        <f aca="false">B2082*100/B$2</f>
        <v>130.619972912463</v>
      </c>
      <c r="E2082" s="3" t="n">
        <f aca="false">C2082*100/C$2</f>
        <v>99.2435189120272</v>
      </c>
      <c r="F2082" s="0" t="n">
        <v>143.758119351005</v>
      </c>
      <c r="G2082" s="0" t="n">
        <v>114.451674600092</v>
      </c>
      <c r="H2082" s="0" t="n">
        <v>103.799405014875</v>
      </c>
      <c r="I2082" s="0" t="n">
        <v>-10.652269585217</v>
      </c>
    </row>
    <row r="2083" customFormat="false" ht="13.8" hidden="false" customHeight="false" outlineLevel="0" collapsed="false">
      <c r="A2083" s="2" t="n">
        <v>42383</v>
      </c>
      <c r="B2083" s="0" t="n">
        <v>1921.84</v>
      </c>
      <c r="C2083" s="0" t="n">
        <v>231.38</v>
      </c>
      <c r="D2083" s="3" t="n">
        <f aca="false">B2083*100/B$2</f>
        <v>132.800796041903</v>
      </c>
      <c r="E2083" s="3" t="n">
        <f aca="false">C2083*100/C$2</f>
        <v>98.3340416489588</v>
      </c>
      <c r="F2083" s="0" t="n">
        <v>145.293540451643</v>
      </c>
      <c r="G2083" s="0" t="n">
        <v>114.964566992763</v>
      </c>
      <c r="H2083" s="0" t="n">
        <v>105.694857628559</v>
      </c>
      <c r="I2083" s="0" t="n">
        <v>-9.26970936420324</v>
      </c>
    </row>
    <row r="2084" customFormat="false" ht="13.8" hidden="false" customHeight="false" outlineLevel="0" collapsed="false">
      <c r="A2084" s="2" t="n">
        <v>42384</v>
      </c>
      <c r="B2084" s="0" t="n">
        <v>1880.29</v>
      </c>
      <c r="C2084" s="0" t="n">
        <v>228.78</v>
      </c>
      <c r="D2084" s="3" t="n">
        <f aca="false">B2084*100/B$2</f>
        <v>129.929655324912</v>
      </c>
      <c r="E2084" s="3" t="n">
        <f aca="false">C2084*100/C$2</f>
        <v>97.2290692732682</v>
      </c>
      <c r="F2084" s="0" t="n">
        <v>143.695928577352</v>
      </c>
      <c r="G2084" s="0" t="n">
        <v>114.430900380767</v>
      </c>
      <c r="H2084" s="0" t="n">
        <v>104.802379940501</v>
      </c>
      <c r="I2084" s="0" t="n">
        <v>-9.62852044026505</v>
      </c>
    </row>
    <row r="2085" customFormat="false" ht="13.8" hidden="false" customHeight="false" outlineLevel="0" collapsed="false">
      <c r="A2085" s="2" t="n">
        <v>42387</v>
      </c>
      <c r="B2085" s="0" t="n">
        <v>1880.29</v>
      </c>
      <c r="C2085" s="0" t="n">
        <v>228.59</v>
      </c>
      <c r="D2085" s="3" t="n">
        <f aca="false">B2085*100/B$2</f>
        <v>129.929655324912</v>
      </c>
      <c r="E2085" s="3" t="n">
        <f aca="false">C2085*100/C$2</f>
        <v>97.1483212919677</v>
      </c>
      <c r="F2085" s="0" t="n">
        <v>141.630503883468</v>
      </c>
      <c r="G2085" s="0" t="n">
        <v>113.740965474514</v>
      </c>
      <c r="H2085" s="0" t="n">
        <v>103.986400339992</v>
      </c>
      <c r="I2085" s="0" t="n">
        <v>-9.75456513452244</v>
      </c>
    </row>
    <row r="2086" customFormat="false" ht="13.8" hidden="false" customHeight="false" outlineLevel="0" collapsed="false">
      <c r="A2086" s="2" t="n">
        <v>42388</v>
      </c>
      <c r="B2086" s="0" t="n">
        <v>1881.33</v>
      </c>
      <c r="C2086" s="0" t="n">
        <v>230.08</v>
      </c>
      <c r="D2086" s="3" t="n">
        <f aca="false">B2086*100/B$2</f>
        <v>130.001520218912</v>
      </c>
      <c r="E2086" s="3" t="n">
        <f aca="false">C2086*100/C$2</f>
        <v>97.7815554611135</v>
      </c>
      <c r="F2086" s="0" t="n">
        <v>144.537577047458</v>
      </c>
      <c r="G2086" s="0" t="n">
        <v>114.712044815633</v>
      </c>
      <c r="H2086" s="0" t="n">
        <v>102.911177220569</v>
      </c>
      <c r="I2086" s="0" t="n">
        <v>-11.8008675950634</v>
      </c>
    </row>
    <row r="2087" customFormat="false" ht="13.8" hidden="false" customHeight="false" outlineLevel="0" collapsed="false">
      <c r="A2087" s="2" t="n">
        <v>42389</v>
      </c>
      <c r="B2087" s="0" t="n">
        <v>1859.33</v>
      </c>
      <c r="C2087" s="0" t="n">
        <v>224.54</v>
      </c>
      <c r="D2087" s="3" t="n">
        <f aca="false">B2087*100/B$2</f>
        <v>128.481301307388</v>
      </c>
      <c r="E2087" s="3" t="n">
        <f aca="false">C2087*100/C$2</f>
        <v>95.4271143221419</v>
      </c>
      <c r="F2087" s="0" t="n">
        <v>143.527322479892</v>
      </c>
      <c r="G2087" s="0" t="n">
        <v>114.37457916393</v>
      </c>
      <c r="H2087" s="0" t="n">
        <v>102.286442838929</v>
      </c>
      <c r="I2087" s="0" t="n">
        <v>-12.0881363250006</v>
      </c>
    </row>
    <row r="2088" customFormat="false" ht="13.8" hidden="false" customHeight="false" outlineLevel="0" collapsed="false">
      <c r="A2088" s="2" t="n">
        <v>42390</v>
      </c>
      <c r="B2088" s="0" t="n">
        <v>1868.99</v>
      </c>
      <c r="C2088" s="0" t="n">
        <v>223.81</v>
      </c>
      <c r="D2088" s="3" t="n">
        <f aca="false">B2088*100/B$2</f>
        <v>129.148815611266</v>
      </c>
      <c r="E2088" s="3" t="n">
        <f aca="false">C2088*100/C$2</f>
        <v>95.116872078198</v>
      </c>
      <c r="F2088" s="0" t="n">
        <v>142.595842892286</v>
      </c>
      <c r="G2088" s="0" t="n">
        <v>114.063427523371</v>
      </c>
      <c r="H2088" s="0" t="n">
        <v>101.670208244794</v>
      </c>
      <c r="I2088" s="0" t="n">
        <v>-12.3932192785775</v>
      </c>
    </row>
    <row r="2089" customFormat="false" ht="13.8" hidden="false" customHeight="false" outlineLevel="0" collapsed="false">
      <c r="A2089" s="2" t="n">
        <v>42391</v>
      </c>
      <c r="B2089" s="0" t="n">
        <v>1906.9</v>
      </c>
      <c r="C2089" s="0" t="n">
        <v>228.79</v>
      </c>
      <c r="D2089" s="3" t="n">
        <f aca="false">B2089*100/B$2</f>
        <v>131.768429199259</v>
      </c>
      <c r="E2089" s="3" t="n">
        <f aca="false">C2089*100/C$2</f>
        <v>97.2333191670208</v>
      </c>
      <c r="F2089" s="0" t="n">
        <v>141.492302164239</v>
      </c>
      <c r="G2089" s="0" t="n">
        <v>113.69480054268</v>
      </c>
      <c r="H2089" s="0" t="n">
        <v>101.742456438589</v>
      </c>
      <c r="I2089" s="0" t="n">
        <v>-11.9523441040913</v>
      </c>
    </row>
    <row r="2090" customFormat="false" ht="13.8" hidden="false" customHeight="false" outlineLevel="0" collapsed="false">
      <c r="A2090" s="2" t="n">
        <v>42394</v>
      </c>
      <c r="B2090" s="0" t="n">
        <v>1877.08</v>
      </c>
      <c r="C2090" s="0" t="n">
        <v>230.21</v>
      </c>
      <c r="D2090" s="3" t="n">
        <f aca="false">B2090*100/B$2</f>
        <v>129.707841565549</v>
      </c>
      <c r="E2090" s="3" t="n">
        <f aca="false">C2090*100/C$2</f>
        <v>97.836804079898</v>
      </c>
      <c r="F2090" s="0" t="n">
        <v>141.810857127063</v>
      </c>
      <c r="G2090" s="0" t="n">
        <v>113.801210710557</v>
      </c>
      <c r="H2090" s="0" t="n">
        <v>102.252443688908</v>
      </c>
      <c r="I2090" s="0" t="n">
        <v>-11.548767021649</v>
      </c>
    </row>
    <row r="2091" customFormat="false" ht="13.8" hidden="false" customHeight="false" outlineLevel="0" collapsed="false">
      <c r="A2091" s="2" t="n">
        <v>42395</v>
      </c>
      <c r="B2091" s="0" t="n">
        <v>1903.63</v>
      </c>
      <c r="C2091" s="0" t="n">
        <v>227.19</v>
      </c>
      <c r="D2091" s="3" t="n">
        <f aca="false">B2091*100/B$2</f>
        <v>131.542469388319</v>
      </c>
      <c r="E2091" s="3" t="n">
        <f aca="false">C2091*100/C$2</f>
        <v>96.5533361665958</v>
      </c>
      <c r="F2091" s="0" t="n">
        <v>139.056496862821</v>
      </c>
      <c r="G2091" s="0" t="n">
        <v>112.881143619114</v>
      </c>
      <c r="H2091" s="0" t="n">
        <v>102.146196345091</v>
      </c>
      <c r="I2091" s="0" t="n">
        <v>-10.7349472740225</v>
      </c>
    </row>
    <row r="2092" customFormat="false" ht="13.8" hidden="false" customHeight="false" outlineLevel="0" collapsed="false">
      <c r="A2092" s="2" t="n">
        <v>42396</v>
      </c>
      <c r="B2092" s="0" t="n">
        <v>1882.95</v>
      </c>
      <c r="C2092" s="0" t="n">
        <v>230.96</v>
      </c>
      <c r="D2092" s="3" t="n">
        <f aca="false">B2092*100/B$2</f>
        <v>130.113463611487</v>
      </c>
      <c r="E2092" s="3" t="n">
        <f aca="false">C2092*100/C$2</f>
        <v>98.1555461113472</v>
      </c>
      <c r="F2092" s="0" t="n">
        <v>139.717792089334</v>
      </c>
      <c r="G2092" s="0" t="n">
        <v>113.102042817937</v>
      </c>
      <c r="H2092" s="0" t="n">
        <v>101.219719507012</v>
      </c>
      <c r="I2092" s="0" t="n">
        <v>-11.8823233109251</v>
      </c>
    </row>
    <row r="2093" customFormat="false" ht="13.8" hidden="false" customHeight="false" outlineLevel="0" collapsed="false">
      <c r="A2093" s="2" t="n">
        <v>42397</v>
      </c>
      <c r="B2093" s="0" t="n">
        <v>1893.36</v>
      </c>
      <c r="C2093" s="0" t="n">
        <v>231.51</v>
      </c>
      <c r="D2093" s="3" t="n">
        <f aca="false">B2093*100/B$2</f>
        <v>130.832803560076</v>
      </c>
      <c r="E2093" s="3" t="n">
        <f aca="false">C2093*100/C$2</f>
        <v>98.3892902677433</v>
      </c>
      <c r="F2093" s="0" t="n">
        <v>141.201387545261</v>
      </c>
      <c r="G2093" s="0" t="n">
        <v>113.597623361171</v>
      </c>
      <c r="H2093" s="0" t="n">
        <v>101.48746281343</v>
      </c>
      <c r="I2093" s="0" t="n">
        <v>-12.1101605477411</v>
      </c>
    </row>
    <row r="2094" customFormat="false" ht="13.8" hidden="false" customHeight="false" outlineLevel="0" collapsed="false">
      <c r="A2094" s="2" t="n">
        <v>42398</v>
      </c>
      <c r="B2094" s="0" t="n">
        <v>1940.24</v>
      </c>
      <c r="C2094" s="0" t="n">
        <v>232.1</v>
      </c>
      <c r="D2094" s="3" t="n">
        <f aca="false">B2094*100/B$2</f>
        <v>134.072251858813</v>
      </c>
      <c r="E2094" s="3" t="n">
        <f aca="false">C2094*100/C$2</f>
        <v>98.64003399915</v>
      </c>
      <c r="F2094" s="0" t="n">
        <v>143.250919041433</v>
      </c>
      <c r="G2094" s="0" t="n">
        <v>114.282249300262</v>
      </c>
      <c r="H2094" s="0" t="n">
        <v>103.480662983425</v>
      </c>
      <c r="I2094" s="0" t="n">
        <v>-10.8015863168371</v>
      </c>
    </row>
    <row r="2095" customFormat="false" ht="13.8" hidden="false" customHeight="false" outlineLevel="0" collapsed="false">
      <c r="A2095" s="2" t="n">
        <v>42401</v>
      </c>
      <c r="B2095" s="0" t="n">
        <v>1939.38</v>
      </c>
      <c r="C2095" s="0" t="n">
        <v>233.67</v>
      </c>
      <c r="D2095" s="3" t="n">
        <f aca="false">B2095*100/B$2</f>
        <v>134.012825119544</v>
      </c>
      <c r="E2095" s="3" t="n">
        <f aca="false">C2095*100/C$2</f>
        <v>99.307267318317</v>
      </c>
      <c r="F2095" s="0" t="n">
        <v>141.096354238647</v>
      </c>
      <c r="G2095" s="0" t="n">
        <v>113.562538012977</v>
      </c>
      <c r="H2095" s="0" t="n">
        <v>103.769655758606</v>
      </c>
      <c r="I2095" s="0" t="n">
        <v>-9.79288225437116</v>
      </c>
    </row>
    <row r="2096" customFormat="false" ht="13.8" hidden="false" customHeight="false" outlineLevel="0" collapsed="false">
      <c r="A2096" s="2" t="n">
        <v>42402</v>
      </c>
      <c r="B2096" s="0" t="n">
        <v>1903.03</v>
      </c>
      <c r="C2096" s="0" t="n">
        <v>231.1</v>
      </c>
      <c r="D2096" s="3" t="n">
        <f aca="false">B2096*100/B$2</f>
        <v>131.50100887255</v>
      </c>
      <c r="E2096" s="3" t="n">
        <f aca="false">C2096*100/C$2</f>
        <v>98.2150446238844</v>
      </c>
      <c r="F2096" s="0" t="n">
        <v>138.585229000249</v>
      </c>
      <c r="G2096" s="0" t="n">
        <v>112.723721201561</v>
      </c>
      <c r="H2096" s="0" t="n">
        <v>103.272418189545</v>
      </c>
      <c r="I2096" s="0" t="n">
        <v>-9.45130301201611</v>
      </c>
    </row>
    <row r="2097" customFormat="false" ht="13.8" hidden="false" customHeight="false" outlineLevel="0" collapsed="false">
      <c r="A2097" s="2" t="n">
        <v>42403</v>
      </c>
      <c r="B2097" s="0" t="n">
        <v>1912.53</v>
      </c>
      <c r="C2097" s="0" t="n">
        <v>228.97</v>
      </c>
      <c r="D2097" s="3" t="n">
        <f aca="false">B2097*100/B$2</f>
        <v>132.15746703889</v>
      </c>
      <c r="E2097" s="3" t="n">
        <f aca="false">C2097*100/C$2</f>
        <v>97.3098172545686</v>
      </c>
      <c r="F2097" s="0" t="n">
        <v>139.663202410238</v>
      </c>
      <c r="G2097" s="0" t="n">
        <v>113.083807669863</v>
      </c>
      <c r="H2097" s="0" t="n">
        <v>103.595410114747</v>
      </c>
      <c r="I2097" s="0" t="n">
        <v>-9.48839755511605</v>
      </c>
    </row>
    <row r="2098" customFormat="false" ht="13.8" hidden="false" customHeight="false" outlineLevel="0" collapsed="false">
      <c r="A2098" s="2" t="n">
        <v>42404</v>
      </c>
      <c r="B2098" s="0" t="n">
        <v>1915.45</v>
      </c>
      <c r="C2098" s="0" t="n">
        <v>232.91</v>
      </c>
      <c r="D2098" s="3" t="n">
        <f aca="false">B2098*100/B$2</f>
        <v>132.359241548965</v>
      </c>
      <c r="E2098" s="3" t="n">
        <f aca="false">C2098*100/C$2</f>
        <v>98.9842753931152</v>
      </c>
      <c r="F2098" s="0" t="n">
        <v>140.894579728572</v>
      </c>
      <c r="G2098" s="0" t="n">
        <v>113.4951372125</v>
      </c>
      <c r="H2098" s="0" t="n">
        <v>104.326391840204</v>
      </c>
      <c r="I2098" s="0" t="n">
        <v>-9.16874537229621</v>
      </c>
    </row>
    <row r="2099" customFormat="false" ht="13.8" hidden="false" customHeight="false" outlineLevel="0" collapsed="false">
      <c r="A2099" s="2" t="n">
        <v>42405</v>
      </c>
      <c r="B2099" s="0" t="n">
        <v>1880.02</v>
      </c>
      <c r="C2099" s="0" t="n">
        <v>233.3</v>
      </c>
      <c r="D2099" s="3" t="n">
        <f aca="false">B2099*100/B$2</f>
        <v>129.910998092816</v>
      </c>
      <c r="E2099" s="3" t="n">
        <f aca="false">C2099*100/C$2</f>
        <v>99.1500212494688</v>
      </c>
      <c r="F2099" s="0" t="n">
        <v>142.644213494016</v>
      </c>
      <c r="G2099" s="0" t="n">
        <v>114.079585249513</v>
      </c>
      <c r="H2099" s="0" t="n">
        <v>104.772630684233</v>
      </c>
      <c r="I2099" s="0" t="n">
        <v>-9.30695456528022</v>
      </c>
    </row>
    <row r="2100" customFormat="false" ht="13.8" hidden="false" customHeight="false" outlineLevel="0" collapsed="false">
      <c r="A2100" s="2" t="n">
        <v>42408</v>
      </c>
      <c r="B2100" s="0" t="n">
        <v>1853.44</v>
      </c>
      <c r="C2100" s="0" t="n">
        <v>233.3</v>
      </c>
      <c r="D2100" s="3" t="n">
        <f aca="false">B2100*100/B$2</f>
        <v>128.074297244258</v>
      </c>
      <c r="E2100" s="3" t="n">
        <f aca="false">C2100*100/C$2</f>
        <v>99.1500212494688</v>
      </c>
      <c r="F2100" s="0" t="n">
        <v>142.416180657287</v>
      </c>
      <c r="G2100" s="0" t="n">
        <v>114.003413111988</v>
      </c>
      <c r="H2100" s="0" t="n">
        <v>104.262643433914</v>
      </c>
      <c r="I2100" s="0" t="n">
        <v>-9.74076967807358</v>
      </c>
    </row>
    <row r="2101" customFormat="false" ht="13.8" hidden="false" customHeight="false" outlineLevel="0" collapsed="false">
      <c r="A2101" s="2" t="n">
        <v>42409</v>
      </c>
      <c r="B2101" s="0" t="n">
        <v>1852.21</v>
      </c>
      <c r="C2101" s="0" t="n">
        <v>233.3</v>
      </c>
      <c r="D2101" s="3" t="n">
        <f aca="false">B2101*100/B$2</f>
        <v>127.989303186932</v>
      </c>
      <c r="E2101" s="3" t="n">
        <f aca="false">C2101*100/C$2</f>
        <v>99.1500212494688</v>
      </c>
      <c r="F2101" s="0" t="n">
        <v>142.105917797617</v>
      </c>
      <c r="G2101" s="0" t="n">
        <v>113.899772840021</v>
      </c>
      <c r="H2101" s="0" t="n">
        <v>102.758181045474</v>
      </c>
      <c r="I2101" s="0" t="n">
        <v>-11.1415917945475</v>
      </c>
    </row>
    <row r="2102" customFormat="false" ht="13.8" hidden="false" customHeight="false" outlineLevel="0" collapsed="false">
      <c r="A2102" s="2" t="n">
        <v>42410</v>
      </c>
      <c r="B2102" s="0" t="n">
        <v>1851.86</v>
      </c>
      <c r="C2102" s="0" t="n">
        <v>233.3</v>
      </c>
      <c r="D2102" s="3" t="n">
        <f aca="false">B2102*100/B$2</f>
        <v>127.965117886067</v>
      </c>
      <c r="E2102" s="3" t="n">
        <f aca="false">C2102*100/C$2</f>
        <v>99.1500212494688</v>
      </c>
      <c r="F2102" s="0" t="n">
        <v>143.616462588795</v>
      </c>
      <c r="G2102" s="0" t="n">
        <v>114.404355544962</v>
      </c>
      <c r="H2102" s="0" t="n">
        <v>102.515937101572</v>
      </c>
      <c r="I2102" s="0" t="n">
        <v>-11.8884184433898</v>
      </c>
    </row>
    <row r="2103" customFormat="false" ht="13.8" hidden="false" customHeight="false" outlineLevel="0" collapsed="false">
      <c r="A2103" s="2" t="n">
        <v>42411</v>
      </c>
      <c r="B2103" s="0" t="n">
        <v>1829.08</v>
      </c>
      <c r="C2103" s="0" t="n">
        <v>226.7</v>
      </c>
      <c r="D2103" s="3" t="n">
        <f aca="false">B2103*100/B$2</f>
        <v>126.391000304044</v>
      </c>
      <c r="E2103" s="3" t="n">
        <f aca="false">C2103*100/C$2</f>
        <v>96.3450913727157</v>
      </c>
      <c r="F2103" s="0" t="n">
        <v>142.579949694574</v>
      </c>
      <c r="G2103" s="0" t="n">
        <v>114.058118556211</v>
      </c>
      <c r="H2103" s="0" t="n">
        <v>102.158946026349</v>
      </c>
      <c r="I2103" s="0" t="n">
        <v>-11.8991725298612</v>
      </c>
    </row>
    <row r="2104" customFormat="false" ht="13.8" hidden="false" customHeight="false" outlineLevel="0" collapsed="false">
      <c r="A2104" s="2" t="n">
        <v>42412</v>
      </c>
      <c r="B2104" s="0" t="n">
        <v>1864.78</v>
      </c>
      <c r="C2104" s="0" t="n">
        <v>224.98</v>
      </c>
      <c r="D2104" s="3" t="n">
        <f aca="false">B2104*100/B$2</f>
        <v>128.857900992288</v>
      </c>
      <c r="E2104" s="3" t="n">
        <f aca="false">C2104*100/C$2</f>
        <v>95.6141096472588</v>
      </c>
      <c r="F2104" s="0" t="n">
        <v>141.238011000857</v>
      </c>
      <c r="G2104" s="0" t="n">
        <v>113.609857068107</v>
      </c>
      <c r="H2104" s="0" t="n">
        <v>102.158946026349</v>
      </c>
      <c r="I2104" s="0" t="n">
        <v>-11.4509110417573</v>
      </c>
    </row>
    <row r="2105" customFormat="false" ht="13.8" hidden="false" customHeight="false" outlineLevel="0" collapsed="false">
      <c r="A2105" s="2" t="n">
        <v>42415</v>
      </c>
      <c r="B2105" s="0" t="n">
        <v>1864.78</v>
      </c>
      <c r="C2105" s="0" t="n">
        <v>228.4</v>
      </c>
      <c r="D2105" s="3" t="n">
        <f aca="false">B2105*100/B$2</f>
        <v>128.857900992288</v>
      </c>
      <c r="E2105" s="3" t="n">
        <f aca="false">C2105*100/C$2</f>
        <v>97.0675733106672</v>
      </c>
      <c r="F2105" s="0" t="n">
        <v>139.076536112109</v>
      </c>
      <c r="G2105" s="0" t="n">
        <v>112.88783753423</v>
      </c>
      <c r="H2105" s="0" t="n">
        <v>99.715257118572</v>
      </c>
      <c r="I2105" s="0" t="n">
        <v>-13.1725804156577</v>
      </c>
    </row>
    <row r="2106" customFormat="false" ht="13.8" hidden="false" customHeight="false" outlineLevel="0" collapsed="false">
      <c r="A2106" s="2" t="n">
        <v>42416</v>
      </c>
      <c r="B2106" s="0" t="n">
        <v>1895.58</v>
      </c>
      <c r="C2106" s="0" t="n">
        <v>231.52</v>
      </c>
      <c r="D2106" s="3" t="n">
        <f aca="false">B2106*100/B$2</f>
        <v>130.986207468421</v>
      </c>
      <c r="E2106" s="3" t="n">
        <f aca="false">C2106*100/C$2</f>
        <v>98.393540161496</v>
      </c>
      <c r="F2106" s="0" t="n">
        <v>139.356394593549</v>
      </c>
      <c r="G2106" s="0" t="n">
        <v>112.981321521193</v>
      </c>
      <c r="H2106" s="0" t="n">
        <v>100.35274118147</v>
      </c>
      <c r="I2106" s="0" t="n">
        <v>-12.6285803397222</v>
      </c>
    </row>
    <row r="2107" customFormat="false" ht="13.8" hidden="false" customHeight="false" outlineLevel="0" collapsed="false">
      <c r="A2107" s="2" t="n">
        <v>42417</v>
      </c>
      <c r="B2107" s="0" t="n">
        <v>1926.82</v>
      </c>
      <c r="C2107" s="0" t="n">
        <v>231.94</v>
      </c>
      <c r="D2107" s="3" t="n">
        <f aca="false">B2107*100/B$2</f>
        <v>133.144918322784</v>
      </c>
      <c r="E2107" s="3" t="n">
        <f aca="false">C2107*100/C$2</f>
        <v>98.5720356991075</v>
      </c>
      <c r="F2107" s="0" t="n">
        <v>137.52867685674</v>
      </c>
      <c r="G2107" s="0" t="n">
        <v>112.370790297694</v>
      </c>
      <c r="H2107" s="0" t="n">
        <v>99.7025074373141</v>
      </c>
      <c r="I2107" s="0" t="n">
        <v>-12.6682828603797</v>
      </c>
    </row>
    <row r="2108" customFormat="false" ht="13.8" hidden="false" customHeight="false" outlineLevel="0" collapsed="false">
      <c r="A2108" s="2" t="n">
        <v>42418</v>
      </c>
      <c r="B2108" s="0" t="n">
        <v>1917.83</v>
      </c>
      <c r="C2108" s="0" t="n">
        <v>234.74</v>
      </c>
      <c r="D2108" s="3" t="n">
        <f aca="false">B2108*100/B$2</f>
        <v>132.523701594848</v>
      </c>
      <c r="E2108" s="3" t="n">
        <f aca="false">C2108*100/C$2</f>
        <v>99.7620059498513</v>
      </c>
      <c r="F2108" s="0" t="n">
        <v>134.269189308715</v>
      </c>
      <c r="G2108" s="0" t="n">
        <v>111.281990380399</v>
      </c>
      <c r="H2108" s="0" t="n">
        <v>98.5677858053549</v>
      </c>
      <c r="I2108" s="0" t="n">
        <v>-12.7142045750444</v>
      </c>
    </row>
    <row r="2109" customFormat="false" ht="13.8" hidden="false" customHeight="false" outlineLevel="0" collapsed="false">
      <c r="A2109" s="2" t="n">
        <v>42419</v>
      </c>
      <c r="B2109" s="0" t="n">
        <v>1917.78</v>
      </c>
      <c r="C2109" s="0" t="n">
        <v>235.27</v>
      </c>
      <c r="D2109" s="3" t="n">
        <f aca="false">B2109*100/B$2</f>
        <v>132.520246551867</v>
      </c>
      <c r="E2109" s="3" t="n">
        <f aca="false">C2109*100/C$2</f>
        <v>99.987250318742</v>
      </c>
      <c r="F2109" s="0" t="n">
        <v>132.81392520523</v>
      </c>
      <c r="G2109" s="0" t="n">
        <v>110.795873648192</v>
      </c>
      <c r="H2109" s="0" t="n">
        <v>99.3115172120697</v>
      </c>
      <c r="I2109" s="0" t="n">
        <v>-11.4843564361221</v>
      </c>
    </row>
    <row r="2110" customFormat="false" ht="13.8" hidden="false" customHeight="false" outlineLevel="0" collapsed="false">
      <c r="A2110" s="2" t="n">
        <v>42422</v>
      </c>
      <c r="B2110" s="0" t="n">
        <v>1945.5</v>
      </c>
      <c r="C2110" s="0" t="n">
        <v>234.95</v>
      </c>
      <c r="D2110" s="3" t="n">
        <f aca="false">B2110*100/B$2</f>
        <v>134.435722380386</v>
      </c>
      <c r="E2110" s="3" t="n">
        <f aca="false">C2110*100/C$2</f>
        <v>99.851253718657</v>
      </c>
      <c r="F2110" s="0" t="n">
        <v>132.927250614998</v>
      </c>
      <c r="G2110" s="0" t="n">
        <v>110.833728892295</v>
      </c>
      <c r="H2110" s="0" t="n">
        <v>98.1002974925627</v>
      </c>
      <c r="I2110" s="0" t="n">
        <v>-12.7334313997327</v>
      </c>
    </row>
    <row r="2111" customFormat="false" ht="13.8" hidden="false" customHeight="false" outlineLevel="0" collapsed="false">
      <c r="A2111" s="2" t="n">
        <v>42423</v>
      </c>
      <c r="B2111" s="0" t="n">
        <v>1921.27</v>
      </c>
      <c r="C2111" s="0" t="n">
        <v>235.03</v>
      </c>
      <c r="D2111" s="3" t="n">
        <f aca="false">B2111*100/B$2</f>
        <v>132.761408551922</v>
      </c>
      <c r="E2111" s="3" t="n">
        <f aca="false">C2111*100/C$2</f>
        <v>99.8852528686783</v>
      </c>
      <c r="F2111" s="0" t="n">
        <v>133.964454517814</v>
      </c>
      <c r="G2111" s="0" t="n">
        <v>111.180196705706</v>
      </c>
      <c r="H2111" s="0" t="n">
        <v>97.9813004674883</v>
      </c>
      <c r="I2111" s="0" t="n">
        <v>-13.1988962382179</v>
      </c>
    </row>
    <row r="2112" customFormat="false" ht="13.8" hidden="false" customHeight="false" outlineLevel="0" collapsed="false">
      <c r="A2112" s="2" t="n">
        <v>42424</v>
      </c>
      <c r="B2112" s="0" t="n">
        <v>1929.8</v>
      </c>
      <c r="C2112" s="0" t="n">
        <v>234.91</v>
      </c>
      <c r="D2112" s="3" t="n">
        <f aca="false">B2112*100/B$2</f>
        <v>133.350838884436</v>
      </c>
      <c r="E2112" s="3" t="n">
        <f aca="false">C2112*100/C$2</f>
        <v>99.8342541436464</v>
      </c>
      <c r="F2112" s="0" t="n">
        <v>130.619972912463</v>
      </c>
      <c r="G2112" s="0" t="n">
        <v>110.063005355334</v>
      </c>
      <c r="H2112" s="0" t="n">
        <v>99.2435189120272</v>
      </c>
      <c r="I2112" s="0" t="n">
        <v>-10.8194864433068</v>
      </c>
    </row>
    <row r="2113" customFormat="false" ht="13.8" hidden="false" customHeight="false" outlineLevel="0" collapsed="false">
      <c r="A2113" s="2" t="n">
        <v>42425</v>
      </c>
      <c r="B2113" s="0" t="n">
        <v>1951.7</v>
      </c>
      <c r="C2113" s="0" t="n">
        <v>235.37</v>
      </c>
      <c r="D2113" s="3" t="n">
        <f aca="false">B2113*100/B$2</f>
        <v>134.864147709998</v>
      </c>
      <c r="E2113" s="3" t="n">
        <f aca="false">C2113*100/C$2</f>
        <v>100.029749256269</v>
      </c>
      <c r="F2113" s="0" t="n">
        <v>132.800796041903</v>
      </c>
      <c r="G2113" s="0" t="n">
        <v>110.791487979668</v>
      </c>
      <c r="H2113" s="0" t="n">
        <v>98.3340416489588</v>
      </c>
      <c r="I2113" s="0" t="n">
        <v>-12.4574463307088</v>
      </c>
    </row>
    <row r="2114" customFormat="false" ht="13.8" hidden="false" customHeight="false" outlineLevel="0" collapsed="false">
      <c r="A2114" s="2" t="n">
        <v>42426</v>
      </c>
      <c r="B2114" s="0" t="n">
        <v>1948.05</v>
      </c>
      <c r="C2114" s="0" t="n">
        <v>235.22</v>
      </c>
      <c r="D2114" s="3" t="n">
        <f aca="false">B2114*100/B$2</f>
        <v>134.611929572404</v>
      </c>
      <c r="E2114" s="3" t="n">
        <f aca="false">C2114*100/C$2</f>
        <v>99.9660008499787</v>
      </c>
      <c r="F2114" s="0" t="n">
        <v>129.929655324912</v>
      </c>
      <c r="G2114" s="0" t="n">
        <v>109.832411520825</v>
      </c>
      <c r="H2114" s="0" t="n">
        <v>97.2290692732682</v>
      </c>
      <c r="I2114" s="0" t="n">
        <v>-12.6033422475572</v>
      </c>
    </row>
    <row r="2115" customFormat="false" ht="13.8" hidden="false" customHeight="false" outlineLevel="0" collapsed="false">
      <c r="A2115" s="2" t="n">
        <v>42429</v>
      </c>
      <c r="B2115" s="0" t="n">
        <v>1932.23</v>
      </c>
      <c r="C2115" s="0" t="n">
        <v>234.63</v>
      </c>
      <c r="D2115" s="3" t="n">
        <f aca="false">B2115*100/B$2</f>
        <v>133.518753973299</v>
      </c>
      <c r="E2115" s="3" t="n">
        <f aca="false">C2115*100/C$2</f>
        <v>99.715257118572</v>
      </c>
      <c r="F2115" s="0" t="n">
        <v>129.929655324912</v>
      </c>
      <c r="G2115" s="0" t="n">
        <v>109.832411520825</v>
      </c>
      <c r="H2115" s="0" t="n">
        <v>97.1483212919677</v>
      </c>
      <c r="I2115" s="0" t="n">
        <v>-12.6840902288577</v>
      </c>
    </row>
    <row r="2116" customFormat="false" ht="13.8" hidden="false" customHeight="false" outlineLevel="0" collapsed="false">
      <c r="A2116" s="2" t="n">
        <v>42430</v>
      </c>
      <c r="B2116" s="0" t="n">
        <v>1978.35</v>
      </c>
      <c r="C2116" s="0" t="n">
        <v>234.63</v>
      </c>
      <c r="D2116" s="3" t="n">
        <f aca="false">B2116*100/B$2</f>
        <v>136.705685618729</v>
      </c>
      <c r="E2116" s="3" t="n">
        <f aca="false">C2116*100/C$2</f>
        <v>99.715257118572</v>
      </c>
      <c r="F2116" s="0" t="n">
        <v>130.001520218912</v>
      </c>
      <c r="G2116" s="0" t="n">
        <v>109.856417285379</v>
      </c>
      <c r="H2116" s="0" t="n">
        <v>97.7815554611135</v>
      </c>
      <c r="I2116" s="0" t="n">
        <v>-12.0748618242654</v>
      </c>
    </row>
    <row r="2117" customFormat="false" ht="13.8" hidden="false" customHeight="false" outlineLevel="0" collapsed="false">
      <c r="A2117" s="2" t="n">
        <v>42431</v>
      </c>
      <c r="B2117" s="0" t="n">
        <v>1986.45</v>
      </c>
      <c r="C2117" s="0" t="n">
        <v>238.63</v>
      </c>
      <c r="D2117" s="3" t="n">
        <f aca="false">B2117*100/B$2</f>
        <v>137.265402581608</v>
      </c>
      <c r="E2117" s="3" t="n">
        <f aca="false">C2117*100/C$2</f>
        <v>101.415214619635</v>
      </c>
      <c r="F2117" s="0" t="n">
        <v>128.481301307388</v>
      </c>
      <c r="G2117" s="0" t="n">
        <v>109.34860303521</v>
      </c>
      <c r="H2117" s="0" t="n">
        <v>95.4271143221419</v>
      </c>
      <c r="I2117" s="0" t="n">
        <v>-13.9214887130677</v>
      </c>
    </row>
    <row r="2118" customFormat="false" ht="13.8" hidden="false" customHeight="false" outlineLevel="0" collapsed="false">
      <c r="A2118" s="2" t="n">
        <v>42432</v>
      </c>
      <c r="B2118" s="0" t="n">
        <v>1993.4</v>
      </c>
      <c r="C2118" s="0" t="n">
        <v>240.09</v>
      </c>
      <c r="D2118" s="3" t="n">
        <f aca="false">B2118*100/B$2</f>
        <v>137.74565355593</v>
      </c>
      <c r="E2118" s="3" t="n">
        <f aca="false">C2118*100/C$2</f>
        <v>102.035699107522</v>
      </c>
      <c r="F2118" s="0" t="n">
        <v>129.148815611266</v>
      </c>
      <c r="G2118" s="0" t="n">
        <v>109.571579655966</v>
      </c>
      <c r="H2118" s="0" t="n">
        <v>95.116872078198</v>
      </c>
      <c r="I2118" s="0" t="n">
        <v>-14.4547075777677</v>
      </c>
    </row>
    <row r="2119" customFormat="false" ht="13.8" hidden="false" customHeight="false" outlineLevel="0" collapsed="false">
      <c r="A2119" s="2" t="n">
        <v>42433</v>
      </c>
      <c r="B2119" s="0" t="n">
        <v>1999.99</v>
      </c>
      <c r="C2119" s="0" t="n">
        <v>239.74</v>
      </c>
      <c r="D2119" s="3" t="n">
        <f aca="false">B2119*100/B$2</f>
        <v>138.201028220791</v>
      </c>
      <c r="E2119" s="3" t="n">
        <f aca="false">C2119*100/C$2</f>
        <v>101.886952826179</v>
      </c>
      <c r="F2119" s="0" t="n">
        <v>131.768429199259</v>
      </c>
      <c r="G2119" s="0" t="n">
        <v>110.446635938871</v>
      </c>
      <c r="H2119" s="0" t="n">
        <v>97.2333191670208</v>
      </c>
      <c r="I2119" s="0" t="n">
        <v>-13.2133167718501</v>
      </c>
    </row>
    <row r="2120" customFormat="false" ht="13.8" hidden="false" customHeight="false" outlineLevel="0" collapsed="false">
      <c r="A2120" s="2" t="n">
        <v>42436</v>
      </c>
      <c r="B2120" s="0" t="n">
        <v>2001.76</v>
      </c>
      <c r="C2120" s="0" t="n">
        <v>240.21</v>
      </c>
      <c r="D2120" s="3" t="n">
        <f aca="false">B2120*100/B$2</f>
        <v>138.323336742309</v>
      </c>
      <c r="E2120" s="3" t="n">
        <f aca="false">C2120*100/C$2</f>
        <v>102.086697832554</v>
      </c>
      <c r="F2120" s="0" t="n">
        <v>129.707841565549</v>
      </c>
      <c r="G2120" s="0" t="n">
        <v>109.758316805233</v>
      </c>
      <c r="H2120" s="0" t="n">
        <v>97.836804079898</v>
      </c>
      <c r="I2120" s="0" t="n">
        <v>-11.9215127253345</v>
      </c>
    </row>
    <row r="2121" customFormat="false" ht="13.8" hidden="false" customHeight="false" outlineLevel="0" collapsed="false">
      <c r="A2121" s="2" t="n">
        <v>42437</v>
      </c>
      <c r="B2121" s="0" t="n">
        <v>1979.26</v>
      </c>
      <c r="C2121" s="0" t="n">
        <v>238.44</v>
      </c>
      <c r="D2121" s="3" t="n">
        <f aca="false">B2121*100/B$2</f>
        <v>136.768567400978</v>
      </c>
      <c r="E2121" s="3" t="n">
        <f aca="false">C2121*100/C$2</f>
        <v>101.334466638334</v>
      </c>
      <c r="F2121" s="0" t="n">
        <v>131.542469388319</v>
      </c>
      <c r="G2121" s="0" t="n">
        <v>110.371156275323</v>
      </c>
      <c r="H2121" s="0" t="n">
        <v>96.5533361665958</v>
      </c>
      <c r="I2121" s="0" t="n">
        <v>-13.8178201087272</v>
      </c>
    </row>
    <row r="2122" customFormat="false" ht="13.8" hidden="false" customHeight="false" outlineLevel="0" collapsed="false">
      <c r="A2122" s="2" t="n">
        <v>42438</v>
      </c>
      <c r="B2122" s="0" t="n">
        <v>1989.26</v>
      </c>
      <c r="C2122" s="0" t="n">
        <v>239.13</v>
      </c>
      <c r="D2122" s="3" t="n">
        <f aca="false">B2122*100/B$2</f>
        <v>137.459575997125</v>
      </c>
      <c r="E2122" s="3" t="n">
        <f aca="false">C2122*100/C$2</f>
        <v>101.627709307267</v>
      </c>
      <c r="F2122" s="0" t="n">
        <v>130.113463611487</v>
      </c>
      <c r="G2122" s="0" t="n">
        <v>109.893810880164</v>
      </c>
      <c r="H2122" s="0" t="n">
        <v>98.1555461113472</v>
      </c>
      <c r="I2122" s="0" t="n">
        <v>-11.7382647688168</v>
      </c>
    </row>
    <row r="2123" customFormat="false" ht="13.8" hidden="false" customHeight="false" outlineLevel="0" collapsed="false">
      <c r="A2123" s="2" t="n">
        <v>42439</v>
      </c>
      <c r="B2123" s="0" t="n">
        <v>1989.57</v>
      </c>
      <c r="C2123" s="0" t="n">
        <v>241.43</v>
      </c>
      <c r="D2123" s="3" t="n">
        <f aca="false">B2123*100/B$2</f>
        <v>137.480997263606</v>
      </c>
      <c r="E2123" s="3" t="n">
        <f aca="false">C2123*100/C$2</f>
        <v>102.605184870378</v>
      </c>
      <c r="F2123" s="0" t="n">
        <v>130.832803560076</v>
      </c>
      <c r="G2123" s="0" t="n">
        <v>110.134099350358</v>
      </c>
      <c r="H2123" s="0" t="n">
        <v>98.3892902677433</v>
      </c>
      <c r="I2123" s="0" t="n">
        <v>-11.7448090826144</v>
      </c>
    </row>
    <row r="2124" customFormat="false" ht="13.8" hidden="false" customHeight="false" outlineLevel="0" collapsed="false">
      <c r="A2124" s="2" t="n">
        <v>42440</v>
      </c>
      <c r="B2124" s="0" t="n">
        <v>2022.19</v>
      </c>
      <c r="C2124" s="0" t="n">
        <v>241.97</v>
      </c>
      <c r="D2124" s="3" t="n">
        <f aca="false">B2124*100/B$2</f>
        <v>139.735067304237</v>
      </c>
      <c r="E2124" s="3" t="n">
        <f aca="false">C2124*100/C$2</f>
        <v>102.834679133022</v>
      </c>
      <c r="F2124" s="0" t="n">
        <v>134.072251858813</v>
      </c>
      <c r="G2124" s="0" t="n">
        <v>111.216205352536</v>
      </c>
      <c r="H2124" s="0" t="n">
        <v>98.64003399915</v>
      </c>
      <c r="I2124" s="0" t="n">
        <v>-12.5761713533864</v>
      </c>
    </row>
    <row r="2125" customFormat="false" ht="13.8" hidden="false" customHeight="false" outlineLevel="0" collapsed="false">
      <c r="A2125" s="2" t="n">
        <v>42443</v>
      </c>
      <c r="B2125" s="0" t="n">
        <v>2019.64</v>
      </c>
      <c r="C2125" s="0" t="n">
        <v>242.15</v>
      </c>
      <c r="D2125" s="3" t="n">
        <f aca="false">B2125*100/B$2</f>
        <v>139.55886011222</v>
      </c>
      <c r="E2125" s="3" t="n">
        <f aca="false">C2125*100/C$2</f>
        <v>102.911177220569</v>
      </c>
      <c r="F2125" s="0" t="n">
        <v>134.012825119544</v>
      </c>
      <c r="G2125" s="0" t="n">
        <v>111.196354431848</v>
      </c>
      <c r="H2125" s="0" t="n">
        <v>99.307267318317</v>
      </c>
      <c r="I2125" s="0" t="n">
        <v>-11.8890871135309</v>
      </c>
    </row>
    <row r="2126" customFormat="false" ht="13.8" hidden="false" customHeight="false" outlineLevel="0" collapsed="false">
      <c r="A2126" s="2" t="n">
        <v>42444</v>
      </c>
      <c r="B2126" s="0" t="n">
        <v>2015.93</v>
      </c>
      <c r="C2126" s="0" t="n">
        <v>241.83</v>
      </c>
      <c r="D2126" s="3" t="n">
        <f aca="false">B2126*100/B$2</f>
        <v>139.302495923049</v>
      </c>
      <c r="E2126" s="3" t="n">
        <f aca="false">C2126*100/C$2</f>
        <v>102.775180620484</v>
      </c>
      <c r="F2126" s="0" t="n">
        <v>131.50100887255</v>
      </c>
      <c r="G2126" s="0" t="n">
        <v>110.357306795773</v>
      </c>
      <c r="H2126" s="0" t="n">
        <v>98.2150446238844</v>
      </c>
      <c r="I2126" s="0" t="n">
        <v>-12.1422621718886</v>
      </c>
    </row>
    <row r="2127" customFormat="false" ht="13.8" hidden="false" customHeight="false" outlineLevel="0" collapsed="false">
      <c r="A2127" s="2" t="n">
        <v>42445</v>
      </c>
      <c r="B2127" s="0" t="n">
        <v>2027.22</v>
      </c>
      <c r="C2127" s="0" t="n">
        <v>242.35</v>
      </c>
      <c r="D2127" s="3" t="n">
        <f aca="false">B2127*100/B$2</f>
        <v>140.082644628099</v>
      </c>
      <c r="E2127" s="3" t="n">
        <f aca="false">C2127*100/C$2</f>
        <v>102.996175095623</v>
      </c>
      <c r="F2127" s="0" t="n">
        <v>132.15746703889</v>
      </c>
      <c r="G2127" s="0" t="n">
        <v>110.576590221982</v>
      </c>
      <c r="H2127" s="0" t="n">
        <v>97.3098172545686</v>
      </c>
      <c r="I2127" s="0" t="n">
        <v>-13.2667729674138</v>
      </c>
    </row>
    <row r="2128" customFormat="false" ht="13.8" hidden="false" customHeight="false" outlineLevel="0" collapsed="false">
      <c r="A2128" s="2" t="n">
        <v>42446</v>
      </c>
      <c r="B2128" s="0" t="n">
        <v>2040.59</v>
      </c>
      <c r="C2128" s="0" t="n">
        <v>244.09</v>
      </c>
      <c r="D2128" s="3" t="n">
        <f aca="false">B2128*100/B$2</f>
        <v>141.006523121148</v>
      </c>
      <c r="E2128" s="3" t="n">
        <f aca="false">C2128*100/C$2</f>
        <v>103.735656608585</v>
      </c>
      <c r="F2128" s="0" t="n">
        <v>132.359241548965</v>
      </c>
      <c r="G2128" s="0" t="n">
        <v>110.643991022459</v>
      </c>
      <c r="H2128" s="0" t="n">
        <v>98.9842753931152</v>
      </c>
      <c r="I2128" s="0" t="n">
        <v>-11.6597156293442</v>
      </c>
    </row>
    <row r="2129" customFormat="false" ht="13.8" hidden="false" customHeight="false" outlineLevel="0" collapsed="false">
      <c r="A2129" s="2" t="n">
        <v>42447</v>
      </c>
      <c r="B2129" s="0" t="n">
        <v>2049.56</v>
      </c>
      <c r="C2129" s="0" t="n">
        <v>244.63</v>
      </c>
      <c r="D2129" s="3" t="n">
        <f aca="false">B2129*100/B$2</f>
        <v>141.626357831891</v>
      </c>
      <c r="E2129" s="3" t="n">
        <f aca="false">C2129*100/C$2</f>
        <v>103.965150871228</v>
      </c>
      <c r="F2129" s="0" t="n">
        <v>129.910998092816</v>
      </c>
      <c r="G2129" s="0" t="n">
        <v>109.826179255028</v>
      </c>
      <c r="H2129" s="0" t="n">
        <v>99.1500212494688</v>
      </c>
      <c r="I2129" s="0" t="n">
        <v>-10.6761580055591</v>
      </c>
    </row>
    <row r="2130" customFormat="false" ht="13.8" hidden="false" customHeight="false" outlineLevel="0" collapsed="false">
      <c r="A2130" s="2" t="n">
        <v>42450</v>
      </c>
      <c r="B2130" s="0" t="n">
        <v>2051.6</v>
      </c>
      <c r="C2130" s="0" t="n">
        <v>244.28</v>
      </c>
      <c r="D2130" s="3" t="n">
        <f aca="false">B2130*100/B$2</f>
        <v>141.767323585505</v>
      </c>
      <c r="E2130" s="3" t="n">
        <f aca="false">C2130*100/C$2</f>
        <v>103.816404589885</v>
      </c>
      <c r="F2130" s="0" t="n">
        <v>128.074297244258</v>
      </c>
      <c r="G2130" s="0" t="n">
        <v>109.21264731096</v>
      </c>
      <c r="H2130" s="0" t="n">
        <v>99.1500212494688</v>
      </c>
      <c r="I2130" s="0" t="n">
        <v>-10.062626061491</v>
      </c>
    </row>
    <row r="2131" customFormat="false" ht="13.8" hidden="false" customHeight="false" outlineLevel="0" collapsed="false">
      <c r="A2131" s="2" t="n">
        <v>42451</v>
      </c>
      <c r="B2131" s="0" t="n">
        <v>2049.8</v>
      </c>
      <c r="C2131" s="0" t="n">
        <v>245.41</v>
      </c>
      <c r="D2131" s="3" t="n">
        <f aca="false">B2131*100/B$2</f>
        <v>141.642942038199</v>
      </c>
      <c r="E2131" s="3" t="n">
        <f aca="false">C2131*100/C$2</f>
        <v>104.296642583935</v>
      </c>
      <c r="F2131" s="0" t="n">
        <v>127.989303186932</v>
      </c>
      <c r="G2131" s="0" t="n">
        <v>109.184255877882</v>
      </c>
      <c r="H2131" s="0" t="n">
        <v>99.1500212494688</v>
      </c>
      <c r="I2131" s="0" t="n">
        <v>-10.0342346284134</v>
      </c>
    </row>
    <row r="2132" customFormat="false" ht="13.8" hidden="false" customHeight="false" outlineLevel="0" collapsed="false">
      <c r="A2132" s="2" t="n">
        <v>42452</v>
      </c>
      <c r="B2132" s="0" t="n">
        <v>2036.71</v>
      </c>
      <c r="C2132" s="0" t="n">
        <v>245.23</v>
      </c>
      <c r="D2132" s="3" t="n">
        <f aca="false">B2132*100/B$2</f>
        <v>140.738411785843</v>
      </c>
      <c r="E2132" s="3" t="n">
        <f aca="false">C2132*100/C$2</f>
        <v>104.220144496388</v>
      </c>
      <c r="F2132" s="0" t="n">
        <v>127.965117886067</v>
      </c>
      <c r="G2132" s="0" t="n">
        <v>109.176177014811</v>
      </c>
      <c r="H2132" s="0" t="n">
        <v>99.1500212494688</v>
      </c>
      <c r="I2132" s="0" t="n">
        <v>-10.0261557653425</v>
      </c>
    </row>
    <row r="2133" customFormat="false" ht="13.8" hidden="false" customHeight="false" outlineLevel="0" collapsed="false">
      <c r="A2133" s="2" t="n">
        <v>42453</v>
      </c>
      <c r="B2133" s="0" t="n">
        <v>2035.94</v>
      </c>
      <c r="C2133" s="0" t="n">
        <v>244.08</v>
      </c>
      <c r="D2133" s="3" t="n">
        <f aca="false">B2133*100/B$2</f>
        <v>140.685204123939</v>
      </c>
      <c r="E2133" s="3" t="n">
        <f aca="false">C2133*100/C$2</f>
        <v>103.731406714832</v>
      </c>
      <c r="F2133" s="0" t="n">
        <v>126.391000304044</v>
      </c>
      <c r="G2133" s="0" t="n">
        <v>108.650358441227</v>
      </c>
      <c r="H2133" s="0" t="n">
        <v>96.3450913727157</v>
      </c>
      <c r="I2133" s="0" t="n">
        <v>-12.3052670685113</v>
      </c>
    </row>
    <row r="2134" customFormat="false" ht="13.8" hidden="false" customHeight="false" outlineLevel="0" collapsed="false">
      <c r="A2134" s="2" t="n">
        <v>42454</v>
      </c>
      <c r="B2134" s="0" t="n">
        <v>2035.94</v>
      </c>
      <c r="C2134" s="0" t="n">
        <v>243.79</v>
      </c>
      <c r="D2134" s="3" t="n">
        <f aca="false">B2134*100/B$2</f>
        <v>140.685204123939</v>
      </c>
      <c r="E2134" s="3" t="n">
        <f aca="false">C2134*100/C$2</f>
        <v>103.608159796005</v>
      </c>
      <c r="F2134" s="0" t="n">
        <v>128.857900992288</v>
      </c>
      <c r="G2134" s="0" t="n">
        <v>109.474402474456</v>
      </c>
      <c r="H2134" s="0" t="n">
        <v>95.6141096472588</v>
      </c>
      <c r="I2134" s="0" t="n">
        <v>-13.8602928271973</v>
      </c>
    </row>
    <row r="2135" customFormat="false" ht="13.8" hidden="false" customHeight="false" outlineLevel="0" collapsed="false">
      <c r="A2135" s="2" t="n">
        <v>42457</v>
      </c>
      <c r="B2135" s="0" t="n">
        <v>2037.05</v>
      </c>
      <c r="C2135" s="0" t="n">
        <v>243.95</v>
      </c>
      <c r="D2135" s="3" t="n">
        <f aca="false">B2135*100/B$2</f>
        <v>140.761906078112</v>
      </c>
      <c r="E2135" s="3" t="n">
        <f aca="false">C2135*100/C$2</f>
        <v>103.676158096048</v>
      </c>
      <c r="F2135" s="0" t="n">
        <v>128.857900992288</v>
      </c>
      <c r="G2135" s="0" t="n">
        <v>109.474402474456</v>
      </c>
      <c r="H2135" s="0" t="n">
        <v>97.0675733106672</v>
      </c>
      <c r="I2135" s="0" t="n">
        <v>-12.4068291637889</v>
      </c>
    </row>
    <row r="2136" customFormat="false" ht="13.8" hidden="false" customHeight="false" outlineLevel="0" collapsed="false">
      <c r="A2136" s="2" t="n">
        <v>42458</v>
      </c>
      <c r="B2136" s="0" t="n">
        <v>2055.01</v>
      </c>
      <c r="C2136" s="0" t="n">
        <v>245.53</v>
      </c>
      <c r="D2136" s="3" t="n">
        <f aca="false">B2136*100/B$2</f>
        <v>142.002957516792</v>
      </c>
      <c r="E2136" s="3" t="n">
        <f aca="false">C2136*100/C$2</f>
        <v>104.347641308967</v>
      </c>
      <c r="F2136" s="0" t="n">
        <v>130.986207468421</v>
      </c>
      <c r="G2136" s="0" t="n">
        <v>110.185342424693</v>
      </c>
      <c r="H2136" s="0" t="n">
        <v>98.393540161496</v>
      </c>
      <c r="I2136" s="0" t="n">
        <v>-11.791802263197</v>
      </c>
    </row>
    <row r="2137" customFormat="false" ht="13.8" hidden="false" customHeight="false" outlineLevel="0" collapsed="false">
      <c r="A2137" s="2" t="n">
        <v>42459</v>
      </c>
      <c r="B2137" s="0" t="n">
        <v>2063.95</v>
      </c>
      <c r="C2137" s="0" t="n">
        <v>246.54</v>
      </c>
      <c r="D2137" s="3" t="n">
        <f aca="false">B2137*100/B$2</f>
        <v>142.620719201747</v>
      </c>
      <c r="E2137" s="3" t="n">
        <f aca="false">C2137*100/C$2</f>
        <v>104.776880577986</v>
      </c>
      <c r="F2137" s="0" t="n">
        <v>133.144918322784</v>
      </c>
      <c r="G2137" s="0" t="n">
        <v>110.906438659933</v>
      </c>
      <c r="H2137" s="0" t="n">
        <v>98.5720356991075</v>
      </c>
      <c r="I2137" s="0" t="n">
        <v>-12.3344029608257</v>
      </c>
    </row>
    <row r="2138" customFormat="false" ht="13.8" hidden="false" customHeight="false" outlineLevel="0" collapsed="false">
      <c r="A2138" s="2" t="n">
        <v>42460</v>
      </c>
      <c r="B2138" s="0" t="n">
        <v>2059.74</v>
      </c>
      <c r="C2138" s="0" t="n">
        <v>245.86</v>
      </c>
      <c r="D2138" s="3" t="n">
        <f aca="false">B2138*100/B$2</f>
        <v>142.329804582769</v>
      </c>
      <c r="E2138" s="3" t="n">
        <f aca="false">C2138*100/C$2</f>
        <v>104.487887802805</v>
      </c>
      <c r="F2138" s="0" t="n">
        <v>132.523701594848</v>
      </c>
      <c r="G2138" s="0" t="n">
        <v>110.698927291341</v>
      </c>
      <c r="H2138" s="0" t="n">
        <v>99.7620059498513</v>
      </c>
      <c r="I2138" s="0" t="n">
        <v>-10.9369213414901</v>
      </c>
    </row>
    <row r="2139" customFormat="false" ht="13.8" hidden="false" customHeight="false" outlineLevel="0" collapsed="false">
      <c r="A2139" s="2" t="n">
        <v>42461</v>
      </c>
      <c r="B2139" s="0" t="n">
        <v>2072.78</v>
      </c>
      <c r="C2139" s="0" t="n">
        <v>242.36</v>
      </c>
      <c r="D2139" s="3" t="n">
        <f aca="false">B2139*100/B$2</f>
        <v>143.230879792145</v>
      </c>
      <c r="E2139" s="3" t="n">
        <f aca="false">C2139*100/C$2</f>
        <v>103.000424989375</v>
      </c>
      <c r="F2139" s="0" t="n">
        <v>132.520246551867</v>
      </c>
      <c r="G2139" s="0" t="n">
        <v>110.697773168046</v>
      </c>
      <c r="H2139" s="0" t="n">
        <v>99.987250318742</v>
      </c>
      <c r="I2139" s="0" t="n">
        <v>-10.7105228493035</v>
      </c>
    </row>
    <row r="2140" customFormat="false" ht="13.8" hidden="false" customHeight="false" outlineLevel="0" collapsed="false">
      <c r="A2140" s="2" t="n">
        <v>42464</v>
      </c>
      <c r="B2140" s="0" t="n">
        <v>2066.13</v>
      </c>
      <c r="C2140" s="0" t="n">
        <v>243.05</v>
      </c>
      <c r="D2140" s="3" t="n">
        <f aca="false">B2140*100/B$2</f>
        <v>142.771359075707</v>
      </c>
      <c r="E2140" s="3" t="n">
        <f aca="false">C2140*100/C$2</f>
        <v>103.293667658309</v>
      </c>
      <c r="F2140" s="0" t="n">
        <v>134.435722380386</v>
      </c>
      <c r="G2140" s="0" t="n">
        <v>111.337619123259</v>
      </c>
      <c r="H2140" s="0" t="n">
        <v>99.851253718657</v>
      </c>
      <c r="I2140" s="0" t="n">
        <v>-11.4863654046016</v>
      </c>
    </row>
    <row r="2141" customFormat="false" ht="13.8" hidden="false" customHeight="false" outlineLevel="0" collapsed="false">
      <c r="A2141" s="2" t="n">
        <v>42465</v>
      </c>
      <c r="B2141" s="0" t="n">
        <v>2045.17</v>
      </c>
      <c r="C2141" s="0" t="n">
        <v>240.58</v>
      </c>
      <c r="D2141" s="3" t="n">
        <f aca="false">B2141*100/B$2</f>
        <v>141.323005058183</v>
      </c>
      <c r="E2141" s="3" t="n">
        <f aca="false">C2141*100/C$2</f>
        <v>102.243943901402</v>
      </c>
      <c r="F2141" s="0" t="n">
        <v>132.761408551922</v>
      </c>
      <c r="G2141" s="0" t="n">
        <v>110.778330974095</v>
      </c>
      <c r="H2141" s="0" t="n">
        <v>99.8852528686783</v>
      </c>
      <c r="I2141" s="0" t="n">
        <v>-10.8930781054168</v>
      </c>
    </row>
    <row r="2142" customFormat="false" ht="13.8" hidden="false" customHeight="false" outlineLevel="0" collapsed="false">
      <c r="A2142" s="2" t="n">
        <v>42466</v>
      </c>
      <c r="B2142" s="0" t="n">
        <v>2066.66</v>
      </c>
      <c r="C2142" s="0" t="n">
        <v>241.99</v>
      </c>
      <c r="D2142" s="3" t="n">
        <f aca="false">B2142*100/B$2</f>
        <v>142.807982531303</v>
      </c>
      <c r="E2142" s="3" t="n">
        <f aca="false">C2142*100/C$2</f>
        <v>102.843178920527</v>
      </c>
      <c r="F2142" s="0" t="n">
        <v>133.350838884436</v>
      </c>
      <c r="G2142" s="0" t="n">
        <v>110.975224408365</v>
      </c>
      <c r="H2142" s="0" t="n">
        <v>99.8342541436464</v>
      </c>
      <c r="I2142" s="0" t="n">
        <v>-11.1409702647188</v>
      </c>
    </row>
    <row r="2143" customFormat="false" ht="13.8" hidden="false" customHeight="false" outlineLevel="0" collapsed="false">
      <c r="A2143" s="2" t="n">
        <v>42467</v>
      </c>
      <c r="B2143" s="0" t="n">
        <v>2041.91</v>
      </c>
      <c r="C2143" s="0" t="n">
        <v>242.29</v>
      </c>
      <c r="D2143" s="3" t="n">
        <f aca="false">B2143*100/B$2</f>
        <v>141.097736255839</v>
      </c>
      <c r="E2143" s="3" t="n">
        <f aca="false">C2143*100/C$2</f>
        <v>102.970675733107</v>
      </c>
      <c r="F2143" s="0" t="n">
        <v>134.864147709998</v>
      </c>
      <c r="G2143" s="0" t="n">
        <v>111.480730411943</v>
      </c>
      <c r="H2143" s="0" t="n">
        <v>100.029749256269</v>
      </c>
      <c r="I2143" s="0" t="n">
        <v>-11.4509811556741</v>
      </c>
    </row>
    <row r="2144" customFormat="false" ht="13.8" hidden="false" customHeight="false" outlineLevel="0" collapsed="false">
      <c r="A2144" s="2" t="n">
        <v>42468</v>
      </c>
      <c r="B2144" s="0" t="n">
        <v>2047.6</v>
      </c>
      <c r="C2144" s="0" t="n">
        <v>241.77</v>
      </c>
      <c r="D2144" s="3" t="n">
        <f aca="false">B2144*100/B$2</f>
        <v>141.490920147047</v>
      </c>
      <c r="E2144" s="3" t="n">
        <f aca="false">C2144*100/C$2</f>
        <v>102.749681257969</v>
      </c>
      <c r="F2144" s="0" t="n">
        <v>134.611929572404</v>
      </c>
      <c r="G2144" s="0" t="n">
        <v>111.396479411346</v>
      </c>
      <c r="H2144" s="0" t="n">
        <v>99.9660008499787</v>
      </c>
      <c r="I2144" s="0" t="n">
        <v>-11.4304785613677</v>
      </c>
    </row>
    <row r="2145" customFormat="false" ht="13.8" hidden="false" customHeight="false" outlineLevel="0" collapsed="false">
      <c r="A2145" s="2" t="n">
        <v>42471</v>
      </c>
      <c r="B2145" s="0" t="n">
        <v>2041.99</v>
      </c>
      <c r="C2145" s="0" t="n">
        <v>242.06</v>
      </c>
      <c r="D2145" s="3" t="n">
        <f aca="false">B2145*100/B$2</f>
        <v>141.103264324608</v>
      </c>
      <c r="E2145" s="3" t="n">
        <f aca="false">C2145*100/C$2</f>
        <v>102.872928176796</v>
      </c>
      <c r="F2145" s="0" t="n">
        <v>133.518753973299</v>
      </c>
      <c r="G2145" s="0" t="n">
        <v>111.031314800543</v>
      </c>
      <c r="H2145" s="0" t="n">
        <v>99.715257118572</v>
      </c>
      <c r="I2145" s="0" t="n">
        <v>-11.316057681971</v>
      </c>
    </row>
    <row r="2146" customFormat="false" ht="13.8" hidden="false" customHeight="false" outlineLevel="0" collapsed="false">
      <c r="A2146" s="2" t="n">
        <v>42472</v>
      </c>
      <c r="B2146" s="0" t="n">
        <v>2061.72</v>
      </c>
      <c r="C2146" s="0" t="n">
        <v>243.71</v>
      </c>
      <c r="D2146" s="3" t="n">
        <f aca="false">B2146*100/B$2</f>
        <v>142.466624284806</v>
      </c>
      <c r="E2146" s="3" t="n">
        <f aca="false">C2146*100/C$2</f>
        <v>103.574160645984</v>
      </c>
      <c r="F2146" s="0" t="n">
        <v>136.705685618729</v>
      </c>
      <c r="G2146" s="0" t="n">
        <v>112.095878128625</v>
      </c>
      <c r="H2146" s="0" t="n">
        <v>99.715257118572</v>
      </c>
      <c r="I2146" s="0" t="n">
        <v>-12.3806210100529</v>
      </c>
    </row>
    <row r="2147" customFormat="false" ht="13.8" hidden="false" customHeight="false" outlineLevel="0" collapsed="false">
      <c r="A2147" s="2" t="n">
        <v>42473</v>
      </c>
      <c r="B2147" s="0" t="n">
        <v>2082.42</v>
      </c>
      <c r="C2147" s="0" t="n">
        <v>243.71</v>
      </c>
      <c r="D2147" s="3" t="n">
        <f aca="false">B2147*100/B$2</f>
        <v>143.89701207883</v>
      </c>
      <c r="E2147" s="3" t="n">
        <f aca="false">C2147*100/C$2</f>
        <v>103.574160645984</v>
      </c>
      <c r="F2147" s="0" t="n">
        <v>137.265402581608</v>
      </c>
      <c r="G2147" s="0" t="n">
        <v>112.282846102551</v>
      </c>
      <c r="H2147" s="0" t="n">
        <v>101.415214619635</v>
      </c>
      <c r="I2147" s="0" t="n">
        <v>-10.8676314829164</v>
      </c>
    </row>
    <row r="2148" customFormat="false" ht="13.8" hidden="false" customHeight="false" outlineLevel="0" collapsed="false">
      <c r="A2148" s="2" t="n">
        <v>42474</v>
      </c>
      <c r="B2148" s="0" t="n">
        <v>2082.78</v>
      </c>
      <c r="C2148" s="0" t="n">
        <v>248.89</v>
      </c>
      <c r="D2148" s="3" t="n">
        <f aca="false">B2148*100/B$2</f>
        <v>143.921888388292</v>
      </c>
      <c r="E2148" s="3" t="n">
        <f aca="false">C2148*100/C$2</f>
        <v>105.77560560986</v>
      </c>
      <c r="F2148" s="0" t="n">
        <v>137.74565355593</v>
      </c>
      <c r="G2148" s="0" t="n">
        <v>112.443269240673</v>
      </c>
      <c r="H2148" s="0" t="n">
        <v>102.035699107522</v>
      </c>
      <c r="I2148" s="0" t="n">
        <v>-10.4075701331502</v>
      </c>
    </row>
    <row r="2149" customFormat="false" ht="13.8" hidden="false" customHeight="false" outlineLevel="0" collapsed="false">
      <c r="A2149" s="2" t="n">
        <v>42475</v>
      </c>
      <c r="B2149" s="0" t="n">
        <v>2080.73</v>
      </c>
      <c r="C2149" s="0" t="n">
        <v>248.53</v>
      </c>
      <c r="D2149" s="3" t="n">
        <f aca="false">B2149*100/B$2</f>
        <v>143.780231626081</v>
      </c>
      <c r="E2149" s="3" t="n">
        <f aca="false">C2149*100/C$2</f>
        <v>105.622609434764</v>
      </c>
      <c r="F2149" s="0" t="n">
        <v>138.201028220791</v>
      </c>
      <c r="G2149" s="0" t="n">
        <v>112.595382691064</v>
      </c>
      <c r="H2149" s="0" t="n">
        <v>101.886952826179</v>
      </c>
      <c r="I2149" s="0" t="n">
        <v>-10.7084298648847</v>
      </c>
    </row>
    <row r="2150" customFormat="false" ht="13.8" hidden="false" customHeight="false" outlineLevel="0" collapsed="false">
      <c r="A2150" s="2" t="n">
        <v>42478</v>
      </c>
      <c r="B2150" s="0" t="n">
        <v>2094.34</v>
      </c>
      <c r="C2150" s="0" t="n">
        <v>248</v>
      </c>
      <c r="D2150" s="3" t="n">
        <f aca="false">B2150*100/B$2</f>
        <v>144.720694325437</v>
      </c>
      <c r="E2150" s="3" t="n">
        <f aca="false">C2150*100/C$2</f>
        <v>105.397365065873</v>
      </c>
      <c r="F2150" s="0" t="n">
        <v>138.323336742309</v>
      </c>
      <c r="G2150" s="0" t="n">
        <v>112.636238655737</v>
      </c>
      <c r="H2150" s="0" t="n">
        <v>102.086697832554</v>
      </c>
      <c r="I2150" s="0" t="n">
        <v>-10.5495408231826</v>
      </c>
    </row>
    <row r="2151" customFormat="false" ht="13.8" hidden="false" customHeight="false" outlineLevel="0" collapsed="false">
      <c r="A2151" s="2" t="n">
        <v>42479</v>
      </c>
      <c r="B2151" s="0" t="n">
        <v>2100.8</v>
      </c>
      <c r="C2151" s="0" t="n">
        <v>247.88</v>
      </c>
      <c r="D2151" s="3" t="n">
        <f aca="false">B2151*100/B$2</f>
        <v>145.167085878548</v>
      </c>
      <c r="E2151" s="3" t="n">
        <f aca="false">C2151*100/C$2</f>
        <v>105.346366340841</v>
      </c>
      <c r="F2151" s="0" t="n">
        <v>136.768567400978</v>
      </c>
      <c r="G2151" s="0" t="n">
        <v>112.116883172609</v>
      </c>
      <c r="H2151" s="0" t="n">
        <v>101.334466638334</v>
      </c>
      <c r="I2151" s="0" t="n">
        <v>-10.7824165342752</v>
      </c>
    </row>
    <row r="2152" customFormat="false" ht="13.8" hidden="false" customHeight="false" outlineLevel="0" collapsed="false">
      <c r="A2152" s="2" t="n">
        <v>42480</v>
      </c>
      <c r="B2152" s="0" t="n">
        <v>2102.4</v>
      </c>
      <c r="C2152" s="0" t="n">
        <v>247.26</v>
      </c>
      <c r="D2152" s="3" t="n">
        <f aca="false">B2152*100/B$2</f>
        <v>145.277647253932</v>
      </c>
      <c r="E2152" s="3" t="n">
        <f aca="false">C2152*100/C$2</f>
        <v>105.082872928177</v>
      </c>
      <c r="F2152" s="0" t="n">
        <v>137.459575997125</v>
      </c>
      <c r="G2152" s="0" t="n">
        <v>112.347707831777</v>
      </c>
      <c r="H2152" s="0" t="n">
        <v>101.627709307267</v>
      </c>
      <c r="I2152" s="0" t="n">
        <v>-10.7199985245097</v>
      </c>
    </row>
    <row r="2153" customFormat="false" ht="13.8" hidden="false" customHeight="false" outlineLevel="0" collapsed="false">
      <c r="A2153" s="2" t="n">
        <v>42481</v>
      </c>
      <c r="B2153" s="0" t="n">
        <v>2091.48</v>
      </c>
      <c r="C2153" s="0" t="n">
        <v>249.39</v>
      </c>
      <c r="D2153" s="3" t="n">
        <f aca="false">B2153*100/B$2</f>
        <v>144.523065866939</v>
      </c>
      <c r="E2153" s="3" t="n">
        <f aca="false">C2153*100/C$2</f>
        <v>105.988100297493</v>
      </c>
      <c r="F2153" s="0" t="n">
        <v>137.480997263606</v>
      </c>
      <c r="G2153" s="0" t="n">
        <v>112.354863396211</v>
      </c>
      <c r="H2153" s="0" t="n">
        <v>102.605184870378</v>
      </c>
      <c r="I2153" s="0" t="n">
        <v>-9.74967852583298</v>
      </c>
    </row>
    <row r="2154" customFormat="false" ht="13.8" hidden="false" customHeight="false" outlineLevel="0" collapsed="false">
      <c r="A2154" s="2" t="n">
        <v>42482</v>
      </c>
      <c r="B2154" s="0" t="n">
        <v>2091.58</v>
      </c>
      <c r="C2154" s="0" t="n">
        <v>248.32</v>
      </c>
      <c r="D2154" s="3" t="n">
        <f aca="false">B2154*100/B$2</f>
        <v>144.529975952901</v>
      </c>
      <c r="E2154" s="3" t="n">
        <f aca="false">C2154*100/C$2</f>
        <v>105.533361665958</v>
      </c>
      <c r="F2154" s="0" t="n">
        <v>139.735067304237</v>
      </c>
      <c r="G2154" s="0" t="n">
        <v>113.107813434417</v>
      </c>
      <c r="H2154" s="0" t="n">
        <v>102.834679133022</v>
      </c>
      <c r="I2154" s="0" t="n">
        <v>-10.2731343013949</v>
      </c>
    </row>
    <row r="2155" customFormat="false" ht="13.8" hidden="false" customHeight="false" outlineLevel="0" collapsed="false">
      <c r="A2155" s="2" t="n">
        <v>42485</v>
      </c>
      <c r="B2155" s="0" t="n">
        <v>2087.79</v>
      </c>
      <c r="C2155" s="0" t="n">
        <v>248.13</v>
      </c>
      <c r="D2155" s="3" t="n">
        <f aca="false">B2155*100/B$2</f>
        <v>144.268083694961</v>
      </c>
      <c r="E2155" s="3" t="n">
        <f aca="false">C2155*100/C$2</f>
        <v>105.452613684658</v>
      </c>
      <c r="F2155" s="0" t="n">
        <v>139.55886011222</v>
      </c>
      <c r="G2155" s="0" t="n">
        <v>113.048953146329</v>
      </c>
      <c r="H2155" s="0" t="n">
        <v>102.911177220569</v>
      </c>
      <c r="I2155" s="0" t="n">
        <v>-10.1377759257593</v>
      </c>
    </row>
    <row r="2156" customFormat="false" ht="13.8" hidden="false" customHeight="false" outlineLevel="0" collapsed="false">
      <c r="A2156" s="2" t="n">
        <v>42486</v>
      </c>
      <c r="B2156" s="0" t="n">
        <v>2091.7</v>
      </c>
      <c r="C2156" s="0" t="n">
        <v>248.92</v>
      </c>
      <c r="D2156" s="3" t="n">
        <f aca="false">B2156*100/B$2</f>
        <v>144.538268056055</v>
      </c>
      <c r="E2156" s="3" t="n">
        <f aca="false">C2156*100/C$2</f>
        <v>105.788355291118</v>
      </c>
      <c r="F2156" s="0" t="n">
        <v>139.302495923049</v>
      </c>
      <c r="G2156" s="0" t="n">
        <v>112.963317197778</v>
      </c>
      <c r="H2156" s="0" t="n">
        <v>102.775180620484</v>
      </c>
      <c r="I2156" s="0" t="n">
        <v>-10.1881365772931</v>
      </c>
    </row>
    <row r="2157" customFormat="false" ht="13.8" hidden="false" customHeight="false" outlineLevel="0" collapsed="false">
      <c r="A2157" s="2" t="n">
        <v>42487</v>
      </c>
      <c r="B2157" s="0" t="n">
        <v>2095.15</v>
      </c>
      <c r="C2157" s="0" t="n">
        <v>248.69</v>
      </c>
      <c r="D2157" s="3" t="n">
        <f aca="false">B2157*100/B$2</f>
        <v>144.776666021725</v>
      </c>
      <c r="E2157" s="3" t="n">
        <f aca="false">C2157*100/C$2</f>
        <v>105.690607734807</v>
      </c>
      <c r="F2157" s="0" t="n">
        <v>140.082644628099</v>
      </c>
      <c r="G2157" s="0" t="n">
        <v>113.223918237978</v>
      </c>
      <c r="H2157" s="0" t="n">
        <v>102.996175095623</v>
      </c>
      <c r="I2157" s="0" t="n">
        <v>-10.2277431423554</v>
      </c>
    </row>
    <row r="2158" customFormat="false" ht="13.8" hidden="false" customHeight="false" outlineLevel="0" collapsed="false">
      <c r="A2158" s="2" t="n">
        <v>42488</v>
      </c>
      <c r="B2158" s="0" t="n">
        <v>2075.81</v>
      </c>
      <c r="C2158" s="0" t="n">
        <v>246.27</v>
      </c>
      <c r="D2158" s="3" t="n">
        <f aca="false">B2158*100/B$2</f>
        <v>143.440255396777</v>
      </c>
      <c r="E2158" s="3" t="n">
        <f aca="false">C2158*100/C$2</f>
        <v>104.662133446664</v>
      </c>
      <c r="F2158" s="0" t="n">
        <v>141.006523121148</v>
      </c>
      <c r="G2158" s="0" t="n">
        <v>113.532530807285</v>
      </c>
      <c r="H2158" s="0" t="n">
        <v>103.735656608585</v>
      </c>
      <c r="I2158" s="0" t="n">
        <v>-9.79687419870061</v>
      </c>
    </row>
    <row r="2159" customFormat="false" ht="13.8" hidden="false" customHeight="false" outlineLevel="0" collapsed="false">
      <c r="A2159" s="2" t="n">
        <v>42489</v>
      </c>
      <c r="B2159" s="0" t="n">
        <v>2065.3</v>
      </c>
      <c r="C2159" s="0" t="n">
        <v>245.2</v>
      </c>
      <c r="D2159" s="3" t="n">
        <f aca="false">B2159*100/B$2</f>
        <v>142.714005362227</v>
      </c>
      <c r="E2159" s="3" t="n">
        <f aca="false">C2159*100/C$2</f>
        <v>104.20739481513</v>
      </c>
      <c r="F2159" s="0" t="n">
        <v>141.626357831891</v>
      </c>
      <c r="G2159" s="0" t="n">
        <v>113.739580526559</v>
      </c>
      <c r="H2159" s="0" t="n">
        <v>103.965150871228</v>
      </c>
      <c r="I2159" s="0" t="n">
        <v>-9.77442965533071</v>
      </c>
    </row>
    <row r="2160" customFormat="false" ht="13.8" hidden="false" customHeight="false" outlineLevel="0" collapsed="false">
      <c r="A2160" s="2" t="n">
        <v>42492</v>
      </c>
      <c r="B2160" s="0" t="n">
        <v>2081.43</v>
      </c>
      <c r="C2160" s="0" t="n">
        <v>243.47</v>
      </c>
      <c r="D2160" s="3" t="n">
        <f aca="false">B2160*100/B$2</f>
        <v>143.828602227812</v>
      </c>
      <c r="E2160" s="3" t="n">
        <f aca="false">C2160*100/C$2</f>
        <v>103.47216319592</v>
      </c>
      <c r="F2160" s="0" t="n">
        <v>141.767323585505</v>
      </c>
      <c r="G2160" s="0" t="n">
        <v>113.786668757029</v>
      </c>
      <c r="H2160" s="0" t="n">
        <v>103.816404589885</v>
      </c>
      <c r="I2160" s="0" t="n">
        <v>-9.97026416714391</v>
      </c>
    </row>
    <row r="2161" customFormat="false" ht="13.8" hidden="false" customHeight="false" outlineLevel="0" collapsed="false">
      <c r="A2161" s="2" t="n">
        <v>42493</v>
      </c>
      <c r="B2161" s="0" t="n">
        <v>2063.37</v>
      </c>
      <c r="C2161" s="0" t="n">
        <v>244.29</v>
      </c>
      <c r="D2161" s="3" t="n">
        <f aca="false">B2161*100/B$2</f>
        <v>142.58064070317</v>
      </c>
      <c r="E2161" s="3" t="n">
        <f aca="false">C2161*100/C$2</f>
        <v>103.820654483638</v>
      </c>
      <c r="F2161" s="0" t="n">
        <v>141.642942038199</v>
      </c>
      <c r="G2161" s="0" t="n">
        <v>113.745120318379</v>
      </c>
      <c r="H2161" s="0" t="n">
        <v>104.296642583935</v>
      </c>
      <c r="I2161" s="0" t="n">
        <v>-9.44847773444357</v>
      </c>
    </row>
    <row r="2162" customFormat="false" ht="13.8" hidden="false" customHeight="false" outlineLevel="0" collapsed="false">
      <c r="A2162" s="2" t="n">
        <v>42494</v>
      </c>
      <c r="B2162" s="0" t="n">
        <v>2051.12</v>
      </c>
      <c r="C2162" s="0" t="n">
        <v>243.31</v>
      </c>
      <c r="D2162" s="3" t="n">
        <f aca="false">B2162*100/B$2</f>
        <v>141.73415517289</v>
      </c>
      <c r="E2162" s="3" t="n">
        <f aca="false">C2162*100/C$2</f>
        <v>103.404164895878</v>
      </c>
      <c r="F2162" s="0" t="n">
        <v>140.738411785843</v>
      </c>
      <c r="G2162" s="0" t="n">
        <v>113.442970839528</v>
      </c>
      <c r="H2162" s="0" t="n">
        <v>104.220144496388</v>
      </c>
      <c r="I2162" s="0" t="n">
        <v>-9.2228263431407</v>
      </c>
    </row>
    <row r="2163" customFormat="false" ht="13.8" hidden="false" customHeight="false" outlineLevel="0" collapsed="false">
      <c r="A2163" s="2" t="n">
        <v>42495</v>
      </c>
      <c r="B2163" s="0" t="n">
        <v>2050.63</v>
      </c>
      <c r="C2163" s="0" t="n">
        <v>243.31</v>
      </c>
      <c r="D2163" s="3" t="n">
        <f aca="false">B2163*100/B$2</f>
        <v>141.700295751679</v>
      </c>
      <c r="E2163" s="3" t="n">
        <f aca="false">C2163*100/C$2</f>
        <v>103.404164895878</v>
      </c>
      <c r="F2163" s="0" t="n">
        <v>140.685204123939</v>
      </c>
      <c r="G2163" s="0" t="n">
        <v>113.425197340772</v>
      </c>
      <c r="H2163" s="0" t="n">
        <v>103.731406714832</v>
      </c>
      <c r="I2163" s="0" t="n">
        <v>-9.69379062594025</v>
      </c>
    </row>
    <row r="2164" customFormat="false" ht="13.8" hidden="false" customHeight="false" outlineLevel="0" collapsed="false">
      <c r="A2164" s="2" t="n">
        <v>42496</v>
      </c>
      <c r="B2164" s="0" t="n">
        <v>2057.14</v>
      </c>
      <c r="C2164" s="0" t="n">
        <v>243.31</v>
      </c>
      <c r="D2164" s="3" t="n">
        <f aca="false">B2164*100/B$2</f>
        <v>142.150142347771</v>
      </c>
      <c r="E2164" s="3" t="n">
        <f aca="false">C2164*100/C$2</f>
        <v>103.404164895878</v>
      </c>
      <c r="F2164" s="0" t="n">
        <v>140.685204123939</v>
      </c>
      <c r="G2164" s="0" t="n">
        <v>113.425197340772</v>
      </c>
      <c r="H2164" s="0" t="n">
        <v>103.608159796005</v>
      </c>
      <c r="I2164" s="0" t="n">
        <v>-9.81703754476727</v>
      </c>
    </row>
    <row r="2165" customFormat="false" ht="13.8" hidden="false" customHeight="false" outlineLevel="0" collapsed="false">
      <c r="A2165" s="2" t="n">
        <v>42499</v>
      </c>
      <c r="B2165" s="0" t="n">
        <v>2058.69</v>
      </c>
      <c r="C2165" s="0" t="n">
        <v>242.23</v>
      </c>
      <c r="D2165" s="3" t="n">
        <f aca="false">B2165*100/B$2</f>
        <v>142.257248680174</v>
      </c>
      <c r="E2165" s="3" t="n">
        <f aca="false">C2165*100/C$2</f>
        <v>102.945176370591</v>
      </c>
      <c r="F2165" s="0" t="n">
        <v>140.761906078112</v>
      </c>
      <c r="G2165" s="0" t="n">
        <v>113.45081887794</v>
      </c>
      <c r="H2165" s="0" t="n">
        <v>103.676158096048</v>
      </c>
      <c r="I2165" s="0" t="n">
        <v>-9.77466078189239</v>
      </c>
    </row>
    <row r="2166" customFormat="false" ht="13.8" hidden="false" customHeight="false" outlineLevel="0" collapsed="false">
      <c r="A2166" s="2" t="n">
        <v>42500</v>
      </c>
      <c r="B2166" s="0" t="n">
        <v>2084.39</v>
      </c>
      <c r="C2166" s="0" t="n">
        <v>243.68</v>
      </c>
      <c r="D2166" s="3" t="n">
        <f aca="false">B2166*100/B$2</f>
        <v>144.033140772271</v>
      </c>
      <c r="E2166" s="3" t="n">
        <f aca="false">C2166*100/C$2</f>
        <v>103.561410964726</v>
      </c>
      <c r="F2166" s="0" t="n">
        <v>142.002957516792</v>
      </c>
      <c r="G2166" s="0" t="n">
        <v>113.865379965805</v>
      </c>
      <c r="H2166" s="0" t="n">
        <v>104.347641308967</v>
      </c>
      <c r="I2166" s="0" t="n">
        <v>-9.51773865683812</v>
      </c>
    </row>
    <row r="2167" customFormat="false" ht="13.8" hidden="false" customHeight="false" outlineLevel="0" collapsed="false">
      <c r="A2167" s="2" t="n">
        <v>42501</v>
      </c>
      <c r="B2167" s="0" t="n">
        <v>2064.46</v>
      </c>
      <c r="C2167" s="0" t="n">
        <v>243.07</v>
      </c>
      <c r="D2167" s="3" t="n">
        <f aca="false">B2167*100/B$2</f>
        <v>142.65596064015</v>
      </c>
      <c r="E2167" s="3" t="n">
        <f aca="false">C2167*100/C$2</f>
        <v>103.302167445814</v>
      </c>
      <c r="F2167" s="0" t="n">
        <v>142.620719201747</v>
      </c>
      <c r="G2167" s="0" t="n">
        <v>114.071737211101</v>
      </c>
      <c r="H2167" s="0" t="n">
        <v>104.776880577986</v>
      </c>
      <c r="I2167" s="0" t="n">
        <v>-9.29485663311586</v>
      </c>
    </row>
    <row r="2168" customFormat="false" ht="13.8" hidden="false" customHeight="false" outlineLevel="0" collapsed="false">
      <c r="A2168" s="2" t="n">
        <v>42502</v>
      </c>
      <c r="B2168" s="0" t="n">
        <v>2064.11</v>
      </c>
      <c r="C2168" s="0" t="n">
        <v>242.34</v>
      </c>
      <c r="D2168" s="3" t="n">
        <f aca="false">B2168*100/B$2</f>
        <v>142.631775339285</v>
      </c>
      <c r="E2168" s="3" t="n">
        <f aca="false">C2168*100/C$2</f>
        <v>102.99192520187</v>
      </c>
      <c r="F2168" s="0" t="n">
        <v>142.329804582769</v>
      </c>
      <c r="G2168" s="0" t="n">
        <v>113.974560029592</v>
      </c>
      <c r="H2168" s="0" t="n">
        <v>104.487887802805</v>
      </c>
      <c r="I2168" s="0" t="n">
        <v>-9.48667222678682</v>
      </c>
    </row>
    <row r="2169" customFormat="false" ht="13.8" hidden="false" customHeight="false" outlineLevel="0" collapsed="false">
      <c r="A2169" s="2" t="n">
        <v>42503</v>
      </c>
      <c r="B2169" s="0" t="n">
        <v>2046.61</v>
      </c>
      <c r="C2169" s="0" t="n">
        <v>240.6</v>
      </c>
      <c r="D2169" s="3" t="n">
        <f aca="false">B2169*100/B$2</f>
        <v>141.422510296028</v>
      </c>
      <c r="E2169" s="3" t="n">
        <f aca="false">C2169*100/C$2</f>
        <v>102.252443688908</v>
      </c>
      <c r="F2169" s="0" t="n">
        <v>143.230879792145</v>
      </c>
      <c r="G2169" s="0" t="n">
        <v>114.275555385147</v>
      </c>
      <c r="H2169" s="0" t="n">
        <v>103.000424989375</v>
      </c>
      <c r="I2169" s="0" t="n">
        <v>-11.2751303957713</v>
      </c>
    </row>
    <row r="2170" customFormat="false" ht="13.8" hidden="false" customHeight="false" outlineLevel="0" collapsed="false">
      <c r="A2170" s="2" t="n">
        <v>42506</v>
      </c>
      <c r="B2170" s="0" t="n">
        <v>2066.66</v>
      </c>
      <c r="C2170" s="0" t="n">
        <v>240.82</v>
      </c>
      <c r="D2170" s="3" t="n">
        <f aca="false">B2170*100/B$2</f>
        <v>142.807982531303</v>
      </c>
      <c r="E2170" s="3" t="n">
        <f aca="false">C2170*100/C$2</f>
        <v>102.345941351466</v>
      </c>
      <c r="F2170" s="0" t="n">
        <v>142.771359075707</v>
      </c>
      <c r="G2170" s="0" t="n">
        <v>114.1220569868</v>
      </c>
      <c r="H2170" s="0" t="n">
        <v>103.293667658309</v>
      </c>
      <c r="I2170" s="0" t="n">
        <v>-10.8283893284915</v>
      </c>
    </row>
    <row r="2171" customFormat="false" ht="13.8" hidden="false" customHeight="false" outlineLevel="0" collapsed="false">
      <c r="A2171" s="2" t="n">
        <v>42507</v>
      </c>
      <c r="B2171" s="0" t="n">
        <v>2047.21</v>
      </c>
      <c r="C2171" s="0" t="n">
        <v>241.03</v>
      </c>
      <c r="D2171" s="3" t="n">
        <f aca="false">B2171*100/B$2</f>
        <v>141.463970811797</v>
      </c>
      <c r="E2171" s="3" t="n">
        <f aca="false">C2171*100/C$2</f>
        <v>102.435189120272</v>
      </c>
      <c r="F2171" s="0" t="n">
        <v>141.323005058183</v>
      </c>
      <c r="G2171" s="0" t="n">
        <v>113.638248501184</v>
      </c>
      <c r="H2171" s="0" t="n">
        <v>102.243943901402</v>
      </c>
      <c r="I2171" s="0" t="n">
        <v>-11.3943045997818</v>
      </c>
    </row>
    <row r="2172" customFormat="false" ht="13.8" hidden="false" customHeight="false" outlineLevel="0" collapsed="false">
      <c r="A2172" s="2" t="n">
        <v>42508</v>
      </c>
      <c r="B2172" s="0" t="n">
        <v>2047.63</v>
      </c>
      <c r="C2172" s="0" t="n">
        <v>239.82</v>
      </c>
      <c r="D2172" s="3" t="n">
        <f aca="false">B2172*100/B$2</f>
        <v>141.492993172835</v>
      </c>
      <c r="E2172" s="3" t="n">
        <f aca="false">C2172*100/C$2</f>
        <v>101.920951976201</v>
      </c>
      <c r="F2172" s="0" t="n">
        <v>142.807982531303</v>
      </c>
      <c r="G2172" s="0" t="n">
        <v>114.134290693736</v>
      </c>
      <c r="H2172" s="0" t="n">
        <v>102.843178920527</v>
      </c>
      <c r="I2172" s="0" t="n">
        <v>-11.2911117732089</v>
      </c>
    </row>
    <row r="2173" customFormat="false" ht="13.8" hidden="false" customHeight="false" outlineLevel="0" collapsed="false">
      <c r="A2173" s="2" t="n">
        <v>42509</v>
      </c>
      <c r="B2173" s="0" t="n">
        <v>2040.04</v>
      </c>
      <c r="C2173" s="0" t="n">
        <v>239.04</v>
      </c>
      <c r="D2173" s="3" t="n">
        <f aca="false">B2173*100/B$2</f>
        <v>140.96851764836</v>
      </c>
      <c r="E2173" s="3" t="n">
        <f aca="false">C2173*100/C$2</f>
        <v>101.589460263493</v>
      </c>
      <c r="F2173" s="0" t="n">
        <v>141.097736255839</v>
      </c>
      <c r="G2173" s="0" t="n">
        <v>113.562999662296</v>
      </c>
      <c r="H2173" s="0" t="n">
        <v>102.970675733107</v>
      </c>
      <c r="I2173" s="0" t="n">
        <v>-10.5923239291889</v>
      </c>
    </row>
    <row r="2174" customFormat="false" ht="13.8" hidden="false" customHeight="false" outlineLevel="0" collapsed="false">
      <c r="A2174" s="2" t="n">
        <v>42510</v>
      </c>
      <c r="B2174" s="0" t="n">
        <v>2052.32</v>
      </c>
      <c r="C2174" s="0" t="n">
        <v>238.74</v>
      </c>
      <c r="D2174" s="3" t="n">
        <f aca="false">B2174*100/B$2</f>
        <v>141.817076204428</v>
      </c>
      <c r="E2174" s="3" t="n">
        <f aca="false">C2174*100/C$2</f>
        <v>101.461963450914</v>
      </c>
      <c r="F2174" s="0" t="n">
        <v>141.490920147047</v>
      </c>
      <c r="G2174" s="0" t="n">
        <v>113.694338893362</v>
      </c>
      <c r="H2174" s="0" t="n">
        <v>102.749681257969</v>
      </c>
      <c r="I2174" s="0" t="n">
        <v>-10.9446576353935</v>
      </c>
    </row>
    <row r="2175" customFormat="false" ht="13.8" hidden="false" customHeight="false" outlineLevel="0" collapsed="false">
      <c r="A2175" s="2" t="n">
        <v>42513</v>
      </c>
      <c r="B2175" s="0" t="n">
        <v>2048.04</v>
      </c>
      <c r="C2175" s="0" t="n">
        <v>239.85</v>
      </c>
      <c r="D2175" s="3" t="n">
        <f aca="false">B2175*100/B$2</f>
        <v>141.521324525277</v>
      </c>
      <c r="E2175" s="3" t="n">
        <f aca="false">C2175*100/C$2</f>
        <v>101.933701657459</v>
      </c>
      <c r="F2175" s="0" t="n">
        <v>141.103264324608</v>
      </c>
      <c r="G2175" s="0" t="n">
        <v>113.564846259569</v>
      </c>
      <c r="H2175" s="0" t="n">
        <v>102.872928176796</v>
      </c>
      <c r="I2175" s="0" t="n">
        <v>-10.6919180827733</v>
      </c>
    </row>
    <row r="2176" customFormat="false" ht="13.8" hidden="false" customHeight="false" outlineLevel="0" collapsed="false">
      <c r="A2176" s="2" t="n">
        <v>42514</v>
      </c>
      <c r="B2176" s="0" t="n">
        <v>2076.06</v>
      </c>
      <c r="C2176" s="0" t="n">
        <v>237.65</v>
      </c>
      <c r="D2176" s="3" t="n">
        <f aca="false">B2176*100/B$2</f>
        <v>143.457530611681</v>
      </c>
      <c r="E2176" s="3" t="n">
        <f aca="false">C2176*100/C$2</f>
        <v>100.998725031874</v>
      </c>
      <c r="F2176" s="0" t="n">
        <v>142.466624284806</v>
      </c>
      <c r="G2176" s="0" t="n">
        <v>114.020263312107</v>
      </c>
      <c r="H2176" s="0" t="n">
        <v>103.574160645984</v>
      </c>
      <c r="I2176" s="0" t="n">
        <v>-10.4461026661231</v>
      </c>
    </row>
    <row r="2177" customFormat="false" ht="13.8" hidden="false" customHeight="false" outlineLevel="0" collapsed="false">
      <c r="A2177" s="2" t="n">
        <v>42515</v>
      </c>
      <c r="B2177" s="0" t="n">
        <v>2090.54</v>
      </c>
      <c r="C2177" s="0" t="n">
        <v>240.91</v>
      </c>
      <c r="D2177" s="3" t="n">
        <f aca="false">B2177*100/B$2</f>
        <v>144.458111058902</v>
      </c>
      <c r="E2177" s="3" t="n">
        <f aca="false">C2177*100/C$2</f>
        <v>102.38419039524</v>
      </c>
      <c r="F2177" s="0" t="n">
        <v>143.89701207883</v>
      </c>
      <c r="G2177" s="0" t="n">
        <v>114.498070356584</v>
      </c>
      <c r="H2177" s="0" t="n">
        <v>103.574160645984</v>
      </c>
      <c r="I2177" s="0" t="n">
        <v>-10.9239097106005</v>
      </c>
    </row>
    <row r="2178" customFormat="false" ht="13.8" hidden="false" customHeight="false" outlineLevel="0" collapsed="false">
      <c r="A2178" s="2" t="n">
        <v>42516</v>
      </c>
      <c r="B2178" s="0" t="n">
        <v>2090.1</v>
      </c>
      <c r="C2178" s="0" t="n">
        <v>240.58</v>
      </c>
      <c r="D2178" s="3" t="n">
        <f aca="false">B2178*100/B$2</f>
        <v>144.427706680671</v>
      </c>
      <c r="E2178" s="3" t="n">
        <f aca="false">C2178*100/C$2</f>
        <v>102.243943901402</v>
      </c>
      <c r="F2178" s="0" t="n">
        <v>143.921888388292</v>
      </c>
      <c r="G2178" s="0" t="n">
        <v>114.506380044314</v>
      </c>
      <c r="H2178" s="0" t="n">
        <v>105.77560560986</v>
      </c>
      <c r="I2178" s="0" t="n">
        <v>-8.73077443445465</v>
      </c>
    </row>
    <row r="2179" customFormat="false" ht="13.8" hidden="false" customHeight="false" outlineLevel="0" collapsed="false">
      <c r="A2179" s="2" t="n">
        <v>42517</v>
      </c>
      <c r="B2179" s="0" t="n">
        <v>2099.06</v>
      </c>
      <c r="C2179" s="0" t="n">
        <v>241.85</v>
      </c>
      <c r="D2179" s="3" t="n">
        <f aca="false">B2179*100/B$2</f>
        <v>145.046850382819</v>
      </c>
      <c r="E2179" s="3" t="n">
        <f aca="false">C2179*100/C$2</f>
        <v>102.78368040799</v>
      </c>
      <c r="F2179" s="0" t="n">
        <v>143.780231626081</v>
      </c>
      <c r="G2179" s="0" t="n">
        <v>114.459060989185</v>
      </c>
      <c r="H2179" s="0" t="n">
        <v>105.622609434764</v>
      </c>
      <c r="I2179" s="0" t="n">
        <v>-8.83645155442086</v>
      </c>
    </row>
    <row r="2180" customFormat="false" ht="13.8" hidden="false" customHeight="false" outlineLevel="0" collapsed="false">
      <c r="A2180" s="2" t="n">
        <v>42520</v>
      </c>
      <c r="B2180" s="0" t="n">
        <v>2099.06</v>
      </c>
      <c r="C2180" s="0" t="n">
        <v>241.73</v>
      </c>
      <c r="D2180" s="3" t="n">
        <f aca="false">B2180*100/B$2</f>
        <v>145.046850382819</v>
      </c>
      <c r="E2180" s="3" t="n">
        <f aca="false">C2180*100/C$2</f>
        <v>102.732681682958</v>
      </c>
      <c r="F2180" s="0" t="n">
        <v>144.720694325437</v>
      </c>
      <c r="G2180" s="0" t="n">
        <v>114.773213350312</v>
      </c>
      <c r="H2180" s="0" t="n">
        <v>105.397365065873</v>
      </c>
      <c r="I2180" s="0" t="n">
        <v>-9.37584828443903</v>
      </c>
    </row>
    <row r="2181" customFormat="false" ht="13.8" hidden="false" customHeight="false" outlineLevel="0" collapsed="false">
      <c r="A2181" s="2" t="n">
        <v>42521</v>
      </c>
      <c r="B2181" s="0" t="n">
        <v>2096.96</v>
      </c>
      <c r="C2181" s="0" t="n">
        <v>243.63</v>
      </c>
      <c r="D2181" s="3" t="n">
        <f aca="false">B2181*100/B$2</f>
        <v>144.901738577628</v>
      </c>
      <c r="E2181" s="3" t="n">
        <f aca="false">C2181*100/C$2</f>
        <v>103.540161495963</v>
      </c>
      <c r="F2181" s="0" t="n">
        <v>145.167085878548</v>
      </c>
      <c r="G2181" s="0" t="n">
        <v>114.922326080135</v>
      </c>
      <c r="H2181" s="0" t="n">
        <v>105.346366340841</v>
      </c>
      <c r="I2181" s="0" t="n">
        <v>-9.57595973929332</v>
      </c>
    </row>
    <row r="2182" customFormat="false" ht="13.8" hidden="false" customHeight="false" outlineLevel="0" collapsed="false">
      <c r="A2182" s="2" t="n">
        <v>42522</v>
      </c>
      <c r="B2182" s="0" t="n">
        <v>2099.33</v>
      </c>
      <c r="C2182" s="0" t="n">
        <v>243.58</v>
      </c>
      <c r="D2182" s="3" t="n">
        <f aca="false">B2182*100/B$2</f>
        <v>145.065507614915</v>
      </c>
      <c r="E2182" s="3" t="n">
        <f aca="false">C2182*100/C$2</f>
        <v>103.518912027199</v>
      </c>
      <c r="F2182" s="0" t="n">
        <v>145.277647253932</v>
      </c>
      <c r="G2182" s="0" t="n">
        <v>114.959258025602</v>
      </c>
      <c r="H2182" s="0" t="n">
        <v>105.082872928177</v>
      </c>
      <c r="I2182" s="0" t="n">
        <v>-9.87638509742486</v>
      </c>
    </row>
    <row r="2183" customFormat="false" ht="13.8" hidden="false" customHeight="false" outlineLevel="0" collapsed="false">
      <c r="A2183" s="2" t="n">
        <v>42523</v>
      </c>
      <c r="B2183" s="0" t="n">
        <v>2105.26</v>
      </c>
      <c r="C2183" s="0" t="n">
        <v>244.18</v>
      </c>
      <c r="D2183" s="3" t="n">
        <f aca="false">B2183*100/B$2</f>
        <v>145.47527571243</v>
      </c>
      <c r="E2183" s="3" t="n">
        <f aca="false">C2183*100/C$2</f>
        <v>103.773905652359</v>
      </c>
      <c r="F2183" s="0" t="n">
        <v>144.523065866939</v>
      </c>
      <c r="G2183" s="0" t="n">
        <v>114.70719749779</v>
      </c>
      <c r="H2183" s="0" t="n">
        <v>105.988100297493</v>
      </c>
      <c r="I2183" s="0" t="n">
        <v>-8.71909720029784</v>
      </c>
    </row>
    <row r="2184" customFormat="false" ht="13.8" hidden="false" customHeight="false" outlineLevel="0" collapsed="false">
      <c r="A2184" s="2" t="n">
        <v>42524</v>
      </c>
      <c r="B2184" s="0" t="n">
        <v>2099.13</v>
      </c>
      <c r="C2184" s="0" t="n">
        <v>244.39</v>
      </c>
      <c r="D2184" s="3" t="n">
        <f aca="false">B2184*100/B$2</f>
        <v>145.051687442992</v>
      </c>
      <c r="E2184" s="3" t="n">
        <f aca="false">C2184*100/C$2</f>
        <v>103.863153421164</v>
      </c>
      <c r="F2184" s="0" t="n">
        <v>144.529975952901</v>
      </c>
      <c r="G2184" s="0" t="n">
        <v>114.709505744382</v>
      </c>
      <c r="H2184" s="0" t="n">
        <v>105.533361665958</v>
      </c>
      <c r="I2184" s="0" t="n">
        <v>-9.17614407842372</v>
      </c>
    </row>
    <row r="2185" customFormat="false" ht="13.8" hidden="false" customHeight="false" outlineLevel="0" collapsed="false">
      <c r="A2185" s="2" t="n">
        <v>42527</v>
      </c>
      <c r="B2185" s="0" t="n">
        <v>2109.41</v>
      </c>
      <c r="C2185" s="0" t="n">
        <v>244.39</v>
      </c>
      <c r="D2185" s="3" t="n">
        <f aca="false">B2185*100/B$2</f>
        <v>145.762044279831</v>
      </c>
      <c r="E2185" s="3" t="n">
        <f aca="false">C2185*100/C$2</f>
        <v>103.863153421164</v>
      </c>
      <c r="F2185" s="0" t="n">
        <v>144.268083694961</v>
      </c>
      <c r="G2185" s="0" t="n">
        <v>114.622023198557</v>
      </c>
      <c r="H2185" s="0" t="n">
        <v>105.452613684658</v>
      </c>
      <c r="I2185" s="0" t="n">
        <v>-9.16940951389958</v>
      </c>
    </row>
    <row r="2186" customFormat="false" ht="13.8" hidden="false" customHeight="false" outlineLevel="0" collapsed="false">
      <c r="A2186" s="2" t="n">
        <v>42528</v>
      </c>
      <c r="B2186" s="0" t="n">
        <v>2112.13</v>
      </c>
      <c r="C2186" s="0" t="n">
        <v>247.85</v>
      </c>
      <c r="D2186" s="3" t="n">
        <f aca="false">B2186*100/B$2</f>
        <v>145.949998617983</v>
      </c>
      <c r="E2186" s="3" t="n">
        <f aca="false">C2186*100/C$2</f>
        <v>105.333616659584</v>
      </c>
      <c r="F2186" s="0" t="n">
        <v>144.538268056055</v>
      </c>
      <c r="G2186" s="0" t="n">
        <v>114.712275640292</v>
      </c>
      <c r="H2186" s="0" t="n">
        <v>105.788355291118</v>
      </c>
      <c r="I2186" s="0" t="n">
        <v>-8.92392034917437</v>
      </c>
    </row>
    <row r="2187" customFormat="false" ht="13.8" hidden="false" customHeight="false" outlineLevel="0" collapsed="false">
      <c r="A2187" s="2" t="n">
        <v>42529</v>
      </c>
      <c r="B2187" s="0" t="n">
        <v>2119.12</v>
      </c>
      <c r="C2187" s="0" t="n">
        <v>250.04</v>
      </c>
      <c r="D2187" s="3" t="n">
        <f aca="false">B2187*100/B$2</f>
        <v>146.43301362669</v>
      </c>
      <c r="E2187" s="3" t="n">
        <f aca="false">C2187*100/C$2</f>
        <v>106.264343391415</v>
      </c>
      <c r="F2187" s="0" t="n">
        <v>144.776666021725</v>
      </c>
      <c r="G2187" s="0" t="n">
        <v>114.791910147705</v>
      </c>
      <c r="H2187" s="0" t="n">
        <v>105.690607734807</v>
      </c>
      <c r="I2187" s="0" t="n">
        <v>-9.10130241289836</v>
      </c>
    </row>
    <row r="2188" customFormat="false" ht="13.8" hidden="false" customHeight="false" outlineLevel="0" collapsed="false">
      <c r="A2188" s="2" t="n">
        <v>42530</v>
      </c>
      <c r="B2188" s="0" t="n">
        <v>2115.48</v>
      </c>
      <c r="C2188" s="0" t="n">
        <v>250.19</v>
      </c>
      <c r="D2188" s="3" t="n">
        <f aca="false">B2188*100/B$2</f>
        <v>146.181486497692</v>
      </c>
      <c r="E2188" s="3" t="n">
        <f aca="false">C2188*100/C$2</f>
        <v>106.328091797705</v>
      </c>
      <c r="F2188" s="0" t="n">
        <v>143.440255396777</v>
      </c>
      <c r="G2188" s="0" t="n">
        <v>114.345495256874</v>
      </c>
      <c r="H2188" s="0" t="n">
        <v>104.662133446664</v>
      </c>
      <c r="I2188" s="0" t="n">
        <v>-9.68336181021061</v>
      </c>
    </row>
    <row r="2189" customFormat="false" ht="13.8" hidden="false" customHeight="false" outlineLevel="0" collapsed="false">
      <c r="A2189" s="2" t="n">
        <v>42531</v>
      </c>
      <c r="B2189" s="0" t="n">
        <v>2096.07</v>
      </c>
      <c r="C2189" s="0" t="n">
        <v>248.96</v>
      </c>
      <c r="D2189" s="3" t="n">
        <f aca="false">B2189*100/B$2</f>
        <v>144.840238812571</v>
      </c>
      <c r="E2189" s="3" t="n">
        <f aca="false">C2189*100/C$2</f>
        <v>105.805354866128</v>
      </c>
      <c r="F2189" s="0" t="n">
        <v>142.714005362227</v>
      </c>
      <c r="G2189" s="0" t="n">
        <v>114.102898540089</v>
      </c>
      <c r="H2189" s="0" t="n">
        <v>104.20739481513</v>
      </c>
      <c r="I2189" s="0" t="n">
        <v>-9.89550372495944</v>
      </c>
    </row>
    <row r="2190" customFormat="false" ht="13.8" hidden="false" customHeight="false" outlineLevel="0" collapsed="false">
      <c r="A2190" s="2" t="n">
        <v>42534</v>
      </c>
      <c r="B2190" s="0" t="n">
        <v>2079.06</v>
      </c>
      <c r="C2190" s="0" t="n">
        <v>244.05</v>
      </c>
      <c r="D2190" s="3" t="n">
        <f aca="false">B2190*100/B$2</f>
        <v>143.664833190525</v>
      </c>
      <c r="E2190" s="3" t="n">
        <f aca="false">C2190*100/C$2</f>
        <v>103.718657033574</v>
      </c>
      <c r="F2190" s="0" t="n">
        <v>143.828602227812</v>
      </c>
      <c r="G2190" s="0" t="n">
        <v>114.475218715327</v>
      </c>
      <c r="H2190" s="0" t="n">
        <v>103.47216319592</v>
      </c>
      <c r="I2190" s="0" t="n">
        <v>-11.0030555194066</v>
      </c>
    </row>
    <row r="2191" customFormat="false" ht="13.8" hidden="false" customHeight="false" outlineLevel="0" collapsed="false">
      <c r="A2191" s="2" t="n">
        <v>42535</v>
      </c>
      <c r="B2191" s="0" t="n">
        <v>2075.32</v>
      </c>
      <c r="C2191" s="0" t="n">
        <v>243.35</v>
      </c>
      <c r="D2191" s="3" t="n">
        <f aca="false">B2191*100/B$2</f>
        <v>143.406395975566</v>
      </c>
      <c r="E2191" s="3" t="n">
        <f aca="false">C2191*100/C$2</f>
        <v>103.421164470888</v>
      </c>
      <c r="F2191" s="0" t="n">
        <v>142.58064070317</v>
      </c>
      <c r="G2191" s="0" t="n">
        <v>114.05834938087</v>
      </c>
      <c r="H2191" s="0" t="n">
        <v>103.820654483638</v>
      </c>
      <c r="I2191" s="0" t="n">
        <v>-10.2376948972318</v>
      </c>
    </row>
    <row r="2192" customFormat="false" ht="13.8" hidden="false" customHeight="false" outlineLevel="0" collapsed="false">
      <c r="A2192" s="2" t="n">
        <v>42536</v>
      </c>
      <c r="B2192" s="0" t="n">
        <v>2071.5</v>
      </c>
      <c r="C2192" s="0" t="n">
        <v>243.3</v>
      </c>
      <c r="D2192" s="3" t="n">
        <f aca="false">B2192*100/B$2</f>
        <v>143.142430691838</v>
      </c>
      <c r="E2192" s="3" t="n">
        <f aca="false">C2192*100/C$2</f>
        <v>103.399915002125</v>
      </c>
      <c r="F2192" s="0" t="n">
        <v>141.73415517289</v>
      </c>
      <c r="G2192" s="0" t="n">
        <v>113.775589173389</v>
      </c>
      <c r="H2192" s="0" t="n">
        <v>103.404164895878</v>
      </c>
      <c r="I2192" s="0" t="n">
        <v>-10.3714242775115</v>
      </c>
    </row>
    <row r="2193" customFormat="false" ht="13.8" hidden="false" customHeight="false" outlineLevel="0" collapsed="false">
      <c r="A2193" s="2" t="n">
        <v>42537</v>
      </c>
      <c r="B2193" s="0" t="n">
        <v>2077.99</v>
      </c>
      <c r="C2193" s="0" t="n">
        <v>241.61</v>
      </c>
      <c r="D2193" s="3" t="n">
        <f aca="false">B2193*100/B$2</f>
        <v>143.590895270737</v>
      </c>
      <c r="E2193" s="3" t="n">
        <f aca="false">C2193*100/C$2</f>
        <v>102.681682957926</v>
      </c>
      <c r="F2193" s="0" t="n">
        <v>141.700295751679</v>
      </c>
      <c r="G2193" s="0" t="n">
        <v>113.76427876509</v>
      </c>
      <c r="H2193" s="0" t="n">
        <v>103.404164895878</v>
      </c>
      <c r="I2193" s="0" t="n">
        <v>-10.3601138692123</v>
      </c>
    </row>
    <row r="2194" customFormat="false" ht="13.8" hidden="false" customHeight="false" outlineLevel="0" collapsed="false">
      <c r="A2194" s="2" t="n">
        <v>42538</v>
      </c>
      <c r="B2194" s="0" t="n">
        <v>2071.22</v>
      </c>
      <c r="C2194" s="0" t="n">
        <v>241.63</v>
      </c>
      <c r="D2194" s="3" t="n">
        <f aca="false">B2194*100/B$2</f>
        <v>143.123082451146</v>
      </c>
      <c r="E2194" s="3" t="n">
        <f aca="false">C2194*100/C$2</f>
        <v>102.690182745431</v>
      </c>
      <c r="F2194" s="0" t="n">
        <v>142.150142347771</v>
      </c>
      <c r="G2194" s="0" t="n">
        <v>113.914545618208</v>
      </c>
      <c r="H2194" s="0" t="n">
        <v>103.404164895878</v>
      </c>
      <c r="I2194" s="0" t="n">
        <v>-10.5103807223305</v>
      </c>
    </row>
    <row r="2195" customFormat="false" ht="13.8" hidden="false" customHeight="false" outlineLevel="0" collapsed="false">
      <c r="A2195" s="2" t="n">
        <v>42541</v>
      </c>
      <c r="B2195" s="0" t="n">
        <v>2083.25</v>
      </c>
      <c r="C2195" s="0" t="n">
        <v>245.17</v>
      </c>
      <c r="D2195" s="3" t="n">
        <f aca="false">B2195*100/B$2</f>
        <v>143.95436579231</v>
      </c>
      <c r="E2195" s="3" t="n">
        <f aca="false">C2195*100/C$2</f>
        <v>104.194645133872</v>
      </c>
      <c r="F2195" s="0" t="n">
        <v>142.257248680174</v>
      </c>
      <c r="G2195" s="0" t="n">
        <v>113.950323440379</v>
      </c>
      <c r="H2195" s="0" t="n">
        <v>102.945176370591</v>
      </c>
      <c r="I2195" s="0" t="n">
        <v>-11.0051470697884</v>
      </c>
    </row>
    <row r="2196" customFormat="false" ht="13.8" hidden="false" customHeight="false" outlineLevel="0" collapsed="false">
      <c r="A2196" s="2" t="n">
        <v>42542</v>
      </c>
      <c r="B2196" s="0" t="n">
        <v>2088.9</v>
      </c>
      <c r="C2196" s="0" t="n">
        <v>245.34</v>
      </c>
      <c r="D2196" s="3" t="n">
        <f aca="false">B2196*100/B$2</f>
        <v>144.344785649133</v>
      </c>
      <c r="E2196" s="3" t="n">
        <f aca="false">C2196*100/C$2</f>
        <v>104.266893327667</v>
      </c>
      <c r="F2196" s="0" t="n">
        <v>144.033140772271</v>
      </c>
      <c r="G2196" s="0" t="n">
        <v>114.54354281444</v>
      </c>
      <c r="H2196" s="0" t="n">
        <v>103.561410964726</v>
      </c>
      <c r="I2196" s="0" t="n">
        <v>-10.9821318497145</v>
      </c>
    </row>
    <row r="2197" customFormat="false" ht="13.8" hidden="false" customHeight="false" outlineLevel="0" collapsed="false">
      <c r="A2197" s="2" t="n">
        <v>42543</v>
      </c>
      <c r="B2197" s="0" t="n">
        <v>2085.45</v>
      </c>
      <c r="C2197" s="0" t="n">
        <v>246.75</v>
      </c>
      <c r="D2197" s="3" t="n">
        <f aca="false">B2197*100/B$2</f>
        <v>144.106387683463</v>
      </c>
      <c r="E2197" s="3" t="n">
        <f aca="false">C2197*100/C$2</f>
        <v>104.866128346791</v>
      </c>
      <c r="F2197" s="0" t="n">
        <v>142.65596064015</v>
      </c>
      <c r="G2197" s="0" t="n">
        <v>114.083509268719</v>
      </c>
      <c r="H2197" s="0" t="n">
        <v>103.302167445814</v>
      </c>
      <c r="I2197" s="0" t="n">
        <v>-10.7813418229051</v>
      </c>
    </row>
    <row r="2198" customFormat="false" ht="13.8" hidden="false" customHeight="false" outlineLevel="0" collapsed="false">
      <c r="A2198" s="2" t="n">
        <v>42544</v>
      </c>
      <c r="B2198" s="0" t="n">
        <v>2113.32</v>
      </c>
      <c r="C2198" s="0" t="n">
        <v>246.31</v>
      </c>
      <c r="D2198" s="3" t="n">
        <f aca="false">B2198*100/B$2</f>
        <v>146.032228640924</v>
      </c>
      <c r="E2198" s="3" t="n">
        <f aca="false">C2198*100/C$2</f>
        <v>104.679133021674</v>
      </c>
      <c r="F2198" s="0" t="n">
        <v>142.631775339285</v>
      </c>
      <c r="G2198" s="0" t="n">
        <v>114.075430405648</v>
      </c>
      <c r="H2198" s="0" t="n">
        <v>102.99192520187</v>
      </c>
      <c r="I2198" s="0" t="n">
        <v>-11.0835052037781</v>
      </c>
    </row>
    <row r="2199" customFormat="false" ht="13.8" hidden="false" customHeight="false" outlineLevel="0" collapsed="false">
      <c r="A2199" s="2" t="n">
        <v>42545</v>
      </c>
      <c r="B2199" s="0" t="n">
        <v>2037.41</v>
      </c>
      <c r="C2199" s="0" t="n">
        <v>239.21</v>
      </c>
      <c r="D2199" s="3" t="n">
        <f aca="false">B2199*100/B$2</f>
        <v>140.786782387573</v>
      </c>
      <c r="E2199" s="3" t="n">
        <f aca="false">C2199*100/C$2</f>
        <v>101.661708457289</v>
      </c>
      <c r="F2199" s="0" t="n">
        <v>141.422510296028</v>
      </c>
      <c r="G2199" s="0" t="n">
        <v>113.671487252104</v>
      </c>
      <c r="H2199" s="0" t="n">
        <v>102.252443688908</v>
      </c>
      <c r="I2199" s="0" t="n">
        <v>-11.4190435631966</v>
      </c>
    </row>
    <row r="2200" customFormat="false" ht="13.8" hidden="false" customHeight="false" outlineLevel="0" collapsed="false">
      <c r="A2200" s="2" t="n">
        <v>42548</v>
      </c>
      <c r="B2200" s="0" t="n">
        <v>2000.54</v>
      </c>
      <c r="C2200" s="0" t="n">
        <v>239.28</v>
      </c>
      <c r="D2200" s="3" t="n">
        <f aca="false">B2200*100/B$2</f>
        <v>138.239033693579</v>
      </c>
      <c r="E2200" s="3" t="n">
        <f aca="false">C2200*100/C$2</f>
        <v>101.691457713557</v>
      </c>
      <c r="F2200" s="0" t="n">
        <v>142.807982531303</v>
      </c>
      <c r="G2200" s="0" t="n">
        <v>114.134290693736</v>
      </c>
      <c r="H2200" s="0" t="n">
        <v>102.345941351466</v>
      </c>
      <c r="I2200" s="0" t="n">
        <v>-11.7883493422697</v>
      </c>
    </row>
    <row r="2201" customFormat="false" ht="13.8" hidden="false" customHeight="false" outlineLevel="0" collapsed="false">
      <c r="A2201" s="2" t="n">
        <v>42549</v>
      </c>
      <c r="B2201" s="0" t="n">
        <v>2036.09</v>
      </c>
      <c r="C2201" s="0" t="n">
        <v>240.08</v>
      </c>
      <c r="D2201" s="3" t="n">
        <f aca="false">B2201*100/B$2</f>
        <v>140.695569252882</v>
      </c>
      <c r="E2201" s="3" t="n">
        <f aca="false">C2201*100/C$2</f>
        <v>102.03144921377</v>
      </c>
      <c r="F2201" s="0" t="n">
        <v>141.463970811797</v>
      </c>
      <c r="G2201" s="0" t="n">
        <v>113.685336731654</v>
      </c>
      <c r="H2201" s="0" t="n">
        <v>102.435189120272</v>
      </c>
      <c r="I2201" s="0" t="n">
        <v>-11.2501476113825</v>
      </c>
    </row>
    <row r="2202" customFormat="false" ht="13.8" hidden="false" customHeight="false" outlineLevel="0" collapsed="false">
      <c r="A2202" s="2" t="n">
        <v>42550</v>
      </c>
      <c r="B2202" s="0" t="n">
        <v>2070.77</v>
      </c>
      <c r="C2202" s="0" t="n">
        <v>242.32</v>
      </c>
      <c r="D2202" s="3" t="n">
        <f aca="false">B2202*100/B$2</f>
        <v>143.091987064319</v>
      </c>
      <c r="E2202" s="3" t="n">
        <f aca="false">C2202*100/C$2</f>
        <v>102.983425414365</v>
      </c>
      <c r="F2202" s="0" t="n">
        <v>141.492993172835</v>
      </c>
      <c r="G2202" s="0" t="n">
        <v>113.69503136734</v>
      </c>
      <c r="H2202" s="0" t="n">
        <v>101.920951976201</v>
      </c>
      <c r="I2202" s="0" t="n">
        <v>-11.774079391139</v>
      </c>
    </row>
    <row r="2203" customFormat="false" ht="13.8" hidden="false" customHeight="false" outlineLevel="0" collapsed="false">
      <c r="A2203" s="2" t="n">
        <v>42551</v>
      </c>
      <c r="B2203" s="0" t="n">
        <v>2098.86</v>
      </c>
      <c r="C2203" s="0" t="n">
        <v>244.14</v>
      </c>
      <c r="D2203" s="3" t="n">
        <f aca="false">B2203*100/B$2</f>
        <v>145.033030210896</v>
      </c>
      <c r="E2203" s="3" t="n">
        <f aca="false">C2203*100/C$2</f>
        <v>103.756906077348</v>
      </c>
      <c r="F2203" s="0" t="n">
        <v>140.96851764836</v>
      </c>
      <c r="G2203" s="0" t="n">
        <v>113.519835451031</v>
      </c>
      <c r="H2203" s="0" t="n">
        <v>101.589460263493</v>
      </c>
      <c r="I2203" s="0" t="n">
        <v>-11.9303751875378</v>
      </c>
    </row>
    <row r="2204" customFormat="false" ht="13.8" hidden="false" customHeight="false" outlineLevel="0" collapsed="false">
      <c r="A2204" s="2" t="n">
        <v>42552</v>
      </c>
      <c r="B2204" s="0" t="n">
        <v>2102.95</v>
      </c>
      <c r="C2204" s="0" t="n">
        <v>246.52</v>
      </c>
      <c r="D2204" s="3" t="n">
        <f aca="false">B2204*100/B$2</f>
        <v>145.31565272672</v>
      </c>
      <c r="E2204" s="3" t="n">
        <f aca="false">C2204*100/C$2</f>
        <v>104.76838079048</v>
      </c>
      <c r="F2204" s="0" t="n">
        <v>141.817076204428</v>
      </c>
      <c r="G2204" s="0" t="n">
        <v>113.803288132489</v>
      </c>
      <c r="H2204" s="0" t="n">
        <v>101.461963450914</v>
      </c>
      <c r="I2204" s="0" t="n">
        <v>-12.3413246815755</v>
      </c>
    </row>
    <row r="2205" customFormat="false" ht="13.8" hidden="false" customHeight="false" outlineLevel="0" collapsed="false">
      <c r="A2205" s="2" t="n">
        <v>42555</v>
      </c>
      <c r="B2205" s="0" t="n">
        <v>2102.95</v>
      </c>
      <c r="C2205" s="0" t="n">
        <v>247.62</v>
      </c>
      <c r="D2205" s="3" t="n">
        <f aca="false">B2205*100/B$2</f>
        <v>145.31565272672</v>
      </c>
      <c r="E2205" s="3" t="n">
        <f aca="false">C2205*100/C$2</f>
        <v>105.235869103272</v>
      </c>
      <c r="F2205" s="0" t="n">
        <v>141.521324525277</v>
      </c>
      <c r="G2205" s="0" t="n">
        <v>113.704495178365</v>
      </c>
      <c r="H2205" s="0" t="n">
        <v>101.933701657459</v>
      </c>
      <c r="I2205" s="0" t="n">
        <v>-11.7707935209069</v>
      </c>
    </row>
    <row r="2206" customFormat="false" ht="13.8" hidden="false" customHeight="false" outlineLevel="0" collapsed="false">
      <c r="A2206" s="2" t="n">
        <v>42556</v>
      </c>
      <c r="B2206" s="0" t="n">
        <v>2088.55</v>
      </c>
      <c r="C2206" s="0" t="n">
        <v>246.91</v>
      </c>
      <c r="D2206" s="3" t="n">
        <f aca="false">B2206*100/B$2</f>
        <v>144.320600348268</v>
      </c>
      <c r="E2206" s="3" t="n">
        <f aca="false">C2206*100/C$2</f>
        <v>104.934126646834</v>
      </c>
      <c r="F2206" s="0" t="n">
        <v>143.457530611681</v>
      </c>
      <c r="G2206" s="0" t="n">
        <v>114.351265873354</v>
      </c>
      <c r="H2206" s="0" t="n">
        <v>100.998725031874</v>
      </c>
      <c r="I2206" s="0" t="n">
        <v>-13.3525408414794</v>
      </c>
    </row>
    <row r="2207" customFormat="false" ht="13.8" hidden="false" customHeight="false" outlineLevel="0" collapsed="false">
      <c r="A2207" s="2" t="n">
        <v>42557</v>
      </c>
      <c r="B2207" s="0" t="n">
        <v>2099.73</v>
      </c>
      <c r="C2207" s="0" t="n">
        <v>241.86</v>
      </c>
      <c r="D2207" s="3" t="n">
        <f aca="false">B2207*100/B$2</f>
        <v>145.093147958761</v>
      </c>
      <c r="E2207" s="3" t="n">
        <f aca="false">C2207*100/C$2</f>
        <v>102.787930301742</v>
      </c>
      <c r="F2207" s="0" t="n">
        <v>144.458111058902</v>
      </c>
      <c r="G2207" s="0" t="n">
        <v>114.685499979829</v>
      </c>
      <c r="H2207" s="0" t="n">
        <v>102.38419039524</v>
      </c>
      <c r="I2207" s="0" t="n">
        <v>-12.3013095845885</v>
      </c>
    </row>
    <row r="2208" customFormat="false" ht="13.8" hidden="false" customHeight="false" outlineLevel="0" collapsed="false">
      <c r="A2208" s="2" t="n">
        <v>42558</v>
      </c>
      <c r="B2208" s="0" t="n">
        <v>2097.9</v>
      </c>
      <c r="C2208" s="0" t="n">
        <v>244.6</v>
      </c>
      <c r="D2208" s="3" t="n">
        <f aca="false">B2208*100/B$2</f>
        <v>144.966693385666</v>
      </c>
      <c r="E2208" s="3" t="n">
        <f aca="false">C2208*100/C$2</f>
        <v>103.95240118997</v>
      </c>
      <c r="F2208" s="0" t="n">
        <v>144.427706680671</v>
      </c>
      <c r="G2208" s="0" t="n">
        <v>114.675343694825</v>
      </c>
      <c r="H2208" s="0" t="n">
        <v>102.243943901402</v>
      </c>
      <c r="I2208" s="0" t="n">
        <v>-12.4313997934228</v>
      </c>
    </row>
    <row r="2209" customFormat="false" ht="13.8" hidden="false" customHeight="false" outlineLevel="0" collapsed="false">
      <c r="A2209" s="2" t="n">
        <v>42559</v>
      </c>
      <c r="B2209" s="0" t="n">
        <v>2129.9</v>
      </c>
      <c r="C2209" s="0" t="n">
        <v>243.43</v>
      </c>
      <c r="D2209" s="3" t="n">
        <f aca="false">B2209*100/B$2</f>
        <v>147.177920893336</v>
      </c>
      <c r="E2209" s="3" t="n">
        <f aca="false">C2209*100/C$2</f>
        <v>103.455163620909</v>
      </c>
      <c r="F2209" s="0" t="n">
        <v>145.046850382819</v>
      </c>
      <c r="G2209" s="0" t="n">
        <v>114.88216258944</v>
      </c>
      <c r="H2209" s="0" t="n">
        <v>102.78368040799</v>
      </c>
      <c r="I2209" s="0" t="n">
        <v>-12.0984821814498</v>
      </c>
    </row>
    <row r="2210" customFormat="false" ht="13.8" hidden="false" customHeight="false" outlineLevel="0" collapsed="false">
      <c r="A2210" s="2" t="n">
        <v>42562</v>
      </c>
      <c r="B2210" s="0" t="n">
        <v>2137.16</v>
      </c>
      <c r="C2210" s="0" t="n">
        <v>246.99</v>
      </c>
      <c r="D2210" s="3" t="n">
        <f aca="false">B2210*100/B$2</f>
        <v>147.679593134139</v>
      </c>
      <c r="E2210" s="3" t="n">
        <f aca="false">C2210*100/C$2</f>
        <v>104.968125796855</v>
      </c>
      <c r="F2210" s="0" t="n">
        <v>145.046850382819</v>
      </c>
      <c r="G2210" s="0" t="n">
        <v>114.88216258944</v>
      </c>
      <c r="H2210" s="0" t="n">
        <v>102.732681682958</v>
      </c>
      <c r="I2210" s="0" t="n">
        <v>-12.1494809064817</v>
      </c>
    </row>
    <row r="2211" customFormat="false" ht="13.8" hidden="false" customHeight="false" outlineLevel="0" collapsed="false">
      <c r="A2211" s="2" t="n">
        <v>42563</v>
      </c>
      <c r="B2211" s="0" t="n">
        <v>2152.14</v>
      </c>
      <c r="C2211" s="0" t="n">
        <v>247.14</v>
      </c>
      <c r="D2211" s="3" t="n">
        <f aca="false">B2211*100/B$2</f>
        <v>148.714724011167</v>
      </c>
      <c r="E2211" s="3" t="n">
        <f aca="false">C2211*100/C$2</f>
        <v>105.031874203145</v>
      </c>
      <c r="F2211" s="0" t="n">
        <v>144.901738577628</v>
      </c>
      <c r="G2211" s="0" t="n">
        <v>114.833689411014</v>
      </c>
      <c r="H2211" s="0" t="n">
        <v>103.540161495963</v>
      </c>
      <c r="I2211" s="0" t="n">
        <v>-11.2935279150518</v>
      </c>
    </row>
    <row r="2212" customFormat="false" ht="13.8" hidden="false" customHeight="false" outlineLevel="0" collapsed="false">
      <c r="A2212" s="2" t="n">
        <v>42564</v>
      </c>
      <c r="B2212" s="0" t="n">
        <v>2152.43</v>
      </c>
      <c r="C2212" s="0" t="n">
        <v>249.25</v>
      </c>
      <c r="D2212" s="3" t="n">
        <f aca="false">B2212*100/B$2</f>
        <v>148.734763260455</v>
      </c>
      <c r="E2212" s="3" t="n">
        <f aca="false">C2212*100/C$2</f>
        <v>105.928601784955</v>
      </c>
      <c r="F2212" s="0" t="n">
        <v>145.065507614915</v>
      </c>
      <c r="G2212" s="0" t="n">
        <v>114.888394855237</v>
      </c>
      <c r="H2212" s="0" t="n">
        <v>103.518912027199</v>
      </c>
      <c r="I2212" s="0" t="n">
        <v>-11.3694828280378</v>
      </c>
    </row>
    <row r="2213" customFormat="false" ht="13.8" hidden="false" customHeight="false" outlineLevel="0" collapsed="false">
      <c r="A2213" s="2" t="n">
        <v>42565</v>
      </c>
      <c r="B2213" s="0" t="n">
        <v>2163.75</v>
      </c>
      <c r="C2213" s="0" t="n">
        <v>249.8</v>
      </c>
      <c r="D2213" s="3" t="n">
        <f aca="false">B2213*100/B$2</f>
        <v>149.516984991293</v>
      </c>
      <c r="E2213" s="3" t="n">
        <f aca="false">C2213*100/C$2</f>
        <v>106.162345941351</v>
      </c>
      <c r="F2213" s="0" t="n">
        <v>145.47527571243</v>
      </c>
      <c r="G2213" s="0" t="n">
        <v>115.025273878124</v>
      </c>
      <c r="H2213" s="0" t="n">
        <v>103.773905652359</v>
      </c>
      <c r="I2213" s="0" t="n">
        <v>-11.2513682257649</v>
      </c>
    </row>
    <row r="2214" customFormat="false" ht="13.8" hidden="false" customHeight="false" outlineLevel="0" collapsed="false">
      <c r="A2214" s="2" t="n">
        <v>42566</v>
      </c>
      <c r="B2214" s="0" t="n">
        <v>2161.74</v>
      </c>
      <c r="C2214" s="0" t="n">
        <v>251.02</v>
      </c>
      <c r="D2214" s="3" t="n">
        <f aca="false">B2214*100/B$2</f>
        <v>149.378092263468</v>
      </c>
      <c r="E2214" s="3" t="n">
        <f aca="false">C2214*100/C$2</f>
        <v>106.680832979176</v>
      </c>
      <c r="F2214" s="0" t="n">
        <v>145.051687442992</v>
      </c>
      <c r="G2214" s="0" t="n">
        <v>114.883778362054</v>
      </c>
      <c r="H2214" s="0" t="n">
        <v>103.863153421164</v>
      </c>
      <c r="I2214" s="0" t="n">
        <v>-11.0206249408893</v>
      </c>
    </row>
    <row r="2215" customFormat="false" ht="13.8" hidden="false" customHeight="false" outlineLevel="0" collapsed="false">
      <c r="A2215" s="2" t="n">
        <v>42569</v>
      </c>
      <c r="B2215" s="0" t="n">
        <v>2166.89</v>
      </c>
      <c r="C2215" s="0" t="n">
        <v>251.52</v>
      </c>
      <c r="D2215" s="3" t="n">
        <f aca="false">B2215*100/B$2</f>
        <v>149.733961690483</v>
      </c>
      <c r="E2215" s="3" t="n">
        <f aca="false">C2215*100/C$2</f>
        <v>106.893327666808</v>
      </c>
      <c r="F2215" s="0" t="n">
        <v>145.762044279831</v>
      </c>
      <c r="G2215" s="0" t="n">
        <v>115.121066111678</v>
      </c>
      <c r="H2215" s="0" t="n">
        <v>103.863153421164</v>
      </c>
      <c r="I2215" s="0" t="n">
        <v>-11.2579126905138</v>
      </c>
    </row>
    <row r="2216" customFormat="false" ht="13.8" hidden="false" customHeight="false" outlineLevel="0" collapsed="false">
      <c r="A2216" s="2" t="n">
        <v>42570</v>
      </c>
      <c r="B2216" s="0" t="n">
        <v>2163.78</v>
      </c>
      <c r="C2216" s="0" t="n">
        <v>250.97</v>
      </c>
      <c r="D2216" s="3" t="n">
        <f aca="false">B2216*100/B$2</f>
        <v>149.519058017082</v>
      </c>
      <c r="E2216" s="3" t="n">
        <f aca="false">C2216*100/C$2</f>
        <v>106.659583510412</v>
      </c>
      <c r="F2216" s="0" t="n">
        <v>145.949998617983</v>
      </c>
      <c r="G2216" s="0" t="n">
        <v>115.183850418972</v>
      </c>
      <c r="H2216" s="0" t="n">
        <v>105.333616659584</v>
      </c>
      <c r="I2216" s="0" t="n">
        <v>-9.85023375938842</v>
      </c>
    </row>
    <row r="2217" customFormat="false" ht="13.8" hidden="false" customHeight="false" outlineLevel="0" collapsed="false">
      <c r="A2217" s="2" t="n">
        <v>42571</v>
      </c>
      <c r="B2217" s="0" t="n">
        <v>2173.02</v>
      </c>
      <c r="C2217" s="0" t="n">
        <v>250.66</v>
      </c>
      <c r="D2217" s="3" t="n">
        <f aca="false">B2217*100/B$2</f>
        <v>150.157549959921</v>
      </c>
      <c r="E2217" s="3" t="n">
        <f aca="false">C2217*100/C$2</f>
        <v>106.52783680408</v>
      </c>
      <c r="F2217" s="0" t="n">
        <v>146.43301362669</v>
      </c>
      <c r="G2217" s="0" t="n">
        <v>115.34519685573</v>
      </c>
      <c r="H2217" s="0" t="n">
        <v>106.264343391415</v>
      </c>
      <c r="I2217" s="0" t="n">
        <v>-9.08085346431501</v>
      </c>
    </row>
    <row r="2218" customFormat="false" ht="13.8" hidden="false" customHeight="false" outlineLevel="0" collapsed="false">
      <c r="A2218" s="2" t="n">
        <v>42572</v>
      </c>
      <c r="B2218" s="0" t="n">
        <v>2165.17</v>
      </c>
      <c r="C2218" s="0" t="n">
        <v>250.44</v>
      </c>
      <c r="D2218" s="3" t="n">
        <f aca="false">B2218*100/B$2</f>
        <v>149.615108211946</v>
      </c>
      <c r="E2218" s="3" t="n">
        <f aca="false">C2218*100/C$2</f>
        <v>106.434339141521</v>
      </c>
      <c r="F2218" s="0" t="n">
        <v>146.181486497692</v>
      </c>
      <c r="G2218" s="0" t="n">
        <v>115.261176679793</v>
      </c>
      <c r="H2218" s="0" t="n">
        <v>106.328091797705</v>
      </c>
      <c r="I2218" s="0" t="n">
        <v>-8.93308488208808</v>
      </c>
    </row>
    <row r="2219" customFormat="false" ht="13.8" hidden="false" customHeight="false" outlineLevel="0" collapsed="false">
      <c r="A2219" s="2" t="n">
        <v>42573</v>
      </c>
      <c r="B2219" s="0" t="n">
        <v>2175.03</v>
      </c>
      <c r="C2219" s="0" t="n">
        <v>250.04</v>
      </c>
      <c r="D2219" s="3" t="n">
        <f aca="false">B2219*100/B$2</f>
        <v>150.296442687747</v>
      </c>
      <c r="E2219" s="3" t="n">
        <f aca="false">C2219*100/C$2</f>
        <v>106.264343391415</v>
      </c>
      <c r="F2219" s="0" t="n">
        <v>144.840238812571</v>
      </c>
      <c r="G2219" s="0" t="n">
        <v>114.813146016348</v>
      </c>
      <c r="H2219" s="0" t="n">
        <v>105.805354866128</v>
      </c>
      <c r="I2219" s="0" t="n">
        <v>-9.00779115022009</v>
      </c>
    </row>
    <row r="2220" customFormat="false" ht="13.8" hidden="false" customHeight="false" outlineLevel="0" collapsed="false">
      <c r="A2220" s="2" t="n">
        <v>42576</v>
      </c>
      <c r="B2220" s="0" t="n">
        <v>2168.48</v>
      </c>
      <c r="C2220" s="0" t="n">
        <v>250.65</v>
      </c>
      <c r="D2220" s="3" t="n">
        <f aca="false">B2220*100/B$2</f>
        <v>149.843832057271</v>
      </c>
      <c r="E2220" s="3" t="n">
        <f aca="false">C2220*100/C$2</f>
        <v>106.523586910327</v>
      </c>
      <c r="F2220" s="0" t="n">
        <v>143.664833190525</v>
      </c>
      <c r="G2220" s="0" t="n">
        <v>114.420513271104</v>
      </c>
      <c r="H2220" s="0" t="n">
        <v>103.718657033574</v>
      </c>
      <c r="I2220" s="0" t="n">
        <v>-10.7018562375298</v>
      </c>
    </row>
    <row r="2221" customFormat="false" ht="13.8" hidden="false" customHeight="false" outlineLevel="0" collapsed="false">
      <c r="A2221" s="2" t="n">
        <v>42577</v>
      </c>
      <c r="B2221" s="0" t="n">
        <v>2169.18</v>
      </c>
      <c r="C2221" s="0" t="n">
        <v>252.72</v>
      </c>
      <c r="D2221" s="3" t="n">
        <f aca="false">B2221*100/B$2</f>
        <v>149.892202659001</v>
      </c>
      <c r="E2221" s="3" t="n">
        <f aca="false">C2221*100/C$2</f>
        <v>107.403314917127</v>
      </c>
      <c r="F2221" s="0" t="n">
        <v>143.406395975566</v>
      </c>
      <c r="G2221" s="0" t="n">
        <v>114.334184848575</v>
      </c>
      <c r="H2221" s="0" t="n">
        <v>103.421164470888</v>
      </c>
      <c r="I2221" s="0" t="n">
        <v>-10.913020377687</v>
      </c>
    </row>
    <row r="2222" customFormat="false" ht="13.8" hidden="false" customHeight="false" outlineLevel="0" collapsed="false">
      <c r="A2222" s="2" t="n">
        <v>42578</v>
      </c>
      <c r="B2222" s="0" t="n">
        <v>2166.58</v>
      </c>
      <c r="C2222" s="0" t="n">
        <v>252.73</v>
      </c>
      <c r="D2222" s="3" t="n">
        <f aca="false">B2222*100/B$2</f>
        <v>149.712540424003</v>
      </c>
      <c r="E2222" s="3" t="n">
        <f aca="false">C2222*100/C$2</f>
        <v>107.40756481088</v>
      </c>
      <c r="F2222" s="0" t="n">
        <v>143.142430691838</v>
      </c>
      <c r="G2222" s="0" t="n">
        <v>114.246009828773</v>
      </c>
      <c r="H2222" s="0" t="n">
        <v>103.399915002125</v>
      </c>
      <c r="I2222" s="0" t="n">
        <v>-10.8460948266482</v>
      </c>
    </row>
    <row r="2223" customFormat="false" ht="13.8" hidden="false" customHeight="false" outlineLevel="0" collapsed="false">
      <c r="A2223" s="2" t="n">
        <v>42579</v>
      </c>
      <c r="B2223" s="0" t="n">
        <v>2170.06</v>
      </c>
      <c r="C2223" s="0" t="n">
        <v>251.86</v>
      </c>
      <c r="D2223" s="3" t="n">
        <f aca="false">B2223*100/B$2</f>
        <v>149.953011415462</v>
      </c>
      <c r="E2223" s="3" t="n">
        <f aca="false">C2223*100/C$2</f>
        <v>107.037824054399</v>
      </c>
      <c r="F2223" s="0" t="n">
        <v>143.590895270737</v>
      </c>
      <c r="G2223" s="0" t="n">
        <v>114.395815032573</v>
      </c>
      <c r="H2223" s="0" t="n">
        <v>102.681682957926</v>
      </c>
      <c r="I2223" s="0" t="n">
        <v>-11.714132074647</v>
      </c>
    </row>
    <row r="2224" customFormat="false" ht="13.8" hidden="false" customHeight="false" outlineLevel="0" collapsed="false">
      <c r="A2224" s="2" t="n">
        <v>42580</v>
      </c>
      <c r="B2224" s="0" t="n">
        <v>2173.6</v>
      </c>
      <c r="C2224" s="0" t="n">
        <v>251.48</v>
      </c>
      <c r="D2224" s="3" t="n">
        <f aca="false">B2224*100/B$2</f>
        <v>150.197628458498</v>
      </c>
      <c r="E2224" s="3" t="n">
        <f aca="false">C2224*100/C$2</f>
        <v>106.876328091798</v>
      </c>
      <c r="F2224" s="0" t="n">
        <v>143.123082451146</v>
      </c>
      <c r="G2224" s="0" t="n">
        <v>114.239546738316</v>
      </c>
      <c r="H2224" s="0" t="n">
        <v>102.690182745431</v>
      </c>
      <c r="I2224" s="0" t="n">
        <v>-11.549363992885</v>
      </c>
    </row>
    <row r="2225" customFormat="false" ht="13.8" hidden="false" customHeight="false" outlineLevel="0" collapsed="false">
      <c r="A2225" s="2" t="n">
        <v>42583</v>
      </c>
      <c r="B2225" s="0" t="n">
        <v>2170.84</v>
      </c>
      <c r="C2225" s="0" t="n">
        <v>253.81</v>
      </c>
      <c r="D2225" s="3" t="n">
        <f aca="false">B2225*100/B$2</f>
        <v>150.006910085961</v>
      </c>
      <c r="E2225" s="3" t="n">
        <f aca="false">C2225*100/C$2</f>
        <v>107.866553336167</v>
      </c>
      <c r="F2225" s="0" t="n">
        <v>143.95436579231</v>
      </c>
      <c r="G2225" s="0" t="n">
        <v>114.517228803295</v>
      </c>
      <c r="H2225" s="0" t="n">
        <v>104.194645133872</v>
      </c>
      <c r="I2225" s="0" t="n">
        <v>-10.3225836694236</v>
      </c>
    </row>
    <row r="2226" customFormat="false" ht="13.8" hidden="false" customHeight="false" outlineLevel="0" collapsed="false">
      <c r="A2226" s="2" t="n">
        <v>42584</v>
      </c>
      <c r="B2226" s="0" t="n">
        <v>2157.03</v>
      </c>
      <c r="C2226" s="0" t="n">
        <v>251.93</v>
      </c>
      <c r="D2226" s="3" t="n">
        <f aca="false">B2226*100/B$2</f>
        <v>149.052627214683</v>
      </c>
      <c r="E2226" s="3" t="n">
        <f aca="false">C2226*100/C$2</f>
        <v>107.067573310667</v>
      </c>
      <c r="F2226" s="0" t="n">
        <v>144.344785649133</v>
      </c>
      <c r="G2226" s="0" t="n">
        <v>114.647644735725</v>
      </c>
      <c r="H2226" s="0" t="n">
        <v>104.266893327667</v>
      </c>
      <c r="I2226" s="0" t="n">
        <v>-10.3807514080583</v>
      </c>
    </row>
    <row r="2227" customFormat="false" ht="13.8" hidden="false" customHeight="false" outlineLevel="0" collapsed="false">
      <c r="A2227" s="2" t="n">
        <v>42585</v>
      </c>
      <c r="B2227" s="0" t="n">
        <v>2163.79</v>
      </c>
      <c r="C2227" s="0" t="n">
        <v>248.65</v>
      </c>
      <c r="D2227" s="3" t="n">
        <f aca="false">B2227*100/B$2</f>
        <v>149.519749025678</v>
      </c>
      <c r="E2227" s="3" t="n">
        <f aca="false">C2227*100/C$2</f>
        <v>105.673608159796</v>
      </c>
      <c r="F2227" s="0" t="n">
        <v>144.106387683463</v>
      </c>
      <c r="G2227" s="0" t="n">
        <v>114.568010228312</v>
      </c>
      <c r="H2227" s="0" t="n">
        <v>104.866128346791</v>
      </c>
      <c r="I2227" s="0" t="n">
        <v>-9.70188188152086</v>
      </c>
    </row>
    <row r="2228" customFormat="false" ht="13.8" hidden="false" customHeight="false" outlineLevel="0" collapsed="false">
      <c r="A2228" s="2" t="n">
        <v>42586</v>
      </c>
      <c r="B2228" s="0" t="n">
        <v>2164.25</v>
      </c>
      <c r="C2228" s="0" t="n">
        <v>249.24</v>
      </c>
      <c r="D2228" s="3" t="n">
        <f aca="false">B2228*100/B$2</f>
        <v>149.551535421101</v>
      </c>
      <c r="E2228" s="3" t="n">
        <f aca="false">C2228*100/C$2</f>
        <v>105.924351891203</v>
      </c>
      <c r="F2228" s="0" t="n">
        <v>146.032228640924</v>
      </c>
      <c r="G2228" s="0" t="n">
        <v>115.211318553413</v>
      </c>
      <c r="H2228" s="0" t="n">
        <v>104.679133021674</v>
      </c>
      <c r="I2228" s="0" t="n">
        <v>-10.5321855317384</v>
      </c>
    </row>
    <row r="2229" customFormat="false" ht="13.8" hidden="false" customHeight="false" outlineLevel="0" collapsed="false">
      <c r="A2229" s="2" t="n">
        <v>42587</v>
      </c>
      <c r="B2229" s="0" t="n">
        <v>2182.87</v>
      </c>
      <c r="C2229" s="0" t="n">
        <v>252.36</v>
      </c>
      <c r="D2229" s="3" t="n">
        <f aca="false">B2229*100/B$2</f>
        <v>150.838193427126</v>
      </c>
      <c r="E2229" s="3" t="n">
        <f aca="false">C2229*100/C$2</f>
        <v>107.250318742031</v>
      </c>
      <c r="F2229" s="0" t="n">
        <v>140.786782387573</v>
      </c>
      <c r="G2229" s="0" t="n">
        <v>113.45912856567</v>
      </c>
      <c r="H2229" s="0" t="n">
        <v>101.661708457289</v>
      </c>
      <c r="I2229" s="0" t="n">
        <v>-11.7974201083815</v>
      </c>
    </row>
    <row r="2230" customFormat="false" ht="13.8" hidden="false" customHeight="false" outlineLevel="0" collapsed="false">
      <c r="A2230" s="2" t="n">
        <v>42590</v>
      </c>
      <c r="B2230" s="0" t="n">
        <v>2180.89</v>
      </c>
      <c r="C2230" s="0" t="n">
        <v>254.11</v>
      </c>
      <c r="D2230" s="3" t="n">
        <f aca="false">B2230*100/B$2</f>
        <v>150.701373725089</v>
      </c>
      <c r="E2230" s="3" t="n">
        <f aca="false">C2230*100/C$2</f>
        <v>107.994050148746</v>
      </c>
      <c r="F2230" s="0" t="n">
        <v>138.239033693579</v>
      </c>
      <c r="G2230" s="0" t="n">
        <v>112.608078047318</v>
      </c>
      <c r="H2230" s="0" t="n">
        <v>101.691457713557</v>
      </c>
      <c r="I2230" s="0" t="n">
        <v>-10.9166203337612</v>
      </c>
    </row>
    <row r="2231" customFormat="false" ht="13.8" hidden="false" customHeight="false" outlineLevel="0" collapsed="false">
      <c r="A2231" s="2" t="n">
        <v>42591</v>
      </c>
      <c r="B2231" s="0" t="n">
        <v>2181.74</v>
      </c>
      <c r="C2231" s="0" t="n">
        <v>255.85</v>
      </c>
      <c r="D2231" s="3" t="n">
        <f aca="false">B2231*100/B$2</f>
        <v>150.760109455762</v>
      </c>
      <c r="E2231" s="3" t="n">
        <f aca="false">C2231*100/C$2</f>
        <v>108.733531661708</v>
      </c>
      <c r="F2231" s="0" t="n">
        <v>140.695569252882</v>
      </c>
      <c r="G2231" s="0" t="n">
        <v>113.42865971066</v>
      </c>
      <c r="H2231" s="0" t="n">
        <v>102.03144921377</v>
      </c>
      <c r="I2231" s="0" t="n">
        <v>-11.3972104968902</v>
      </c>
    </row>
    <row r="2232" customFormat="false" ht="13.8" hidden="false" customHeight="false" outlineLevel="0" collapsed="false">
      <c r="A2232" s="2" t="n">
        <v>42592</v>
      </c>
      <c r="B2232" s="0" t="n">
        <v>2175.49</v>
      </c>
      <c r="C2232" s="0" t="n">
        <v>255.43</v>
      </c>
      <c r="D2232" s="3" t="n">
        <f aca="false">B2232*100/B$2</f>
        <v>150.32822908317</v>
      </c>
      <c r="E2232" s="3" t="n">
        <f aca="false">C2232*100/C$2</f>
        <v>108.555036124097</v>
      </c>
      <c r="F2232" s="0" t="n">
        <v>143.091987064319</v>
      </c>
      <c r="G2232" s="0" t="n">
        <v>114.229159628654</v>
      </c>
      <c r="H2232" s="0" t="n">
        <v>102.983425414365</v>
      </c>
      <c r="I2232" s="0" t="n">
        <v>-11.2457342142892</v>
      </c>
    </row>
    <row r="2233" customFormat="false" ht="13.8" hidden="false" customHeight="false" outlineLevel="0" collapsed="false">
      <c r="A2233" s="2" t="n">
        <v>42593</v>
      </c>
      <c r="B2233" s="0" t="n">
        <v>2185.79</v>
      </c>
      <c r="C2233" s="0" t="n">
        <v>256.18</v>
      </c>
      <c r="D2233" s="3" t="n">
        <f aca="false">B2233*100/B$2</f>
        <v>151.039967937201</v>
      </c>
      <c r="E2233" s="3" t="n">
        <f aca="false">C2233*100/C$2</f>
        <v>108.873778155546</v>
      </c>
      <c r="F2233" s="0" t="n">
        <v>145.033030210896</v>
      </c>
      <c r="G2233" s="0" t="n">
        <v>114.877546096256</v>
      </c>
      <c r="H2233" s="0" t="n">
        <v>103.756906077348</v>
      </c>
      <c r="I2233" s="0" t="n">
        <v>-11.1206400189082</v>
      </c>
    </row>
    <row r="2234" customFormat="false" ht="13.8" hidden="false" customHeight="false" outlineLevel="0" collapsed="false">
      <c r="A2234" s="2" t="n">
        <v>42594</v>
      </c>
      <c r="B2234" s="0" t="n">
        <v>2184.05</v>
      </c>
      <c r="C2234" s="0" t="n">
        <v>256.17</v>
      </c>
      <c r="D2234" s="3" t="n">
        <f aca="false">B2234*100/B$2</f>
        <v>150.919732441472</v>
      </c>
      <c r="E2234" s="3" t="n">
        <f aca="false">C2234*100/C$2</f>
        <v>108.869528261793</v>
      </c>
      <c r="F2234" s="0" t="n">
        <v>145.31565272672</v>
      </c>
      <c r="G2234" s="0" t="n">
        <v>114.971953381856</v>
      </c>
      <c r="H2234" s="0" t="n">
        <v>104.76838079048</v>
      </c>
      <c r="I2234" s="0" t="n">
        <v>-10.2035725913756</v>
      </c>
    </row>
    <row r="2235" customFormat="false" ht="13.8" hidden="false" customHeight="false" outlineLevel="0" collapsed="false">
      <c r="A2235" s="2" t="n">
        <v>42597</v>
      </c>
      <c r="B2235" s="0" t="n">
        <v>2190.15</v>
      </c>
      <c r="C2235" s="0" t="n">
        <v>256.17</v>
      </c>
      <c r="D2235" s="3" t="n">
        <f aca="false">B2235*100/B$2</f>
        <v>151.341247685121</v>
      </c>
      <c r="E2235" s="3" t="n">
        <f aca="false">C2235*100/C$2</f>
        <v>108.869528261793</v>
      </c>
      <c r="F2235" s="0" t="n">
        <v>145.31565272672</v>
      </c>
      <c r="G2235" s="0" t="n">
        <v>114.971953381856</v>
      </c>
      <c r="H2235" s="0" t="n">
        <v>105.235869103272</v>
      </c>
      <c r="I2235" s="0" t="n">
        <v>-9.73608427858346</v>
      </c>
    </row>
    <row r="2236" customFormat="false" ht="13.8" hidden="false" customHeight="false" outlineLevel="0" collapsed="false">
      <c r="A2236" s="2" t="n">
        <v>42598</v>
      </c>
      <c r="B2236" s="0" t="n">
        <v>2178.15</v>
      </c>
      <c r="C2236" s="0" t="n">
        <v>256.15</v>
      </c>
      <c r="D2236" s="3" t="n">
        <f aca="false">B2236*100/B$2</f>
        <v>150.512037369745</v>
      </c>
      <c r="E2236" s="3" t="n">
        <f aca="false">C2236*100/C$2</f>
        <v>108.861028474288</v>
      </c>
      <c r="F2236" s="0" t="n">
        <v>144.320600348268</v>
      </c>
      <c r="G2236" s="0" t="n">
        <v>114.639565872654</v>
      </c>
      <c r="H2236" s="0" t="n">
        <v>104.934126646834</v>
      </c>
      <c r="I2236" s="0" t="n">
        <v>-9.70543922582041</v>
      </c>
    </row>
    <row r="2237" customFormat="false" ht="13.8" hidden="false" customHeight="false" outlineLevel="0" collapsed="false">
      <c r="A2237" s="2" t="n">
        <v>42599</v>
      </c>
      <c r="B2237" s="0" t="n">
        <v>2182.22</v>
      </c>
      <c r="C2237" s="0" t="n">
        <v>256.04</v>
      </c>
      <c r="D2237" s="3" t="n">
        <f aca="false">B2237*100/B$2</f>
        <v>150.793277868377</v>
      </c>
      <c r="E2237" s="3" t="n">
        <f aca="false">C2237*100/C$2</f>
        <v>108.814279643009</v>
      </c>
      <c r="F2237" s="0" t="n">
        <v>145.093147958761</v>
      </c>
      <c r="G2237" s="0" t="n">
        <v>114.897627841604</v>
      </c>
      <c r="H2237" s="0" t="n">
        <v>102.787930301742</v>
      </c>
      <c r="I2237" s="0" t="n">
        <v>-12.1096975398614</v>
      </c>
    </row>
    <row r="2238" customFormat="false" ht="13.8" hidden="false" customHeight="false" outlineLevel="0" collapsed="false">
      <c r="A2238" s="2" t="n">
        <v>42600</v>
      </c>
      <c r="B2238" s="0" t="n">
        <v>2187.02</v>
      </c>
      <c r="C2238" s="0" t="n">
        <v>258.11</v>
      </c>
      <c r="D2238" s="3" t="n">
        <f aca="false">B2238*100/B$2</f>
        <v>151.124961994527</v>
      </c>
      <c r="E2238" s="3" t="n">
        <f aca="false">C2238*100/C$2</f>
        <v>109.694007649809</v>
      </c>
      <c r="F2238" s="0" t="n">
        <v>144.966693385666</v>
      </c>
      <c r="G2238" s="0" t="n">
        <v>114.855386928976</v>
      </c>
      <c r="H2238" s="0" t="n">
        <v>103.95240118997</v>
      </c>
      <c r="I2238" s="0" t="n">
        <v>-10.9029857390059</v>
      </c>
    </row>
    <row r="2239" customFormat="false" ht="13.8" hidden="false" customHeight="false" outlineLevel="0" collapsed="false">
      <c r="A2239" s="2" t="n">
        <v>42601</v>
      </c>
      <c r="B2239" s="0" t="n">
        <v>2183.87</v>
      </c>
      <c r="C2239" s="0" t="n">
        <v>258.69</v>
      </c>
      <c r="D2239" s="3" t="n">
        <f aca="false">B2239*100/B$2</f>
        <v>150.907294286741</v>
      </c>
      <c r="E2239" s="3" t="n">
        <f aca="false">C2239*100/C$2</f>
        <v>109.940501487463</v>
      </c>
      <c r="F2239" s="0" t="n">
        <v>147.177920893336</v>
      </c>
      <c r="G2239" s="0" t="n">
        <v>115.594025838313</v>
      </c>
      <c r="H2239" s="0" t="n">
        <v>103.455163620909</v>
      </c>
      <c r="I2239" s="0" t="n">
        <v>-12.1388622174037</v>
      </c>
    </row>
    <row r="2240" customFormat="false" ht="13.8" hidden="false" customHeight="false" outlineLevel="0" collapsed="false">
      <c r="A2240" s="2" t="n">
        <v>42604</v>
      </c>
      <c r="B2240" s="0" t="n">
        <v>2182.64</v>
      </c>
      <c r="C2240" s="0" t="n">
        <v>257.27</v>
      </c>
      <c r="D2240" s="3" t="n">
        <f aca="false">B2240*100/B$2</f>
        <v>150.822300229415</v>
      </c>
      <c r="E2240" s="3" t="n">
        <f aca="false">C2240*100/C$2</f>
        <v>109.337016574586</v>
      </c>
      <c r="F2240" s="0" t="n">
        <v>147.679593134139</v>
      </c>
      <c r="G2240" s="0" t="n">
        <v>115.761604540869</v>
      </c>
      <c r="H2240" s="0" t="n">
        <v>104.968125796855</v>
      </c>
      <c r="I2240" s="0" t="n">
        <v>-10.7934787440139</v>
      </c>
    </row>
    <row r="2241" customFormat="false" ht="13.8" hidden="false" customHeight="false" outlineLevel="0" collapsed="false">
      <c r="A2241" s="2" t="n">
        <v>42605</v>
      </c>
      <c r="B2241" s="0" t="n">
        <v>2186.9</v>
      </c>
      <c r="C2241" s="0" t="n">
        <v>258.42</v>
      </c>
      <c r="D2241" s="3" t="n">
        <f aca="false">B2241*100/B$2</f>
        <v>151.116669891373</v>
      </c>
      <c r="E2241" s="3" t="n">
        <f aca="false">C2241*100/C$2</f>
        <v>109.825754356141</v>
      </c>
      <c r="F2241" s="0" t="n">
        <v>148.714724011167</v>
      </c>
      <c r="G2241" s="0" t="n">
        <v>116.107379880302</v>
      </c>
      <c r="H2241" s="0" t="n">
        <v>105.031874203145</v>
      </c>
      <c r="I2241" s="0" t="n">
        <v>-11.0755056771574</v>
      </c>
    </row>
    <row r="2242" customFormat="false" ht="13.8" hidden="false" customHeight="false" outlineLevel="0" collapsed="false">
      <c r="A2242" s="2" t="n">
        <v>42606</v>
      </c>
      <c r="B2242" s="0" t="n">
        <v>2175.44</v>
      </c>
      <c r="C2242" s="0" t="n">
        <v>257.3</v>
      </c>
      <c r="D2242" s="3" t="n">
        <f aca="false">B2242*100/B$2</f>
        <v>150.324774040189</v>
      </c>
      <c r="E2242" s="3" t="n">
        <f aca="false">C2242*100/C$2</f>
        <v>109.349766255844</v>
      </c>
      <c r="F2242" s="0" t="n">
        <v>148.734763260455</v>
      </c>
      <c r="G2242" s="0" t="n">
        <v>116.114073795418</v>
      </c>
      <c r="H2242" s="0" t="n">
        <v>105.928601784955</v>
      </c>
      <c r="I2242" s="0" t="n">
        <v>-10.1854720104628</v>
      </c>
    </row>
    <row r="2243" customFormat="false" ht="13.8" hidden="false" customHeight="false" outlineLevel="0" collapsed="false">
      <c r="A2243" s="2" t="n">
        <v>42607</v>
      </c>
      <c r="B2243" s="0" t="n">
        <v>2172.47</v>
      </c>
      <c r="C2243" s="0" t="n">
        <v>257.26</v>
      </c>
      <c r="D2243" s="3" t="n">
        <f aca="false">B2243*100/B$2</f>
        <v>150.119544487133</v>
      </c>
      <c r="E2243" s="3" t="n">
        <f aca="false">C2243*100/C$2</f>
        <v>109.332766680833</v>
      </c>
      <c r="F2243" s="0" t="n">
        <v>149.516984991293</v>
      </c>
      <c r="G2243" s="0" t="n">
        <v>116.375367309596</v>
      </c>
      <c r="H2243" s="0" t="n">
        <v>106.162345941351</v>
      </c>
      <c r="I2243" s="0" t="n">
        <v>-10.2130213682447</v>
      </c>
    </row>
    <row r="2244" customFormat="false" ht="13.8" hidden="false" customHeight="false" outlineLevel="0" collapsed="false">
      <c r="A2244" s="2" t="n">
        <v>42608</v>
      </c>
      <c r="B2244" s="0" t="n">
        <v>2169.04</v>
      </c>
      <c r="C2244" s="0" t="n">
        <v>256.23</v>
      </c>
      <c r="D2244" s="3" t="n">
        <f aca="false">B2244*100/B$2</f>
        <v>149.882528538655</v>
      </c>
      <c r="E2244" s="3" t="n">
        <f aca="false">C2244*100/C$2</f>
        <v>108.895027624309</v>
      </c>
      <c r="F2244" s="0" t="n">
        <v>149.378092263468</v>
      </c>
      <c r="G2244" s="0" t="n">
        <v>116.328971553103</v>
      </c>
      <c r="H2244" s="0" t="n">
        <v>106.680832979176</v>
      </c>
      <c r="I2244" s="0" t="n">
        <v>-9.64813857392791</v>
      </c>
    </row>
    <row r="2245" customFormat="false" ht="13.8" hidden="false" customHeight="false" outlineLevel="0" collapsed="false">
      <c r="A2245" s="2" t="n">
        <v>42611</v>
      </c>
      <c r="B2245" s="0" t="n">
        <v>2180.38</v>
      </c>
      <c r="C2245" s="0" t="n">
        <v>256.49</v>
      </c>
      <c r="D2245" s="3" t="n">
        <f aca="false">B2245*100/B$2</f>
        <v>150.666132286686</v>
      </c>
      <c r="E2245" s="3" t="n">
        <f aca="false">C2245*100/C$2</f>
        <v>109.005524861878</v>
      </c>
      <c r="F2245" s="0" t="n">
        <v>149.733961690483</v>
      </c>
      <c r="G2245" s="0" t="n">
        <v>116.447846252575</v>
      </c>
      <c r="H2245" s="0" t="n">
        <v>106.893327666808</v>
      </c>
      <c r="I2245" s="0" t="n">
        <v>-9.55451858576654</v>
      </c>
    </row>
    <row r="2246" customFormat="false" ht="13.8" hidden="false" customHeight="false" outlineLevel="0" collapsed="false">
      <c r="A2246" s="2" t="n">
        <v>42612</v>
      </c>
      <c r="B2246" s="0" t="n">
        <v>2176.12</v>
      </c>
      <c r="C2246" s="0" t="n">
        <v>257.49</v>
      </c>
      <c r="D2246" s="3" t="n">
        <f aca="false">B2246*100/B$2</f>
        <v>150.371762624727</v>
      </c>
      <c r="E2246" s="3" t="n">
        <f aca="false">C2246*100/C$2</f>
        <v>109.430514237144</v>
      </c>
      <c r="F2246" s="0" t="n">
        <v>149.519058017082</v>
      </c>
      <c r="G2246" s="0" t="n">
        <v>116.376059783574</v>
      </c>
      <c r="H2246" s="0" t="n">
        <v>106.659583510412</v>
      </c>
      <c r="I2246" s="0" t="n">
        <v>-9.71647627316145</v>
      </c>
    </row>
    <row r="2247" customFormat="false" ht="13.8" hidden="false" customHeight="false" outlineLevel="0" collapsed="false">
      <c r="A2247" s="2" t="n">
        <v>42613</v>
      </c>
      <c r="B2247" s="0" t="n">
        <v>2170.95</v>
      </c>
      <c r="C2247" s="0" t="n">
        <v>256.87</v>
      </c>
      <c r="D2247" s="3" t="n">
        <f aca="false">B2247*100/B$2</f>
        <v>150.014511180519</v>
      </c>
      <c r="E2247" s="3" t="n">
        <f aca="false">C2247*100/C$2</f>
        <v>109.167020824479</v>
      </c>
      <c r="F2247" s="0" t="n">
        <v>150.157549959921</v>
      </c>
      <c r="G2247" s="0" t="n">
        <v>116.589341768645</v>
      </c>
      <c r="H2247" s="0" t="n">
        <v>106.52783680408</v>
      </c>
      <c r="I2247" s="0" t="n">
        <v>-10.0615049645648</v>
      </c>
    </row>
    <row r="2248" customFormat="false" ht="13.8" hidden="false" customHeight="false" outlineLevel="0" collapsed="false">
      <c r="A2248" s="2" t="n">
        <v>42614</v>
      </c>
      <c r="B2248" s="0" t="n">
        <v>2170.86</v>
      </c>
      <c r="C2248" s="0" t="n">
        <v>256.03</v>
      </c>
      <c r="D2248" s="3" t="n">
        <f aca="false">B2248*100/B$2</f>
        <v>150.008292103154</v>
      </c>
      <c r="E2248" s="3" t="n">
        <f aca="false">C2248*100/C$2</f>
        <v>108.810029749256</v>
      </c>
      <c r="F2248" s="0" t="n">
        <v>149.615108211946</v>
      </c>
      <c r="G2248" s="0" t="n">
        <v>116.408144411198</v>
      </c>
      <c r="H2248" s="0" t="n">
        <v>106.434339141521</v>
      </c>
      <c r="I2248" s="0" t="n">
        <v>-9.97380526967653</v>
      </c>
    </row>
    <row r="2249" customFormat="false" ht="13.8" hidden="false" customHeight="false" outlineLevel="0" collapsed="false">
      <c r="A2249" s="2" t="n">
        <v>42615</v>
      </c>
      <c r="B2249" s="0" t="n">
        <v>2179.98</v>
      </c>
      <c r="C2249" s="0" t="n">
        <v>256.5</v>
      </c>
      <c r="D2249" s="3" t="n">
        <f aca="false">B2249*100/B$2</f>
        <v>150.63849194284</v>
      </c>
      <c r="E2249" s="3" t="n">
        <f aca="false">C2249*100/C$2</f>
        <v>109.009774755631</v>
      </c>
      <c r="F2249" s="0" t="n">
        <v>150.296442687747</v>
      </c>
      <c r="G2249" s="0" t="n">
        <v>116.635737525137</v>
      </c>
      <c r="H2249" s="0" t="n">
        <v>106.264343391415</v>
      </c>
      <c r="I2249" s="0" t="n">
        <v>-10.3713941337223</v>
      </c>
    </row>
    <row r="2250" customFormat="false" ht="13.8" hidden="false" customHeight="false" outlineLevel="0" collapsed="false">
      <c r="A2250" s="2" t="n">
        <v>42618</v>
      </c>
      <c r="B2250" s="0" t="n">
        <v>2179.98</v>
      </c>
      <c r="C2250" s="0" t="n">
        <v>259.64</v>
      </c>
      <c r="D2250" s="3" t="n">
        <f aca="false">B2250*100/B$2</f>
        <v>150.63849194284</v>
      </c>
      <c r="E2250" s="3" t="n">
        <f aca="false">C2250*100/C$2</f>
        <v>110.344241393965</v>
      </c>
      <c r="F2250" s="0" t="n">
        <v>149.843832057271</v>
      </c>
      <c r="G2250" s="0" t="n">
        <v>116.484547373383</v>
      </c>
      <c r="H2250" s="0" t="n">
        <v>106.523586910327</v>
      </c>
      <c r="I2250" s="0" t="n">
        <v>-9.96096046305532</v>
      </c>
    </row>
    <row r="2251" customFormat="false" ht="13.8" hidden="false" customHeight="false" outlineLevel="0" collapsed="false">
      <c r="A2251" s="2" t="n">
        <v>42619</v>
      </c>
      <c r="B2251" s="0" t="n">
        <v>2186.48</v>
      </c>
      <c r="C2251" s="0" t="n">
        <v>260.93</v>
      </c>
      <c r="D2251" s="3" t="n">
        <f aca="false">B2251*100/B$2</f>
        <v>151.087647530335</v>
      </c>
      <c r="E2251" s="3" t="n">
        <f aca="false">C2251*100/C$2</f>
        <v>110.892477688058</v>
      </c>
      <c r="F2251" s="0" t="n">
        <v>149.892202659001</v>
      </c>
      <c r="G2251" s="0" t="n">
        <v>116.500705099524</v>
      </c>
      <c r="H2251" s="0" t="n">
        <v>107.403314917127</v>
      </c>
      <c r="I2251" s="0" t="n">
        <v>-9.09739018239722</v>
      </c>
    </row>
    <row r="2252" customFormat="false" ht="13.8" hidden="false" customHeight="false" outlineLevel="0" collapsed="false">
      <c r="A2252" s="2" t="n">
        <v>42620</v>
      </c>
      <c r="B2252" s="0" t="n">
        <v>2186.16</v>
      </c>
      <c r="C2252" s="0" t="n">
        <v>260.31</v>
      </c>
      <c r="D2252" s="3" t="n">
        <f aca="false">B2252*100/B$2</f>
        <v>151.065535255259</v>
      </c>
      <c r="E2252" s="3" t="n">
        <f aca="false">C2252*100/C$2</f>
        <v>110.628984275393</v>
      </c>
      <c r="F2252" s="0" t="n">
        <v>149.712540424003</v>
      </c>
      <c r="G2252" s="0" t="n">
        <v>116.440690688141</v>
      </c>
      <c r="H2252" s="0" t="n">
        <v>107.40756481088</v>
      </c>
      <c r="I2252" s="0" t="n">
        <v>-9.03312587726094</v>
      </c>
    </row>
    <row r="2253" customFormat="false" ht="13.8" hidden="false" customHeight="false" outlineLevel="0" collapsed="false">
      <c r="A2253" s="2" t="n">
        <v>42621</v>
      </c>
      <c r="B2253" s="0" t="n">
        <v>2181.3</v>
      </c>
      <c r="C2253" s="0" t="n">
        <v>260.86</v>
      </c>
      <c r="D2253" s="3" t="n">
        <f aca="false">B2253*100/B$2</f>
        <v>150.729705077531</v>
      </c>
      <c r="E2253" s="3" t="n">
        <f aca="false">C2253*100/C$2</f>
        <v>110.862728431789</v>
      </c>
      <c r="F2253" s="0" t="n">
        <v>149.953011415462</v>
      </c>
      <c r="G2253" s="0" t="n">
        <v>116.521017669531</v>
      </c>
      <c r="H2253" s="0" t="n">
        <v>107.037824054399</v>
      </c>
      <c r="I2253" s="0" t="n">
        <v>-9.48319361513242</v>
      </c>
    </row>
    <row r="2254" customFormat="false" ht="13.8" hidden="false" customHeight="false" outlineLevel="0" collapsed="false">
      <c r="A2254" s="2" t="n">
        <v>42622</v>
      </c>
      <c r="B2254" s="0" t="n">
        <v>2127.81</v>
      </c>
      <c r="C2254" s="0" t="n">
        <v>257.31</v>
      </c>
      <c r="D2254" s="3" t="n">
        <f aca="false">B2254*100/B$2</f>
        <v>147.033500096741</v>
      </c>
      <c r="E2254" s="3" t="n">
        <f aca="false">C2254*100/C$2</f>
        <v>109.354016149596</v>
      </c>
      <c r="F2254" s="0" t="n">
        <v>150.197628458498</v>
      </c>
      <c r="G2254" s="0" t="n">
        <v>116.602729598876</v>
      </c>
      <c r="H2254" s="0" t="n">
        <v>106.876328091798</v>
      </c>
      <c r="I2254" s="0" t="n">
        <v>-9.72640150707876</v>
      </c>
    </row>
    <row r="2255" customFormat="false" ht="13.8" hidden="false" customHeight="false" outlineLevel="0" collapsed="false">
      <c r="A2255" s="2" t="n">
        <v>42625</v>
      </c>
      <c r="B2255" s="0" t="n">
        <v>2159.04</v>
      </c>
      <c r="C2255" s="0" t="n">
        <v>250.53</v>
      </c>
      <c r="D2255" s="3" t="n">
        <f aca="false">B2255*100/B$2</f>
        <v>149.191519942508</v>
      </c>
      <c r="E2255" s="3" t="n">
        <f aca="false">C2255*100/C$2</f>
        <v>106.472588185295</v>
      </c>
      <c r="F2255" s="0" t="n">
        <v>150.006910085961</v>
      </c>
      <c r="G2255" s="0" t="n">
        <v>116.539021992946</v>
      </c>
      <c r="H2255" s="0" t="n">
        <v>107.866553336167</v>
      </c>
      <c r="I2255" s="0" t="n">
        <v>-8.67246865677956</v>
      </c>
    </row>
    <row r="2256" customFormat="false" ht="13.8" hidden="false" customHeight="false" outlineLevel="0" collapsed="false">
      <c r="A2256" s="2" t="n">
        <v>42626</v>
      </c>
      <c r="B2256" s="0" t="n">
        <v>2127.02</v>
      </c>
      <c r="C2256" s="0" t="n">
        <v>251.77</v>
      </c>
      <c r="D2256" s="3" t="n">
        <f aca="false">B2256*100/B$2</f>
        <v>146.978910417646</v>
      </c>
      <c r="E2256" s="3" t="n">
        <f aca="false">C2256*100/C$2</f>
        <v>106.999575010625</v>
      </c>
      <c r="F2256" s="0" t="n">
        <v>149.052627214683</v>
      </c>
      <c r="G2256" s="0" t="n">
        <v>116.220253138635</v>
      </c>
      <c r="H2256" s="0" t="n">
        <v>107.067573310667</v>
      </c>
      <c r="I2256" s="0" t="n">
        <v>-9.15267982796817</v>
      </c>
    </row>
    <row r="2257" customFormat="false" ht="13.8" hidden="false" customHeight="false" outlineLevel="0" collapsed="false">
      <c r="A2257" s="2" t="n">
        <v>42627</v>
      </c>
      <c r="B2257" s="0" t="n">
        <v>2125.77</v>
      </c>
      <c r="C2257" s="0" t="n">
        <v>251.77</v>
      </c>
      <c r="D2257" s="3" t="n">
        <f aca="false">B2257*100/B$2</f>
        <v>146.892534343127</v>
      </c>
      <c r="E2257" s="3" t="n">
        <f aca="false">C2257*100/C$2</f>
        <v>106.999575010625</v>
      </c>
      <c r="F2257" s="0" t="n">
        <v>149.519749025678</v>
      </c>
      <c r="G2257" s="0" t="n">
        <v>116.376290608233</v>
      </c>
      <c r="H2257" s="0" t="n">
        <v>105.673608159796</v>
      </c>
      <c r="I2257" s="0" t="n">
        <v>-10.7026824484368</v>
      </c>
    </row>
    <row r="2258" customFormat="false" ht="13.8" hidden="false" customHeight="false" outlineLevel="0" collapsed="false">
      <c r="A2258" s="2" t="n">
        <v>42628</v>
      </c>
      <c r="B2258" s="0" t="n">
        <v>2147.26</v>
      </c>
      <c r="C2258" s="0" t="n">
        <v>251.77</v>
      </c>
      <c r="D2258" s="3" t="n">
        <f aca="false">B2258*100/B$2</f>
        <v>148.377511816247</v>
      </c>
      <c r="E2258" s="3" t="n">
        <f aca="false">C2258*100/C$2</f>
        <v>106.999575010625</v>
      </c>
      <c r="F2258" s="0" t="n">
        <v>149.551535421101</v>
      </c>
      <c r="G2258" s="0" t="n">
        <v>116.386908542555</v>
      </c>
      <c r="H2258" s="0" t="n">
        <v>105.924351891203</v>
      </c>
      <c r="I2258" s="0" t="n">
        <v>-10.4625566513518</v>
      </c>
    </row>
    <row r="2259" customFormat="false" ht="13.8" hidden="false" customHeight="false" outlineLevel="0" collapsed="false">
      <c r="A2259" s="2" t="n">
        <v>42629</v>
      </c>
      <c r="B2259" s="0" t="n">
        <v>2139.16</v>
      </c>
      <c r="C2259" s="0" t="n">
        <v>251.77</v>
      </c>
      <c r="D2259" s="3" t="n">
        <f aca="false">B2259*100/B$2</f>
        <v>147.817794853368</v>
      </c>
      <c r="E2259" s="3" t="n">
        <f aca="false">C2259*100/C$2</f>
        <v>106.999575010625</v>
      </c>
      <c r="F2259" s="0" t="n">
        <v>150.838193427126</v>
      </c>
      <c r="G2259" s="0" t="n">
        <v>116.816704057925</v>
      </c>
      <c r="H2259" s="0" t="n">
        <v>107.250318742031</v>
      </c>
      <c r="I2259" s="0" t="n">
        <v>-9.56638531589358</v>
      </c>
    </row>
    <row r="2260" customFormat="false" ht="13.8" hidden="false" customHeight="false" outlineLevel="0" collapsed="false">
      <c r="A2260" s="2" t="n">
        <v>42632</v>
      </c>
      <c r="B2260" s="0" t="n">
        <v>2139.12</v>
      </c>
      <c r="C2260" s="0" t="n">
        <v>253.93</v>
      </c>
      <c r="D2260" s="3" t="n">
        <f aca="false">B2260*100/B$2</f>
        <v>147.815030818983</v>
      </c>
      <c r="E2260" s="3" t="n">
        <f aca="false">C2260*100/C$2</f>
        <v>107.917552061198</v>
      </c>
      <c r="F2260" s="0" t="n">
        <v>150.701373725089</v>
      </c>
      <c r="G2260" s="0" t="n">
        <v>116.77100077541</v>
      </c>
      <c r="H2260" s="0" t="n">
        <v>107.994050148746</v>
      </c>
      <c r="I2260" s="0" t="n">
        <v>-8.77695062666351</v>
      </c>
    </row>
    <row r="2261" customFormat="false" ht="13.8" hidden="false" customHeight="false" outlineLevel="0" collapsed="false">
      <c r="A2261" s="2" t="n">
        <v>42633</v>
      </c>
      <c r="B2261" s="0" t="n">
        <v>2139.76</v>
      </c>
      <c r="C2261" s="0" t="n">
        <v>255.09</v>
      </c>
      <c r="D2261" s="3" t="n">
        <f aca="false">B2261*100/B$2</f>
        <v>147.859255369137</v>
      </c>
      <c r="E2261" s="3" t="n">
        <f aca="false">C2261*100/C$2</f>
        <v>108.410539736507</v>
      </c>
      <c r="F2261" s="0" t="n">
        <v>150.760109455762</v>
      </c>
      <c r="G2261" s="0" t="n">
        <v>116.790620871439</v>
      </c>
      <c r="H2261" s="0" t="n">
        <v>108.733531661708</v>
      </c>
      <c r="I2261" s="0" t="n">
        <v>-8.05708920973061</v>
      </c>
    </row>
    <row r="2262" customFormat="false" ht="13.8" hidden="false" customHeight="false" outlineLevel="0" collapsed="false">
      <c r="A2262" s="2" t="n">
        <v>42634</v>
      </c>
      <c r="B2262" s="0" t="n">
        <v>2163.12</v>
      </c>
      <c r="C2262" s="0" t="n">
        <v>256.52</v>
      </c>
      <c r="D2262" s="3" t="n">
        <f aca="false">B2262*100/B$2</f>
        <v>149.473451449736</v>
      </c>
      <c r="E2262" s="3" t="n">
        <f aca="false">C2262*100/C$2</f>
        <v>109.018274543136</v>
      </c>
      <c r="F2262" s="0" t="n">
        <v>150.32822908317</v>
      </c>
      <c r="G2262" s="0" t="n">
        <v>116.646355459459</v>
      </c>
      <c r="H2262" s="0" t="n">
        <v>108.555036124097</v>
      </c>
      <c r="I2262" s="0" t="n">
        <v>-8.09131933536229</v>
      </c>
    </row>
    <row r="2263" customFormat="false" ht="13.8" hidden="false" customHeight="false" outlineLevel="0" collapsed="false">
      <c r="A2263" s="2" t="n">
        <v>42635</v>
      </c>
      <c r="B2263" s="0" t="n">
        <v>2177.18</v>
      </c>
      <c r="C2263" s="0" t="n">
        <v>258.34</v>
      </c>
      <c r="D2263" s="3" t="n">
        <f aca="false">B2263*100/B$2</f>
        <v>150.445009535919</v>
      </c>
      <c r="E2263" s="3" t="n">
        <f aca="false">C2263*100/C$2</f>
        <v>109.79175520612</v>
      </c>
      <c r="F2263" s="0" t="n">
        <v>151.039967937201</v>
      </c>
      <c r="G2263" s="0" t="n">
        <v>116.884104858402</v>
      </c>
      <c r="H2263" s="0" t="n">
        <v>108.873778155546</v>
      </c>
      <c r="I2263" s="0" t="n">
        <v>-8.01032670285592</v>
      </c>
    </row>
    <row r="2264" customFormat="false" ht="13.8" hidden="false" customHeight="false" outlineLevel="0" collapsed="false">
      <c r="A2264" s="2" t="n">
        <v>42636</v>
      </c>
      <c r="B2264" s="0" t="n">
        <v>2164.69</v>
      </c>
      <c r="C2264" s="0" t="n">
        <v>258.37</v>
      </c>
      <c r="D2264" s="3" t="n">
        <f aca="false">B2264*100/B$2</f>
        <v>149.581939799331</v>
      </c>
      <c r="E2264" s="3" t="n">
        <f aca="false">C2264*100/C$2</f>
        <v>109.804504887378</v>
      </c>
      <c r="F2264" s="0" t="n">
        <v>150.919732441472</v>
      </c>
      <c r="G2264" s="0" t="n">
        <v>116.843941367707</v>
      </c>
      <c r="H2264" s="0" t="n">
        <v>108.869528261793</v>
      </c>
      <c r="I2264" s="0" t="n">
        <v>-7.97441310591339</v>
      </c>
    </row>
    <row r="2265" customFormat="false" ht="13.8" hidden="false" customHeight="false" outlineLevel="0" collapsed="false">
      <c r="A2265" s="2" t="n">
        <v>42639</v>
      </c>
      <c r="B2265" s="0" t="n">
        <v>2146.1</v>
      </c>
      <c r="C2265" s="0" t="n">
        <v>257.48</v>
      </c>
      <c r="D2265" s="3" t="n">
        <f aca="false">B2265*100/B$2</f>
        <v>148.297354819094</v>
      </c>
      <c r="E2265" s="3" t="n">
        <f aca="false">C2265*100/C$2</f>
        <v>109.426264343391</v>
      </c>
      <c r="F2265" s="0" t="n">
        <v>151.341247685121</v>
      </c>
      <c r="G2265" s="0" t="n">
        <v>116.984744409799</v>
      </c>
      <c r="H2265" s="0" t="n">
        <v>108.869528261793</v>
      </c>
      <c r="I2265" s="0" t="n">
        <v>-8.11521614800574</v>
      </c>
    </row>
    <row r="2266" customFormat="false" ht="13.8" hidden="false" customHeight="false" outlineLevel="0" collapsed="false">
      <c r="A2266" s="2" t="n">
        <v>42640</v>
      </c>
      <c r="B2266" s="0" t="n">
        <v>2159.93</v>
      </c>
      <c r="C2266" s="0" t="n">
        <v>259.57</v>
      </c>
      <c r="D2266" s="3" t="n">
        <f aca="false">B2266*100/B$2</f>
        <v>149.253019707565</v>
      </c>
      <c r="E2266" s="3" t="n">
        <f aca="false">C2266*100/C$2</f>
        <v>110.314492137697</v>
      </c>
      <c r="F2266" s="0" t="n">
        <v>150.512037369745</v>
      </c>
      <c r="G2266" s="0" t="n">
        <v>116.707754818798</v>
      </c>
      <c r="H2266" s="0" t="n">
        <v>108.861028474288</v>
      </c>
      <c r="I2266" s="0" t="n">
        <v>-7.84672634450969</v>
      </c>
    </row>
    <row r="2267" customFormat="false" ht="13.8" hidden="false" customHeight="false" outlineLevel="0" collapsed="false">
      <c r="A2267" s="2" t="n">
        <v>42641</v>
      </c>
      <c r="B2267" s="0" t="n">
        <v>2171.37</v>
      </c>
      <c r="C2267" s="0" t="n">
        <v>258.21</v>
      </c>
      <c r="D2267" s="3" t="n">
        <f aca="false">B2267*100/B$2</f>
        <v>150.043533541557</v>
      </c>
      <c r="E2267" s="3" t="n">
        <f aca="false">C2267*100/C$2</f>
        <v>109.736506587335</v>
      </c>
      <c r="F2267" s="0" t="n">
        <v>150.793277868377</v>
      </c>
      <c r="G2267" s="0" t="n">
        <v>116.801700455079</v>
      </c>
      <c r="H2267" s="0" t="n">
        <v>108.814279643009</v>
      </c>
      <c r="I2267" s="0" t="n">
        <v>-7.98742081207018</v>
      </c>
    </row>
    <row r="2268" customFormat="false" ht="13.8" hidden="false" customHeight="false" outlineLevel="0" collapsed="false">
      <c r="A2268" s="2" t="n">
        <v>42642</v>
      </c>
      <c r="B2268" s="0" t="n">
        <v>2151.13</v>
      </c>
      <c r="C2268" s="0" t="n">
        <v>260.35</v>
      </c>
      <c r="D2268" s="3" t="n">
        <f aca="false">B2268*100/B$2</f>
        <v>148.644932142956</v>
      </c>
      <c r="E2268" s="3" t="n">
        <f aca="false">C2268*100/C$2</f>
        <v>110.645983850404</v>
      </c>
      <c r="F2268" s="0" t="n">
        <v>151.124961994527</v>
      </c>
      <c r="G2268" s="0" t="n">
        <v>116.91249629148</v>
      </c>
      <c r="H2268" s="0" t="n">
        <v>109.694007649809</v>
      </c>
      <c r="I2268" s="0" t="n">
        <v>-7.21848864167092</v>
      </c>
    </row>
    <row r="2269" customFormat="false" ht="13.8" hidden="false" customHeight="false" outlineLevel="0" collapsed="false">
      <c r="A2269" s="2" t="n">
        <v>42643</v>
      </c>
      <c r="B2269" s="0" t="n">
        <v>2168.27</v>
      </c>
      <c r="C2269" s="0" t="n">
        <v>257.49</v>
      </c>
      <c r="D2269" s="3" t="n">
        <f aca="false">B2269*100/B$2</f>
        <v>149.829320876752</v>
      </c>
      <c r="E2269" s="3" t="n">
        <f aca="false">C2269*100/C$2</f>
        <v>109.430514237144</v>
      </c>
      <c r="F2269" s="0" t="n">
        <v>150.907294286741</v>
      </c>
      <c r="G2269" s="0" t="n">
        <v>116.839786523842</v>
      </c>
      <c r="H2269" s="0" t="n">
        <v>109.940501487463</v>
      </c>
      <c r="I2269" s="0" t="n">
        <v>-6.899285036379</v>
      </c>
    </row>
    <row r="2270" customFormat="false" ht="13.8" hidden="false" customHeight="false" outlineLevel="0" collapsed="false">
      <c r="A2270" s="2" t="n">
        <v>42646</v>
      </c>
      <c r="B2270" s="0" t="n">
        <v>2161.2</v>
      </c>
      <c r="C2270" s="0" t="n">
        <v>257.49</v>
      </c>
      <c r="D2270" s="3" t="n">
        <f aca="false">B2270*100/B$2</f>
        <v>149.340777799276</v>
      </c>
      <c r="E2270" s="3" t="n">
        <f aca="false">C2270*100/C$2</f>
        <v>109.430514237144</v>
      </c>
      <c r="F2270" s="0" t="n">
        <v>150.822300229415</v>
      </c>
      <c r="G2270" s="0" t="n">
        <v>116.811395090764</v>
      </c>
      <c r="H2270" s="0" t="n">
        <v>109.337016574586</v>
      </c>
      <c r="I2270" s="0" t="n">
        <v>-7.47437851617853</v>
      </c>
    </row>
    <row r="2271" customFormat="false" ht="13.8" hidden="false" customHeight="false" outlineLevel="0" collapsed="false">
      <c r="A2271" s="2" t="n">
        <v>42647</v>
      </c>
      <c r="B2271" s="0" t="n">
        <v>2150.49</v>
      </c>
      <c r="C2271" s="0" t="n">
        <v>259.18</v>
      </c>
      <c r="D2271" s="3" t="n">
        <f aca="false">B2271*100/B$2</f>
        <v>148.600707592802</v>
      </c>
      <c r="E2271" s="3" t="n">
        <f aca="false">C2271*100/C$2</f>
        <v>110.148746281343</v>
      </c>
      <c r="F2271" s="0" t="n">
        <v>151.116669891373</v>
      </c>
      <c r="G2271" s="0" t="n">
        <v>116.90972639557</v>
      </c>
      <c r="H2271" s="0" t="n">
        <v>109.825754356141</v>
      </c>
      <c r="I2271" s="0" t="n">
        <v>-7.08397203942857</v>
      </c>
    </row>
    <row r="2272" customFormat="false" ht="13.8" hidden="false" customHeight="false" outlineLevel="0" collapsed="false">
      <c r="A2272" s="2" t="n">
        <v>42648</v>
      </c>
      <c r="B2272" s="0" t="n">
        <v>2159.73</v>
      </c>
      <c r="C2272" s="0" t="n">
        <v>258.99</v>
      </c>
      <c r="D2272" s="3" t="n">
        <f aca="false">B2272*100/B$2</f>
        <v>149.239199535642</v>
      </c>
      <c r="E2272" s="3" t="n">
        <f aca="false">C2272*100/C$2</f>
        <v>110.067998300042</v>
      </c>
      <c r="F2272" s="0" t="n">
        <v>150.324774040189</v>
      </c>
      <c r="G2272" s="0" t="n">
        <v>116.645201336163</v>
      </c>
      <c r="H2272" s="0" t="n">
        <v>109.349766255844</v>
      </c>
      <c r="I2272" s="0" t="n">
        <v>-7.29543508031975</v>
      </c>
    </row>
    <row r="2273" customFormat="false" ht="13.8" hidden="false" customHeight="false" outlineLevel="0" collapsed="false">
      <c r="A2273" s="2" t="n">
        <v>42649</v>
      </c>
      <c r="B2273" s="0" t="n">
        <v>2160.77</v>
      </c>
      <c r="C2273" s="0" t="n">
        <v>261.13</v>
      </c>
      <c r="D2273" s="3" t="n">
        <f aca="false">B2273*100/B$2</f>
        <v>149.311064429642</v>
      </c>
      <c r="E2273" s="3" t="n">
        <f aca="false">C2273*100/C$2</f>
        <v>110.977475563111</v>
      </c>
      <c r="F2273" s="0" t="n">
        <v>150.119544487133</v>
      </c>
      <c r="G2273" s="0" t="n">
        <v>116.576646412391</v>
      </c>
      <c r="H2273" s="0" t="n">
        <v>109.332766680833</v>
      </c>
      <c r="I2273" s="0" t="n">
        <v>-7.24387973155751</v>
      </c>
    </row>
    <row r="2274" customFormat="false" ht="13.8" hidden="false" customHeight="false" outlineLevel="0" collapsed="false">
      <c r="A2274" s="2" t="n">
        <v>42650</v>
      </c>
      <c r="B2274" s="0" t="n">
        <v>2153.74</v>
      </c>
      <c r="C2274" s="0" t="n">
        <v>260.06</v>
      </c>
      <c r="D2274" s="3" t="n">
        <f aca="false">B2274*100/B$2</f>
        <v>148.82528538655</v>
      </c>
      <c r="E2274" s="3" t="n">
        <f aca="false">C2274*100/C$2</f>
        <v>110.522736931577</v>
      </c>
      <c r="F2274" s="0" t="n">
        <v>149.882528538655</v>
      </c>
      <c r="G2274" s="0" t="n">
        <v>116.497473554296</v>
      </c>
      <c r="H2274" s="0" t="n">
        <v>108.895027624309</v>
      </c>
      <c r="I2274" s="0" t="n">
        <v>-7.60244592998654</v>
      </c>
    </row>
    <row r="2275" customFormat="false" ht="13.8" hidden="false" customHeight="false" outlineLevel="0" collapsed="false">
      <c r="A2275" s="2" t="n">
        <v>42653</v>
      </c>
      <c r="B2275" s="0" t="n">
        <v>2163.66</v>
      </c>
      <c r="C2275" s="0" t="n">
        <v>260.31</v>
      </c>
      <c r="D2275" s="3" t="n">
        <f aca="false">B2275*100/B$2</f>
        <v>149.510765913928</v>
      </c>
      <c r="E2275" s="3" t="n">
        <f aca="false">C2275*100/C$2</f>
        <v>110.628984275393</v>
      </c>
      <c r="F2275" s="0" t="n">
        <v>150.666132286686</v>
      </c>
      <c r="G2275" s="0" t="n">
        <v>116.759228717792</v>
      </c>
      <c r="H2275" s="0" t="n">
        <v>109.005524861878</v>
      </c>
      <c r="I2275" s="0" t="n">
        <v>-7.7537038559138</v>
      </c>
    </row>
    <row r="2276" customFormat="false" ht="13.8" hidden="false" customHeight="false" outlineLevel="0" collapsed="false">
      <c r="A2276" s="2" t="n">
        <v>42654</v>
      </c>
      <c r="B2276" s="0" t="n">
        <v>2136.73</v>
      </c>
      <c r="C2276" s="0" t="n">
        <v>256.15</v>
      </c>
      <c r="D2276" s="3" t="n">
        <f aca="false">B2276*100/B$2</f>
        <v>147.649879764504</v>
      </c>
      <c r="E2276" s="3" t="n">
        <f aca="false">C2276*100/C$2</f>
        <v>108.861028474288</v>
      </c>
      <c r="F2276" s="0" t="n">
        <v>150.371762624727</v>
      </c>
      <c r="G2276" s="0" t="n">
        <v>116.660897412987</v>
      </c>
      <c r="H2276" s="0" t="n">
        <v>109.430514237144</v>
      </c>
      <c r="I2276" s="0" t="n">
        <v>-7.23038317584269</v>
      </c>
    </row>
    <row r="2277" customFormat="false" ht="13.8" hidden="false" customHeight="false" outlineLevel="0" collapsed="false">
      <c r="A2277" s="2" t="n">
        <v>42655</v>
      </c>
      <c r="B2277" s="0" t="n">
        <v>2139.18</v>
      </c>
      <c r="C2277" s="0" t="n">
        <v>256.2</v>
      </c>
      <c r="D2277" s="3" t="n">
        <f aca="false">B2277*100/B$2</f>
        <v>147.81917687056</v>
      </c>
      <c r="E2277" s="3" t="n">
        <f aca="false">C2277*100/C$2</f>
        <v>108.882277943051</v>
      </c>
      <c r="F2277" s="0" t="n">
        <v>150.014511180519</v>
      </c>
      <c r="G2277" s="0" t="n">
        <v>116.541561064197</v>
      </c>
      <c r="H2277" s="0" t="n">
        <v>109.167020824479</v>
      </c>
      <c r="I2277" s="0" t="n">
        <v>-7.37454023971762</v>
      </c>
    </row>
    <row r="2278" customFormat="false" ht="13.8" hidden="false" customHeight="false" outlineLevel="0" collapsed="false">
      <c r="A2278" s="2" t="n">
        <v>42656</v>
      </c>
      <c r="B2278" s="0" t="n">
        <v>2132.55</v>
      </c>
      <c r="C2278" s="0" t="n">
        <v>253.93</v>
      </c>
      <c r="D2278" s="3" t="n">
        <f aca="false">B2278*100/B$2</f>
        <v>147.361038171315</v>
      </c>
      <c r="E2278" s="3" t="n">
        <f aca="false">C2278*100/C$2</f>
        <v>107.917552061198</v>
      </c>
      <c r="F2278" s="0" t="n">
        <v>150.008292103154</v>
      </c>
      <c r="G2278" s="0" t="n">
        <v>116.539483642265</v>
      </c>
      <c r="H2278" s="0" t="n">
        <v>108.810029749256</v>
      </c>
      <c r="I2278" s="0" t="n">
        <v>-7.72945389300824</v>
      </c>
    </row>
    <row r="2279" customFormat="false" ht="13.8" hidden="false" customHeight="false" outlineLevel="0" collapsed="false">
      <c r="A2279" s="2" t="n">
        <v>42657</v>
      </c>
      <c r="B2279" s="0" t="n">
        <v>2132.98</v>
      </c>
      <c r="C2279" s="0" t="n">
        <v>255.09</v>
      </c>
      <c r="D2279" s="3" t="n">
        <f aca="false">B2279*100/B$2</f>
        <v>147.390751540949</v>
      </c>
      <c r="E2279" s="3" t="n">
        <f aca="false">C2279*100/C$2</f>
        <v>108.410539736507</v>
      </c>
      <c r="F2279" s="0" t="n">
        <v>150.63849194284</v>
      </c>
      <c r="G2279" s="0" t="n">
        <v>116.749995731426</v>
      </c>
      <c r="H2279" s="0" t="n">
        <v>109.009774755631</v>
      </c>
      <c r="I2279" s="0" t="n">
        <v>-7.74022097579443</v>
      </c>
    </row>
    <row r="2280" customFormat="false" ht="13.8" hidden="false" customHeight="false" outlineLevel="0" collapsed="false">
      <c r="A2280" s="2" t="n">
        <v>42660</v>
      </c>
      <c r="B2280" s="0" t="n">
        <v>2126.5</v>
      </c>
      <c r="C2280" s="0" t="n">
        <v>256.19</v>
      </c>
      <c r="D2280" s="3" t="n">
        <f aca="false">B2280*100/B$2</f>
        <v>146.942977970646</v>
      </c>
      <c r="E2280" s="3" t="n">
        <f aca="false">C2280*100/C$2</f>
        <v>108.878028049299</v>
      </c>
      <c r="F2280" s="0" t="n">
        <v>150.63849194284</v>
      </c>
      <c r="G2280" s="0" t="n">
        <v>116.749995731426</v>
      </c>
      <c r="H2280" s="0" t="n">
        <v>110.344241393965</v>
      </c>
      <c r="I2280" s="0" t="n">
        <v>-6.40575433746038</v>
      </c>
    </row>
    <row r="2281" customFormat="false" ht="13.8" hidden="false" customHeight="false" outlineLevel="0" collapsed="false">
      <c r="A2281" s="2" t="n">
        <v>42661</v>
      </c>
      <c r="B2281" s="0" t="n">
        <v>2139.6</v>
      </c>
      <c r="C2281" s="0" t="n">
        <v>257.98</v>
      </c>
      <c r="D2281" s="3" t="n">
        <f aca="false">B2281*100/B$2</f>
        <v>147.848199231598</v>
      </c>
      <c r="E2281" s="3" t="n">
        <f aca="false">C2281*100/C$2</f>
        <v>109.638759031024</v>
      </c>
      <c r="F2281" s="0" t="n">
        <v>151.087647530335</v>
      </c>
      <c r="G2281" s="0" t="n">
        <v>116.900031759885</v>
      </c>
      <c r="H2281" s="0" t="n">
        <v>110.892477688058</v>
      </c>
      <c r="I2281" s="0" t="n">
        <v>-6.0075540718268</v>
      </c>
    </row>
    <row r="2282" customFormat="false" ht="13.8" hidden="false" customHeight="false" outlineLevel="0" collapsed="false">
      <c r="A2282" s="2" t="n">
        <v>42662</v>
      </c>
      <c r="B2282" s="0" t="n">
        <v>2144.29</v>
      </c>
      <c r="C2282" s="0" t="n">
        <v>258.21</v>
      </c>
      <c r="D2282" s="3" t="n">
        <f aca="false">B2282*100/B$2</f>
        <v>148.172282263191</v>
      </c>
      <c r="E2282" s="3" t="n">
        <f aca="false">C2282*100/C$2</f>
        <v>109.736506587335</v>
      </c>
      <c r="F2282" s="0" t="n">
        <v>151.065535255259</v>
      </c>
      <c r="G2282" s="0" t="n">
        <v>116.892645370791</v>
      </c>
      <c r="H2282" s="0" t="n">
        <v>110.628984275393</v>
      </c>
      <c r="I2282" s="0" t="n">
        <v>-6.26366109539812</v>
      </c>
    </row>
    <row r="2283" customFormat="false" ht="13.8" hidden="false" customHeight="false" outlineLevel="0" collapsed="false">
      <c r="A2283" s="2" t="n">
        <v>42663</v>
      </c>
      <c r="B2283" s="0" t="n">
        <v>2141.34</v>
      </c>
      <c r="C2283" s="0" t="n">
        <v>258.41</v>
      </c>
      <c r="D2283" s="3" t="n">
        <f aca="false">B2283*100/B$2</f>
        <v>147.968434727328</v>
      </c>
      <c r="E2283" s="3" t="n">
        <f aca="false">C2283*100/C$2</f>
        <v>109.821504462388</v>
      </c>
      <c r="F2283" s="0" t="n">
        <v>150.729705077531</v>
      </c>
      <c r="G2283" s="0" t="n">
        <v>116.780464586436</v>
      </c>
      <c r="H2283" s="0" t="n">
        <v>110.862728431789</v>
      </c>
      <c r="I2283" s="0" t="n">
        <v>-5.91773615464651</v>
      </c>
    </row>
    <row r="2284" customFormat="false" ht="13.8" hidden="false" customHeight="false" outlineLevel="0" collapsed="false">
      <c r="A2284" s="2" t="n">
        <v>42664</v>
      </c>
      <c r="B2284" s="0" t="n">
        <v>2141.16</v>
      </c>
      <c r="C2284" s="0" t="n">
        <v>257.26</v>
      </c>
      <c r="D2284" s="3" t="n">
        <f aca="false">B2284*100/B$2</f>
        <v>147.955996572597</v>
      </c>
      <c r="E2284" s="3" t="n">
        <f aca="false">C2284*100/C$2</f>
        <v>109.332766680833</v>
      </c>
      <c r="F2284" s="0" t="n">
        <v>147.033500096741</v>
      </c>
      <c r="G2284" s="0" t="n">
        <v>115.545783484547</v>
      </c>
      <c r="H2284" s="0" t="n">
        <v>109.354016149596</v>
      </c>
      <c r="I2284" s="0" t="n">
        <v>-6.19176733495081</v>
      </c>
    </row>
    <row r="2285" customFormat="false" ht="13.8" hidden="false" customHeight="false" outlineLevel="0" collapsed="false">
      <c r="A2285" s="2" t="n">
        <v>42667</v>
      </c>
      <c r="B2285" s="0" t="n">
        <v>2151.33</v>
      </c>
      <c r="C2285" s="0" t="n">
        <v>259.48</v>
      </c>
      <c r="D2285" s="3" t="n">
        <f aca="false">B2285*100/B$2</f>
        <v>148.658752314879</v>
      </c>
      <c r="E2285" s="3" t="n">
        <f aca="false">C2285*100/C$2</f>
        <v>110.276243093923</v>
      </c>
      <c r="F2285" s="0" t="n">
        <v>149.191519942508</v>
      </c>
      <c r="G2285" s="0" t="n">
        <v>116.266648895128</v>
      </c>
      <c r="H2285" s="0" t="n">
        <v>106.472588185295</v>
      </c>
      <c r="I2285" s="0" t="n">
        <v>-9.79406070983276</v>
      </c>
    </row>
    <row r="2286" customFormat="false" ht="13.8" hidden="false" customHeight="false" outlineLevel="0" collapsed="false">
      <c r="A2286" s="2" t="n">
        <v>42668</v>
      </c>
      <c r="B2286" s="0" t="n">
        <v>2143.16</v>
      </c>
      <c r="C2286" s="0" t="n">
        <v>258.57</v>
      </c>
      <c r="D2286" s="3" t="n">
        <f aca="false">B2286*100/B$2</f>
        <v>148.094198291827</v>
      </c>
      <c r="E2286" s="3" t="n">
        <f aca="false">C2286*100/C$2</f>
        <v>109.889502762431</v>
      </c>
      <c r="F2286" s="0" t="n">
        <v>146.978910417646</v>
      </c>
      <c r="G2286" s="0" t="n">
        <v>115.527548336473</v>
      </c>
      <c r="H2286" s="0" t="n">
        <v>106.999575010625</v>
      </c>
      <c r="I2286" s="0" t="n">
        <v>-8.52797332584807</v>
      </c>
    </row>
    <row r="2287" customFormat="false" ht="13.8" hidden="false" customHeight="false" outlineLevel="0" collapsed="false">
      <c r="A2287" s="2" t="n">
        <v>42669</v>
      </c>
      <c r="B2287" s="0" t="n">
        <v>2139.43</v>
      </c>
      <c r="C2287" s="0" t="n">
        <v>255.52</v>
      </c>
      <c r="D2287" s="3" t="n">
        <f aca="false">B2287*100/B$2</f>
        <v>147.836452085464</v>
      </c>
      <c r="E2287" s="3" t="n">
        <f aca="false">C2287*100/C$2</f>
        <v>108.593285167871</v>
      </c>
      <c r="F2287" s="0" t="n">
        <v>146.892534343127</v>
      </c>
      <c r="G2287" s="0" t="n">
        <v>115.498695254077</v>
      </c>
      <c r="H2287" s="0" t="n">
        <v>106.999575010625</v>
      </c>
      <c r="I2287" s="0" t="n">
        <v>-8.49912024345208</v>
      </c>
    </row>
    <row r="2288" customFormat="false" ht="13.8" hidden="false" customHeight="false" outlineLevel="0" collapsed="false">
      <c r="A2288" s="2" t="n">
        <v>42670</v>
      </c>
      <c r="B2288" s="0" t="n">
        <v>2133.04</v>
      </c>
      <c r="C2288" s="0" t="n">
        <v>256.66</v>
      </c>
      <c r="D2288" s="3" t="n">
        <f aca="false">B2288*100/B$2</f>
        <v>147.394897592526</v>
      </c>
      <c r="E2288" s="3" t="n">
        <f aca="false">C2288*100/C$2</f>
        <v>109.077773055674</v>
      </c>
      <c r="F2288" s="0" t="n">
        <v>148.377511816247</v>
      </c>
      <c r="G2288" s="0" t="n">
        <v>115.994737446628</v>
      </c>
      <c r="H2288" s="0" t="n">
        <v>106.999575010625</v>
      </c>
      <c r="I2288" s="0" t="n">
        <v>-8.99516243600372</v>
      </c>
    </row>
    <row r="2289" customFormat="false" ht="13.8" hidden="false" customHeight="false" outlineLevel="0" collapsed="false">
      <c r="A2289" s="2" t="n">
        <v>42671</v>
      </c>
      <c r="B2289" s="0" t="n">
        <v>2126.41</v>
      </c>
      <c r="C2289" s="0" t="n">
        <v>256.53</v>
      </c>
      <c r="D2289" s="3" t="n">
        <f aca="false">B2289*100/B$2</f>
        <v>146.936758893281</v>
      </c>
      <c r="E2289" s="3" t="n">
        <f aca="false">C2289*100/C$2</f>
        <v>109.022524436889</v>
      </c>
      <c r="F2289" s="0" t="n">
        <v>147.817794853368</v>
      </c>
      <c r="G2289" s="0" t="n">
        <v>115.807769472703</v>
      </c>
      <c r="H2289" s="0" t="n">
        <v>106.999575010625</v>
      </c>
      <c r="I2289" s="0" t="n">
        <v>-8.80819446207779</v>
      </c>
    </row>
    <row r="2290" customFormat="false" ht="13.8" hidden="false" customHeight="false" outlineLevel="0" collapsed="false">
      <c r="A2290" s="2" t="n">
        <v>42674</v>
      </c>
      <c r="B2290" s="0" t="n">
        <v>2126.15</v>
      </c>
      <c r="C2290" s="0" t="n">
        <v>255.93</v>
      </c>
      <c r="D2290" s="3" t="n">
        <f aca="false">B2290*100/B$2</f>
        <v>146.918792669781</v>
      </c>
      <c r="E2290" s="3" t="n">
        <f aca="false">C2290*100/C$2</f>
        <v>108.76753081173</v>
      </c>
      <c r="F2290" s="0" t="n">
        <v>147.815030818983</v>
      </c>
      <c r="G2290" s="0" t="n">
        <v>115.806846174066</v>
      </c>
      <c r="H2290" s="0" t="n">
        <v>107.917552061198</v>
      </c>
      <c r="I2290" s="0" t="n">
        <v>-7.88929411286739</v>
      </c>
    </row>
    <row r="2291" customFormat="false" ht="13.8" hidden="false" customHeight="false" outlineLevel="0" collapsed="false">
      <c r="A2291" s="2" t="n">
        <v>42675</v>
      </c>
      <c r="B2291" s="0" t="n">
        <v>2111.72</v>
      </c>
      <c r="C2291" s="0" t="n">
        <v>255.99</v>
      </c>
      <c r="D2291" s="3" t="n">
        <f aca="false">B2291*100/B$2</f>
        <v>145.921667265541</v>
      </c>
      <c r="E2291" s="3" t="n">
        <f aca="false">C2291*100/C$2</f>
        <v>108.793030174246</v>
      </c>
      <c r="F2291" s="0" t="n">
        <v>147.859255369137</v>
      </c>
      <c r="G2291" s="0" t="n">
        <v>115.821618952253</v>
      </c>
      <c r="H2291" s="0" t="n">
        <v>108.410539736507</v>
      </c>
      <c r="I2291" s="0" t="n">
        <v>-7.41107921574603</v>
      </c>
    </row>
    <row r="2292" customFormat="false" ht="13.8" hidden="false" customHeight="false" outlineLevel="0" collapsed="false">
      <c r="A2292" s="2" t="n">
        <v>42676</v>
      </c>
      <c r="B2292" s="0" t="n">
        <v>2097.94</v>
      </c>
      <c r="C2292" s="0" t="n">
        <v>252.83</v>
      </c>
      <c r="D2292" s="3" t="n">
        <f aca="false">B2292*100/B$2</f>
        <v>144.96945742005</v>
      </c>
      <c r="E2292" s="3" t="n">
        <f aca="false">C2292*100/C$2</f>
        <v>107.450063748406</v>
      </c>
      <c r="F2292" s="0" t="n">
        <v>149.473451449736</v>
      </c>
      <c r="G2292" s="0" t="n">
        <v>116.360825356069</v>
      </c>
      <c r="H2292" s="0" t="n">
        <v>109.018274543136</v>
      </c>
      <c r="I2292" s="0" t="n">
        <v>-7.34255081293219</v>
      </c>
    </row>
    <row r="2293" customFormat="false" ht="13.8" hidden="false" customHeight="false" outlineLevel="0" collapsed="false">
      <c r="A2293" s="2" t="n">
        <v>42677</v>
      </c>
      <c r="B2293" s="0" t="n">
        <v>2088.66</v>
      </c>
      <c r="C2293" s="0" t="n">
        <v>252.9</v>
      </c>
      <c r="D2293" s="3" t="n">
        <f aca="false">B2293*100/B$2</f>
        <v>144.328201442826</v>
      </c>
      <c r="E2293" s="3" t="n">
        <f aca="false">C2293*100/C$2</f>
        <v>107.479813004675</v>
      </c>
      <c r="F2293" s="0" t="n">
        <v>150.445009535919</v>
      </c>
      <c r="G2293" s="0" t="n">
        <v>116.685364826859</v>
      </c>
      <c r="H2293" s="0" t="n">
        <v>109.79175520612</v>
      </c>
      <c r="I2293" s="0" t="n">
        <v>-6.8936096207387</v>
      </c>
    </row>
    <row r="2294" customFormat="false" ht="13.8" hidden="false" customHeight="false" outlineLevel="0" collapsed="false">
      <c r="A2294" s="2" t="n">
        <v>42678</v>
      </c>
      <c r="B2294" s="0" t="n">
        <v>2085.18</v>
      </c>
      <c r="C2294" s="0" t="n">
        <v>252.57</v>
      </c>
      <c r="D2294" s="3" t="n">
        <f aca="false">B2294*100/B$2</f>
        <v>144.087730451367</v>
      </c>
      <c r="E2294" s="3" t="n">
        <f aca="false">C2294*100/C$2</f>
        <v>107.339566510837</v>
      </c>
      <c r="F2294" s="0" t="n">
        <v>149.581939799331</v>
      </c>
      <c r="G2294" s="0" t="n">
        <v>116.397064827558</v>
      </c>
      <c r="H2294" s="0" t="n">
        <v>109.804504887378</v>
      </c>
      <c r="I2294" s="0" t="n">
        <v>-6.59255994018012</v>
      </c>
    </row>
    <row r="2295" customFormat="false" ht="13.8" hidden="false" customHeight="false" outlineLevel="0" collapsed="false">
      <c r="A2295" s="2" t="n">
        <v>42681</v>
      </c>
      <c r="B2295" s="0" t="n">
        <v>2131.52</v>
      </c>
      <c r="C2295" s="0" t="n">
        <v>254.6</v>
      </c>
      <c r="D2295" s="3" t="n">
        <f aca="false">B2295*100/B$2</f>
        <v>147.289864285912</v>
      </c>
      <c r="E2295" s="3" t="n">
        <f aca="false">C2295*100/C$2</f>
        <v>108.202294942626</v>
      </c>
      <c r="F2295" s="0" t="n">
        <v>148.297354819094</v>
      </c>
      <c r="G2295" s="0" t="n">
        <v>115.967961786165</v>
      </c>
      <c r="H2295" s="0" t="n">
        <v>109.426264343391</v>
      </c>
      <c r="I2295" s="0" t="n">
        <v>-6.54169744277357</v>
      </c>
    </row>
    <row r="2296" customFormat="false" ht="13.8" hidden="false" customHeight="false" outlineLevel="0" collapsed="false">
      <c r="A2296" s="2" t="n">
        <v>42682</v>
      </c>
      <c r="B2296" s="0" t="n">
        <v>2139.56</v>
      </c>
      <c r="C2296" s="0" t="n">
        <v>255.26</v>
      </c>
      <c r="D2296" s="3" t="n">
        <f aca="false">B2296*100/B$2</f>
        <v>147.845435197214</v>
      </c>
      <c r="E2296" s="3" t="n">
        <f aca="false">C2296*100/C$2</f>
        <v>108.482787930302</v>
      </c>
      <c r="F2296" s="0" t="n">
        <v>149.253019707565</v>
      </c>
      <c r="G2296" s="0" t="n">
        <v>116.287192289794</v>
      </c>
      <c r="H2296" s="0" t="n">
        <v>110.314492137697</v>
      </c>
      <c r="I2296" s="0" t="n">
        <v>-5.97270015209752</v>
      </c>
    </row>
    <row r="2297" customFormat="false" ht="13.8" hidden="false" customHeight="false" outlineLevel="0" collapsed="false">
      <c r="A2297" s="2" t="n">
        <v>42683</v>
      </c>
      <c r="B2297" s="0" t="n">
        <v>2163.26</v>
      </c>
      <c r="C2297" s="0" t="n">
        <v>249.67</v>
      </c>
      <c r="D2297" s="3" t="n">
        <f aca="false">B2297*100/B$2</f>
        <v>149.483125570082</v>
      </c>
      <c r="E2297" s="3" t="n">
        <f aca="false">C2297*100/C$2</f>
        <v>106.107097322567</v>
      </c>
      <c r="F2297" s="0" t="n">
        <v>150.043533541557</v>
      </c>
      <c r="G2297" s="0" t="n">
        <v>116.551255699882</v>
      </c>
      <c r="H2297" s="0" t="n">
        <v>109.736506587335</v>
      </c>
      <c r="I2297" s="0" t="n">
        <v>-6.81474911254675</v>
      </c>
    </row>
    <row r="2298" customFormat="false" ht="13.8" hidden="false" customHeight="false" outlineLevel="0" collapsed="false">
      <c r="A2298" s="2" t="n">
        <v>42684</v>
      </c>
      <c r="B2298" s="0" t="n">
        <v>2167.48</v>
      </c>
      <c r="C2298" s="0" t="n">
        <v>255.31</v>
      </c>
      <c r="D2298" s="3" t="n">
        <f aca="false">B2298*100/B$2</f>
        <v>149.774731197656</v>
      </c>
      <c r="E2298" s="3" t="n">
        <f aca="false">C2298*100/C$2</f>
        <v>108.504037399065</v>
      </c>
      <c r="F2298" s="0" t="n">
        <v>148.644932142956</v>
      </c>
      <c r="G2298" s="0" t="n">
        <v>116.084066589726</v>
      </c>
      <c r="H2298" s="0" t="n">
        <v>110.645983850404</v>
      </c>
      <c r="I2298" s="0" t="n">
        <v>-5.43808273932264</v>
      </c>
    </row>
    <row r="2299" customFormat="false" ht="13.8" hidden="false" customHeight="false" outlineLevel="0" collapsed="false">
      <c r="A2299" s="2" t="n">
        <v>42685</v>
      </c>
      <c r="B2299" s="0" t="n">
        <v>2164.45</v>
      </c>
      <c r="C2299" s="0" t="n">
        <v>251.99</v>
      </c>
      <c r="D2299" s="3" t="n">
        <f aca="false">B2299*100/B$2</f>
        <v>149.565355593024</v>
      </c>
      <c r="E2299" s="3" t="n">
        <f aca="false">C2299*100/C$2</f>
        <v>107.093072673183</v>
      </c>
      <c r="F2299" s="0" t="n">
        <v>149.829320876752</v>
      </c>
      <c r="G2299" s="0" t="n">
        <v>116.47970005554</v>
      </c>
      <c r="H2299" s="0" t="n">
        <v>109.430514237144</v>
      </c>
      <c r="I2299" s="0" t="n">
        <v>-7.04918581839596</v>
      </c>
    </row>
    <row r="2300" customFormat="false" ht="13.8" hidden="false" customHeight="false" outlineLevel="0" collapsed="false">
      <c r="A2300" s="2" t="n">
        <v>42688</v>
      </c>
      <c r="B2300" s="0" t="n">
        <v>2164.2</v>
      </c>
      <c r="C2300" s="0" t="n">
        <v>250.01</v>
      </c>
      <c r="D2300" s="3" t="n">
        <f aca="false">B2300*100/B$2</f>
        <v>149.54808037812</v>
      </c>
      <c r="E2300" s="3" t="n">
        <f aca="false">C2300*100/C$2</f>
        <v>106.251593710157</v>
      </c>
      <c r="F2300" s="0" t="n">
        <v>149.340777799276</v>
      </c>
      <c r="G2300" s="0" t="n">
        <v>116.316507021508</v>
      </c>
      <c r="H2300" s="0" t="n">
        <v>109.430514237144</v>
      </c>
      <c r="I2300" s="0" t="n">
        <v>-6.88599278436431</v>
      </c>
    </row>
    <row r="2301" customFormat="false" ht="13.8" hidden="false" customHeight="false" outlineLevel="0" collapsed="false">
      <c r="A2301" s="2" t="n">
        <v>42689</v>
      </c>
      <c r="B2301" s="0" t="n">
        <v>2180.39</v>
      </c>
      <c r="C2301" s="0" t="n">
        <v>249.2</v>
      </c>
      <c r="D2301" s="3" t="n">
        <f aca="false">B2301*100/B$2</f>
        <v>150.666823295282</v>
      </c>
      <c r="E2301" s="3" t="n">
        <f aca="false">C2301*100/C$2</f>
        <v>105.907352316192</v>
      </c>
      <c r="F2301" s="0" t="n">
        <v>148.600707592802</v>
      </c>
      <c r="G2301" s="0" t="n">
        <v>116.06929381154</v>
      </c>
      <c r="H2301" s="0" t="n">
        <v>110.148746281343</v>
      </c>
      <c r="I2301" s="0" t="n">
        <v>-5.92054753019667</v>
      </c>
    </row>
    <row r="2302" customFormat="false" ht="13.8" hidden="false" customHeight="false" outlineLevel="0" collapsed="false">
      <c r="A2302" s="2" t="n">
        <v>42690</v>
      </c>
      <c r="B2302" s="0" t="n">
        <v>2176.94</v>
      </c>
      <c r="C2302" s="0" t="n">
        <v>250.32</v>
      </c>
      <c r="D2302" s="3" t="n">
        <f aca="false">B2302*100/B$2</f>
        <v>150.428425329611</v>
      </c>
      <c r="E2302" s="3" t="n">
        <f aca="false">C2302*100/C$2</f>
        <v>106.38334041649</v>
      </c>
      <c r="F2302" s="0" t="n">
        <v>149.239199535642</v>
      </c>
      <c r="G2302" s="0" t="n">
        <v>116.282575796611</v>
      </c>
      <c r="H2302" s="0" t="n">
        <v>110.067998300042</v>
      </c>
      <c r="I2302" s="0" t="n">
        <v>-6.21457749656823</v>
      </c>
    </row>
    <row r="2303" customFormat="false" ht="13.8" hidden="false" customHeight="false" outlineLevel="0" collapsed="false">
      <c r="A2303" s="2" t="n">
        <v>42691</v>
      </c>
      <c r="B2303" s="0" t="n">
        <v>2187.12</v>
      </c>
      <c r="C2303" s="0" t="n">
        <v>250.46</v>
      </c>
      <c r="D2303" s="3" t="n">
        <f aca="false">B2303*100/B$2</f>
        <v>151.131872080489</v>
      </c>
      <c r="E2303" s="3" t="n">
        <f aca="false">C2303*100/C$2</f>
        <v>106.442838929027</v>
      </c>
      <c r="F2303" s="0" t="n">
        <v>149.311064429642</v>
      </c>
      <c r="G2303" s="0" t="n">
        <v>116.306581561164</v>
      </c>
      <c r="H2303" s="0" t="n">
        <v>110.977475563111</v>
      </c>
      <c r="I2303" s="0" t="n">
        <v>-5.32910599805325</v>
      </c>
    </row>
    <row r="2304" customFormat="false" ht="13.8" hidden="false" customHeight="false" outlineLevel="0" collapsed="false">
      <c r="A2304" s="2" t="n">
        <v>42692</v>
      </c>
      <c r="B2304" s="0" t="n">
        <v>2181.9</v>
      </c>
      <c r="C2304" s="0" t="n">
        <v>250.21</v>
      </c>
      <c r="D2304" s="3" t="n">
        <f aca="false">B2304*100/B$2</f>
        <v>150.7711655933</v>
      </c>
      <c r="E2304" s="3" t="n">
        <f aca="false">C2304*100/C$2</f>
        <v>106.33659158521</v>
      </c>
      <c r="F2304" s="0" t="n">
        <v>148.82528538655</v>
      </c>
      <c r="G2304" s="0" t="n">
        <v>116.144311825769</v>
      </c>
      <c r="H2304" s="0" t="n">
        <v>110.522736931577</v>
      </c>
      <c r="I2304" s="0" t="n">
        <v>-5.62157489419249</v>
      </c>
    </row>
    <row r="2305" customFormat="false" ht="13.8" hidden="false" customHeight="false" outlineLevel="0" collapsed="false">
      <c r="A2305" s="2" t="n">
        <v>42695</v>
      </c>
      <c r="B2305" s="0" t="n">
        <v>2198.18</v>
      </c>
      <c r="C2305" s="0" t="n">
        <v>249.51</v>
      </c>
      <c r="D2305" s="3" t="n">
        <f aca="false">B2305*100/B$2</f>
        <v>151.896127587827</v>
      </c>
      <c r="E2305" s="3" t="n">
        <f aca="false">C2305*100/C$2</f>
        <v>106.039099022524</v>
      </c>
      <c r="F2305" s="0" t="n">
        <v>149.510765913928</v>
      </c>
      <c r="G2305" s="0" t="n">
        <v>116.373289887664</v>
      </c>
      <c r="H2305" s="0" t="n">
        <v>110.628984275393</v>
      </c>
      <c r="I2305" s="0" t="n">
        <v>-5.74430561227057</v>
      </c>
    </row>
    <row r="2306" customFormat="false" ht="13.8" hidden="false" customHeight="false" outlineLevel="0" collapsed="false">
      <c r="A2306" s="2" t="n">
        <v>42696</v>
      </c>
      <c r="B2306" s="0" t="n">
        <v>2202.94</v>
      </c>
      <c r="C2306" s="0" t="n">
        <v>252.37</v>
      </c>
      <c r="D2306" s="3" t="n">
        <f aca="false">B2306*100/B$2</f>
        <v>152.225047679593</v>
      </c>
      <c r="E2306" s="3" t="n">
        <f aca="false">C2306*100/C$2</f>
        <v>107.254568635784</v>
      </c>
      <c r="F2306" s="0" t="n">
        <v>147.649879764504</v>
      </c>
      <c r="G2306" s="0" t="n">
        <v>115.751679080525</v>
      </c>
      <c r="H2306" s="0" t="n">
        <v>108.861028474288</v>
      </c>
      <c r="I2306" s="0" t="n">
        <v>-6.89065060623662</v>
      </c>
    </row>
    <row r="2307" customFormat="false" ht="13.8" hidden="false" customHeight="false" outlineLevel="0" collapsed="false">
      <c r="A2307" s="2" t="n">
        <v>42697</v>
      </c>
      <c r="B2307" s="0" t="n">
        <v>2204.72</v>
      </c>
      <c r="C2307" s="0" t="n">
        <v>253.66</v>
      </c>
      <c r="D2307" s="3" t="n">
        <f aca="false">B2307*100/B$2</f>
        <v>152.348047209707</v>
      </c>
      <c r="E2307" s="3" t="n">
        <f aca="false">C2307*100/C$2</f>
        <v>107.802804929877</v>
      </c>
      <c r="F2307" s="0" t="n">
        <v>147.81917687056</v>
      </c>
      <c r="G2307" s="0" t="n">
        <v>115.808231122021</v>
      </c>
      <c r="H2307" s="0" t="n">
        <v>108.882277943051</v>
      </c>
      <c r="I2307" s="0" t="n">
        <v>-6.92595317896942</v>
      </c>
    </row>
    <row r="2308" customFormat="false" ht="13.8" hidden="false" customHeight="false" outlineLevel="0" collapsed="false">
      <c r="A2308" s="2" t="n">
        <v>42698</v>
      </c>
      <c r="B2308" s="0" t="n">
        <v>2204.72</v>
      </c>
      <c r="C2308" s="0" t="n">
        <v>252.03</v>
      </c>
      <c r="D2308" s="3" t="n">
        <f aca="false">B2308*100/B$2</f>
        <v>152.348047209707</v>
      </c>
      <c r="E2308" s="3" t="n">
        <f aca="false">C2308*100/C$2</f>
        <v>107.110072248194</v>
      </c>
      <c r="F2308" s="0" t="n">
        <v>147.361038171315</v>
      </c>
      <c r="G2308" s="0" t="n">
        <v>115.655194372993</v>
      </c>
      <c r="H2308" s="0" t="n">
        <v>107.917552061198</v>
      </c>
      <c r="I2308" s="0" t="n">
        <v>-7.73764231179415</v>
      </c>
    </row>
    <row r="2309" customFormat="false" ht="13.8" hidden="false" customHeight="false" outlineLevel="0" collapsed="false">
      <c r="A2309" s="2" t="n">
        <v>42699</v>
      </c>
      <c r="B2309" s="0" t="n">
        <v>2213.35</v>
      </c>
      <c r="C2309" s="0" t="n">
        <v>252.26</v>
      </c>
      <c r="D2309" s="3" t="n">
        <f aca="false">B2309*100/B$2</f>
        <v>152.944387628182</v>
      </c>
      <c r="E2309" s="3" t="n">
        <f aca="false">C2309*100/C$2</f>
        <v>107.207819804505</v>
      </c>
      <c r="F2309" s="0" t="n">
        <v>147.390751540949</v>
      </c>
      <c r="G2309" s="0" t="n">
        <v>115.665119833337</v>
      </c>
      <c r="H2309" s="0" t="n">
        <v>108.410539736507</v>
      </c>
      <c r="I2309" s="0" t="n">
        <v>-7.25458009683024</v>
      </c>
    </row>
    <row r="2310" customFormat="false" ht="13.8" hidden="false" customHeight="false" outlineLevel="0" collapsed="false">
      <c r="A2310" s="2" t="n">
        <v>42702</v>
      </c>
      <c r="B2310" s="0" t="n">
        <v>2201.72</v>
      </c>
      <c r="C2310" s="0" t="n">
        <v>252.96</v>
      </c>
      <c r="D2310" s="3" t="n">
        <f aca="false">B2310*100/B$2</f>
        <v>152.140744630863</v>
      </c>
      <c r="E2310" s="3" t="n">
        <f aca="false">C2310*100/C$2</f>
        <v>107.505312367191</v>
      </c>
      <c r="F2310" s="0" t="n">
        <v>146.942977970646</v>
      </c>
      <c r="G2310" s="0" t="n">
        <v>115.515545454196</v>
      </c>
      <c r="H2310" s="0" t="n">
        <v>108.878028049299</v>
      </c>
      <c r="I2310" s="0" t="n">
        <v>-6.63751740489731</v>
      </c>
    </row>
    <row r="2311" customFormat="false" ht="13.8" hidden="false" customHeight="false" outlineLevel="0" collapsed="false">
      <c r="A2311" s="2" t="n">
        <v>42703</v>
      </c>
      <c r="B2311" s="0" t="n">
        <v>2204.66</v>
      </c>
      <c r="C2311" s="0" t="n">
        <v>252.91</v>
      </c>
      <c r="D2311" s="3" t="n">
        <f aca="false">B2311*100/B$2</f>
        <v>152.34390115813</v>
      </c>
      <c r="E2311" s="3" t="n">
        <f aca="false">C2311*100/C$2</f>
        <v>107.484062898428</v>
      </c>
      <c r="F2311" s="0" t="n">
        <v>147.848199231598</v>
      </c>
      <c r="G2311" s="0" t="n">
        <v>115.817925757706</v>
      </c>
      <c r="H2311" s="0" t="n">
        <v>109.638759031024</v>
      </c>
      <c r="I2311" s="0" t="n">
        <v>-6.17916672668169</v>
      </c>
    </row>
    <row r="2312" customFormat="false" ht="13.8" hidden="false" customHeight="false" outlineLevel="0" collapsed="false">
      <c r="A2312" s="2" t="n">
        <v>42704</v>
      </c>
      <c r="B2312" s="0" t="n">
        <v>2198.81</v>
      </c>
      <c r="C2312" s="0" t="n">
        <v>254.26</v>
      </c>
      <c r="D2312" s="3" t="n">
        <f aca="false">B2312*100/B$2</f>
        <v>151.939661129384</v>
      </c>
      <c r="E2312" s="3" t="n">
        <f aca="false">C2312*100/C$2</f>
        <v>108.057798555036</v>
      </c>
      <c r="F2312" s="0" t="n">
        <v>148.172282263191</v>
      </c>
      <c r="G2312" s="0" t="n">
        <v>115.926182522856</v>
      </c>
      <c r="H2312" s="0" t="n">
        <v>109.736506587335</v>
      </c>
      <c r="I2312" s="0" t="n">
        <v>-6.18967593552031</v>
      </c>
    </row>
    <row r="2313" customFormat="false" ht="13.8" hidden="false" customHeight="false" outlineLevel="0" collapsed="false">
      <c r="A2313" s="2" t="n">
        <v>42705</v>
      </c>
      <c r="B2313" s="0" t="n">
        <v>2191.08</v>
      </c>
      <c r="C2313" s="0" t="n">
        <v>254.48</v>
      </c>
      <c r="D2313" s="3" t="n">
        <f aca="false">B2313*100/B$2</f>
        <v>151.405511484563</v>
      </c>
      <c r="E2313" s="3" t="n">
        <f aca="false">C2313*100/C$2</f>
        <v>108.151296217595</v>
      </c>
      <c r="F2313" s="0" t="n">
        <v>147.968434727328</v>
      </c>
      <c r="G2313" s="0" t="n">
        <v>115.858089248401</v>
      </c>
      <c r="H2313" s="0" t="n">
        <v>109.821504462388</v>
      </c>
      <c r="I2313" s="0" t="n">
        <v>-6.03658478601267</v>
      </c>
    </row>
    <row r="2314" customFormat="false" ht="13.8" hidden="false" customHeight="false" outlineLevel="0" collapsed="false">
      <c r="A2314" s="2" t="n">
        <v>42706</v>
      </c>
      <c r="B2314" s="0" t="n">
        <v>2191.95</v>
      </c>
      <c r="C2314" s="0" t="n">
        <v>252.88</v>
      </c>
      <c r="D2314" s="3" t="n">
        <f aca="false">B2314*100/B$2</f>
        <v>151.465629232428</v>
      </c>
      <c r="E2314" s="3" t="n">
        <f aca="false">C2314*100/C$2</f>
        <v>107.47131321717</v>
      </c>
      <c r="F2314" s="0" t="n">
        <v>147.955996572597</v>
      </c>
      <c r="G2314" s="0" t="n">
        <v>115.853934404536</v>
      </c>
      <c r="H2314" s="0" t="n">
        <v>109.332766680833</v>
      </c>
      <c r="I2314" s="0" t="n">
        <v>-6.5211677237031</v>
      </c>
    </row>
    <row r="2315" customFormat="false" ht="13.8" hidden="false" customHeight="false" outlineLevel="0" collapsed="false">
      <c r="A2315" s="2" t="n">
        <v>42709</v>
      </c>
      <c r="B2315" s="0" t="n">
        <v>2204.71</v>
      </c>
      <c r="C2315" s="0" t="n">
        <v>252.14</v>
      </c>
      <c r="D2315" s="3" t="n">
        <f aca="false">B2315*100/B$2</f>
        <v>152.347356201111</v>
      </c>
      <c r="E2315" s="3" t="n">
        <f aca="false">C2315*100/C$2</f>
        <v>107.156821079473</v>
      </c>
      <c r="F2315" s="0" t="n">
        <v>148.658752314879</v>
      </c>
      <c r="G2315" s="0" t="n">
        <v>116.08868308291</v>
      </c>
      <c r="H2315" s="0" t="n">
        <v>110.276243093923</v>
      </c>
      <c r="I2315" s="0" t="n">
        <v>-5.81243998898711</v>
      </c>
    </row>
    <row r="2316" customFormat="false" ht="13.8" hidden="false" customHeight="false" outlineLevel="0" collapsed="false">
      <c r="A2316" s="2" t="n">
        <v>42710</v>
      </c>
      <c r="B2316" s="0" t="n">
        <v>2212.23</v>
      </c>
      <c r="C2316" s="0" t="n">
        <v>255.63</v>
      </c>
      <c r="D2316" s="3" t="n">
        <f aca="false">B2316*100/B$2</f>
        <v>152.866994665414</v>
      </c>
      <c r="E2316" s="3" t="n">
        <f aca="false">C2316*100/C$2</f>
        <v>108.64003399915</v>
      </c>
      <c r="F2316" s="0" t="n">
        <v>148.094198291827</v>
      </c>
      <c r="G2316" s="0" t="n">
        <v>115.90009933637</v>
      </c>
      <c r="H2316" s="0" t="n">
        <v>109.889502762431</v>
      </c>
      <c r="I2316" s="0" t="n">
        <v>-6.0105965739387</v>
      </c>
    </row>
    <row r="2317" customFormat="false" ht="13.8" hidden="false" customHeight="false" outlineLevel="0" collapsed="false">
      <c r="A2317" s="2" t="n">
        <v>42711</v>
      </c>
      <c r="B2317" s="0" t="n">
        <v>2241.35</v>
      </c>
      <c r="C2317" s="0" t="n">
        <v>256.34</v>
      </c>
      <c r="D2317" s="3" t="n">
        <f aca="false">B2317*100/B$2</f>
        <v>154.879211697394</v>
      </c>
      <c r="E2317" s="3" t="n">
        <f aca="false">C2317*100/C$2</f>
        <v>108.941776455589</v>
      </c>
      <c r="F2317" s="0" t="n">
        <v>147.836452085464</v>
      </c>
      <c r="G2317" s="0" t="n">
        <v>115.8140017385</v>
      </c>
      <c r="H2317" s="0" t="n">
        <v>108.593285167871</v>
      </c>
      <c r="I2317" s="0" t="n">
        <v>-7.22071657062925</v>
      </c>
    </row>
    <row r="2318" customFormat="false" ht="13.8" hidden="false" customHeight="false" outlineLevel="0" collapsed="false">
      <c r="A2318" s="2" t="n">
        <v>42712</v>
      </c>
      <c r="B2318" s="0" t="n">
        <v>2246.19</v>
      </c>
      <c r="C2318" s="0" t="n">
        <v>262</v>
      </c>
      <c r="D2318" s="3" t="n">
        <f aca="false">B2318*100/B$2</f>
        <v>155.213659857929</v>
      </c>
      <c r="E2318" s="3" t="n">
        <f aca="false">C2318*100/C$2</f>
        <v>111.347216319592</v>
      </c>
      <c r="F2318" s="0" t="n">
        <v>147.394897592526</v>
      </c>
      <c r="G2318" s="0" t="n">
        <v>115.666504781292</v>
      </c>
      <c r="H2318" s="0" t="n">
        <v>109.077773055674</v>
      </c>
      <c r="I2318" s="0" t="n">
        <v>-6.5887317256182</v>
      </c>
    </row>
    <row r="2319" customFormat="false" ht="13.8" hidden="false" customHeight="false" outlineLevel="0" collapsed="false">
      <c r="A2319" s="2" t="n">
        <v>42713</v>
      </c>
      <c r="B2319" s="0" t="n">
        <v>2259.53</v>
      </c>
      <c r="C2319" s="0" t="n">
        <v>260.91</v>
      </c>
      <c r="D2319" s="3" t="n">
        <f aca="false">B2319*100/B$2</f>
        <v>156.135465325189</v>
      </c>
      <c r="E2319" s="3" t="n">
        <f aca="false">C2319*100/C$2</f>
        <v>110.883977900552</v>
      </c>
      <c r="F2319" s="0" t="n">
        <v>146.936758893281</v>
      </c>
      <c r="G2319" s="0" t="n">
        <v>115.513468032264</v>
      </c>
      <c r="H2319" s="0" t="n">
        <v>109.022524436889</v>
      </c>
      <c r="I2319" s="0" t="n">
        <v>-6.4909435953745</v>
      </c>
    </row>
    <row r="2320" customFormat="false" ht="13.8" hidden="false" customHeight="false" outlineLevel="0" collapsed="false">
      <c r="A2320" s="2" t="n">
        <v>42716</v>
      </c>
      <c r="B2320" s="0" t="n">
        <v>2256.96</v>
      </c>
      <c r="C2320" s="0" t="n">
        <v>260.72</v>
      </c>
      <c r="D2320" s="3" t="n">
        <f aca="false">B2320*100/B$2</f>
        <v>155.957876115979</v>
      </c>
      <c r="E2320" s="3" t="n">
        <f aca="false">C2320*100/C$2</f>
        <v>110.803229919252</v>
      </c>
      <c r="F2320" s="0" t="n">
        <v>146.918792669781</v>
      </c>
      <c r="G2320" s="0" t="n">
        <v>115.507466591125</v>
      </c>
      <c r="H2320" s="0" t="n">
        <v>108.76753081173</v>
      </c>
      <c r="I2320" s="0" t="n">
        <v>-6.7399357793955</v>
      </c>
    </row>
    <row r="2321" customFormat="false" ht="13.8" hidden="false" customHeight="false" outlineLevel="0" collapsed="false">
      <c r="A2321" s="2" t="n">
        <v>42717</v>
      </c>
      <c r="B2321" s="0" t="n">
        <v>2271.72</v>
      </c>
      <c r="C2321" s="0" t="n">
        <v>261.63</v>
      </c>
      <c r="D2321" s="3" t="n">
        <f aca="false">B2321*100/B$2</f>
        <v>156.977804803892</v>
      </c>
      <c r="E2321" s="3" t="n">
        <f aca="false">C2321*100/C$2</f>
        <v>111.189970250744</v>
      </c>
      <c r="F2321" s="0" t="n">
        <v>145.921667265541</v>
      </c>
      <c r="G2321" s="0" t="n">
        <v>115.174386607946</v>
      </c>
      <c r="H2321" s="0" t="n">
        <v>108.793030174246</v>
      </c>
      <c r="I2321" s="0" t="n">
        <v>-6.38135643370039</v>
      </c>
    </row>
    <row r="2322" customFormat="false" ht="13.8" hidden="false" customHeight="false" outlineLevel="0" collapsed="false">
      <c r="A2322" s="2" t="n">
        <v>42718</v>
      </c>
      <c r="B2322" s="0" t="n">
        <v>2253.28</v>
      </c>
      <c r="C2322" s="0" t="n">
        <v>262</v>
      </c>
      <c r="D2322" s="3" t="n">
        <f aca="false">B2322*100/B$2</f>
        <v>155.703584952597</v>
      </c>
      <c r="E2322" s="3" t="n">
        <f aca="false">C2322*100/C$2</f>
        <v>111.347216319592</v>
      </c>
      <c r="F2322" s="0" t="n">
        <v>144.96945742005</v>
      </c>
      <c r="G2322" s="0" t="n">
        <v>114.856310227613</v>
      </c>
      <c r="H2322" s="0" t="n">
        <v>107.450063748406</v>
      </c>
      <c r="I2322" s="0" t="n">
        <v>-7.40624647920652</v>
      </c>
    </row>
    <row r="2323" customFormat="false" ht="13.8" hidden="false" customHeight="false" outlineLevel="0" collapsed="false">
      <c r="A2323" s="2" t="n">
        <v>42719</v>
      </c>
      <c r="B2323" s="0" t="n">
        <v>2262.03</v>
      </c>
      <c r="C2323" s="0" t="n">
        <v>261.45</v>
      </c>
      <c r="D2323" s="3" t="n">
        <f aca="false">B2323*100/B$2</f>
        <v>156.308217474225</v>
      </c>
      <c r="E2323" s="3" t="n">
        <f aca="false">C2323*100/C$2</f>
        <v>111.113472163196</v>
      </c>
      <c r="F2323" s="0" t="n">
        <v>144.328201442826</v>
      </c>
      <c r="G2323" s="0" t="n">
        <v>114.642104943905</v>
      </c>
      <c r="H2323" s="0" t="n">
        <v>107.479813004675</v>
      </c>
      <c r="I2323" s="0" t="n">
        <v>-7.16229193923019</v>
      </c>
    </row>
    <row r="2324" customFormat="false" ht="13.8" hidden="false" customHeight="false" outlineLevel="0" collapsed="false">
      <c r="A2324" s="2" t="n">
        <v>42720</v>
      </c>
      <c r="B2324" s="0" t="n">
        <v>2258.07</v>
      </c>
      <c r="C2324" s="0" t="n">
        <v>262.56</v>
      </c>
      <c r="D2324" s="3" t="n">
        <f aca="false">B2324*100/B$2</f>
        <v>156.034578070151</v>
      </c>
      <c r="E2324" s="3" t="n">
        <f aca="false">C2324*100/C$2</f>
        <v>111.585210369741</v>
      </c>
      <c r="F2324" s="0" t="n">
        <v>144.087730451367</v>
      </c>
      <c r="G2324" s="0" t="n">
        <v>114.561777962515</v>
      </c>
      <c r="H2324" s="0" t="n">
        <v>107.339566510837</v>
      </c>
      <c r="I2324" s="0" t="n">
        <v>-7.22221145167744</v>
      </c>
    </row>
    <row r="2325" customFormat="false" ht="13.8" hidden="false" customHeight="false" outlineLevel="0" collapsed="false">
      <c r="A2325" s="2" t="n">
        <v>42723</v>
      </c>
      <c r="B2325" s="0" t="n">
        <v>2262.53</v>
      </c>
      <c r="C2325" s="0" t="n">
        <v>261.93</v>
      </c>
      <c r="D2325" s="3" t="n">
        <f aca="false">B2325*100/B$2</f>
        <v>156.342767904033</v>
      </c>
      <c r="E2325" s="3" t="n">
        <f aca="false">C2325*100/C$2</f>
        <v>111.317467063323</v>
      </c>
      <c r="F2325" s="0" t="n">
        <v>147.289864285912</v>
      </c>
      <c r="G2325" s="0" t="n">
        <v>115.631419433098</v>
      </c>
      <c r="H2325" s="0" t="n">
        <v>108.202294942626</v>
      </c>
      <c r="I2325" s="0" t="n">
        <v>-7.42912449047188</v>
      </c>
    </row>
    <row r="2326" customFormat="false" ht="13.8" hidden="false" customHeight="false" outlineLevel="0" collapsed="false">
      <c r="A2326" s="2" t="n">
        <v>42724</v>
      </c>
      <c r="B2326" s="0" t="n">
        <v>2270.76</v>
      </c>
      <c r="C2326" s="0" t="n">
        <v>262.59</v>
      </c>
      <c r="D2326" s="3" t="n">
        <f aca="false">B2326*100/B$2</f>
        <v>156.911467978662</v>
      </c>
      <c r="E2326" s="3" t="n">
        <f aca="false">C2326*100/C$2</f>
        <v>111.597960050999</v>
      </c>
      <c r="F2326" s="0" t="n">
        <v>147.845435197214</v>
      </c>
      <c r="G2326" s="0" t="n">
        <v>115.817002459069</v>
      </c>
      <c r="H2326" s="0" t="n">
        <v>108.482787930302</v>
      </c>
      <c r="I2326" s="0" t="n">
        <v>-7.3342145287675</v>
      </c>
    </row>
    <row r="2327" customFormat="false" ht="13.8" hidden="false" customHeight="false" outlineLevel="0" collapsed="false">
      <c r="A2327" s="2" t="n">
        <v>42725</v>
      </c>
      <c r="B2327" s="0" t="n">
        <v>2265.18</v>
      </c>
      <c r="C2327" s="0" t="n">
        <v>262.1</v>
      </c>
      <c r="D2327" s="3" t="n">
        <f aca="false">B2327*100/B$2</f>
        <v>156.525885182012</v>
      </c>
      <c r="E2327" s="3" t="n">
        <f aca="false">C2327*100/C$2</f>
        <v>111.389715257119</v>
      </c>
      <c r="F2327" s="0" t="n">
        <v>149.483125570082</v>
      </c>
      <c r="G2327" s="0" t="n">
        <v>116.364056901297</v>
      </c>
      <c r="H2327" s="0" t="n">
        <v>106.107097322567</v>
      </c>
      <c r="I2327" s="0" t="n">
        <v>-10.25695957873</v>
      </c>
    </row>
    <row r="2328" customFormat="false" ht="13.8" hidden="false" customHeight="false" outlineLevel="0" collapsed="false">
      <c r="A2328" s="2" t="n">
        <v>42726</v>
      </c>
      <c r="B2328" s="0" t="n">
        <v>2260.96</v>
      </c>
      <c r="C2328" s="0" t="n">
        <v>261.97</v>
      </c>
      <c r="D2328" s="3" t="n">
        <f aca="false">B2328*100/B$2</f>
        <v>156.234279554438</v>
      </c>
      <c r="E2328" s="3" t="n">
        <f aca="false">C2328*100/C$2</f>
        <v>111.334466638334</v>
      </c>
      <c r="F2328" s="0" t="n">
        <v>149.774731197656</v>
      </c>
      <c r="G2328" s="0" t="n">
        <v>116.461464907466</v>
      </c>
      <c r="H2328" s="0" t="n">
        <v>108.504037399065</v>
      </c>
      <c r="I2328" s="0" t="n">
        <v>-7.95742750840076</v>
      </c>
    </row>
    <row r="2329" customFormat="false" ht="13.8" hidden="false" customHeight="false" outlineLevel="0" collapsed="false">
      <c r="A2329" s="2" t="n">
        <v>42727</v>
      </c>
      <c r="B2329" s="0" t="n">
        <v>2263.79</v>
      </c>
      <c r="C2329" s="0" t="n">
        <v>261.61</v>
      </c>
      <c r="D2329" s="3" t="n">
        <f aca="false">B2329*100/B$2</f>
        <v>156.429834987147</v>
      </c>
      <c r="E2329" s="3" t="n">
        <f aca="false">C2329*100/C$2</f>
        <v>111.181470463238</v>
      </c>
      <c r="F2329" s="0" t="n">
        <v>149.565355593024</v>
      </c>
      <c r="G2329" s="0" t="n">
        <v>116.391525035738</v>
      </c>
      <c r="H2329" s="0" t="n">
        <v>107.093072673183</v>
      </c>
      <c r="I2329" s="0" t="n">
        <v>-9.29845236255476</v>
      </c>
    </row>
    <row r="2330" customFormat="false" ht="13.8" hidden="false" customHeight="false" outlineLevel="0" collapsed="false">
      <c r="A2330" s="2" t="n">
        <v>42730</v>
      </c>
      <c r="B2330" s="0" t="n">
        <v>2263.79</v>
      </c>
      <c r="C2330" s="0" t="n">
        <v>261.9</v>
      </c>
      <c r="D2330" s="3" t="n">
        <f aca="false">B2330*100/B$2</f>
        <v>156.429834987147</v>
      </c>
      <c r="E2330" s="3" t="n">
        <f aca="false">C2330*100/C$2</f>
        <v>111.304717382065</v>
      </c>
      <c r="F2330" s="0" t="n">
        <v>149.54808037812</v>
      </c>
      <c r="G2330" s="0" t="n">
        <v>116.385754419259</v>
      </c>
      <c r="H2330" s="0" t="n">
        <v>106.251593710157</v>
      </c>
      <c r="I2330" s="0" t="n">
        <v>-10.1341607091015</v>
      </c>
    </row>
    <row r="2331" customFormat="false" ht="13.8" hidden="false" customHeight="false" outlineLevel="0" collapsed="false">
      <c r="A2331" s="2" t="n">
        <v>42731</v>
      </c>
      <c r="B2331" s="0" t="n">
        <v>2268.88</v>
      </c>
      <c r="C2331" s="0" t="n">
        <v>262.49</v>
      </c>
      <c r="D2331" s="3" t="n">
        <f aca="false">B2331*100/B$2</f>
        <v>156.781558362586</v>
      </c>
      <c r="E2331" s="3" t="n">
        <f aca="false">C2331*100/C$2</f>
        <v>111.555461113472</v>
      </c>
      <c r="F2331" s="0" t="n">
        <v>150.666823295282</v>
      </c>
      <c r="G2331" s="0" t="n">
        <v>116.759459542451</v>
      </c>
      <c r="H2331" s="0" t="n">
        <v>105.907352316192</v>
      </c>
      <c r="I2331" s="0" t="n">
        <v>-10.8521072262593</v>
      </c>
    </row>
    <row r="2332" customFormat="false" ht="13.8" hidden="false" customHeight="false" outlineLevel="0" collapsed="false">
      <c r="A2332" s="2" t="n">
        <v>42732</v>
      </c>
      <c r="B2332" s="0" t="n">
        <v>2249.92</v>
      </c>
      <c r="C2332" s="0" t="n">
        <v>259.7</v>
      </c>
      <c r="D2332" s="3" t="n">
        <f aca="false">B2332*100/B$2</f>
        <v>155.471406064291</v>
      </c>
      <c r="E2332" s="3" t="n">
        <f aca="false">C2332*100/C$2</f>
        <v>110.369740756481</v>
      </c>
      <c r="F2332" s="0" t="n">
        <v>150.428425329611</v>
      </c>
      <c r="G2332" s="0" t="n">
        <v>116.679825035039</v>
      </c>
      <c r="H2332" s="0" t="n">
        <v>106.38334041649</v>
      </c>
      <c r="I2332" s="0" t="n">
        <v>-10.2964846185489</v>
      </c>
    </row>
    <row r="2333" customFormat="false" ht="13.8" hidden="false" customHeight="false" outlineLevel="0" collapsed="false">
      <c r="A2333" s="2" t="n">
        <v>42733</v>
      </c>
      <c r="B2333" s="0" t="n">
        <v>2249.26</v>
      </c>
      <c r="C2333" s="0" t="n">
        <v>260.01</v>
      </c>
      <c r="D2333" s="3" t="n">
        <f aca="false">B2333*100/B$2</f>
        <v>155.425799496946</v>
      </c>
      <c r="E2333" s="3" t="n">
        <f aca="false">C2333*100/C$2</f>
        <v>110.501487462813</v>
      </c>
      <c r="F2333" s="0" t="n">
        <v>151.131872080489</v>
      </c>
      <c r="G2333" s="0" t="n">
        <v>116.914804538071</v>
      </c>
      <c r="H2333" s="0" t="n">
        <v>106.442838929027</v>
      </c>
      <c r="I2333" s="0" t="n">
        <v>-10.4719656090446</v>
      </c>
    </row>
    <row r="2334" customFormat="false" ht="13.8" hidden="false" customHeight="false" outlineLevel="0" collapsed="false">
      <c r="A2334" s="2" t="n">
        <v>42734</v>
      </c>
      <c r="B2334" s="0" t="n">
        <v>2238.83</v>
      </c>
      <c r="C2334" s="0" t="n">
        <v>260.01</v>
      </c>
      <c r="D2334" s="3" t="n">
        <f aca="false">B2334*100/B$2</f>
        <v>154.705077531164</v>
      </c>
      <c r="E2334" s="3" t="n">
        <f aca="false">C2334*100/C$2</f>
        <v>110.501487462813</v>
      </c>
      <c r="F2334" s="0" t="n">
        <v>150.7711655933</v>
      </c>
      <c r="G2334" s="0" t="n">
        <v>116.794314065986</v>
      </c>
      <c r="H2334" s="0" t="n">
        <v>106.33659158521</v>
      </c>
      <c r="I2334" s="0" t="n">
        <v>-10.4577224807754</v>
      </c>
    </row>
    <row r="2335" customFormat="false" ht="13.8" hidden="false" customHeight="false" outlineLevel="0" collapsed="false">
      <c r="A2335" s="2" t="n">
        <v>42737</v>
      </c>
      <c r="B2335" s="0" t="n">
        <v>2238.83</v>
      </c>
      <c r="C2335" s="0" t="n">
        <v>260.36</v>
      </c>
      <c r="D2335" s="3" t="n">
        <f aca="false">B2335*100/B$2</f>
        <v>154.705077531164</v>
      </c>
      <c r="E2335" s="3" t="n">
        <f aca="false">C2335*100/C$2</f>
        <v>110.650233744156</v>
      </c>
      <c r="F2335" s="0" t="n">
        <v>151.896127587827</v>
      </c>
      <c r="G2335" s="0" t="n">
        <v>117.170096611111</v>
      </c>
      <c r="H2335" s="0" t="n">
        <v>106.039099022524</v>
      </c>
      <c r="I2335" s="0" t="n">
        <v>-11.1309975885865</v>
      </c>
    </row>
    <row r="2336" customFormat="false" ht="13.8" hidden="false" customHeight="false" outlineLevel="0" collapsed="false">
      <c r="A2336" s="2" t="n">
        <v>42738</v>
      </c>
      <c r="B2336" s="0" t="n">
        <v>2257.83</v>
      </c>
      <c r="C2336" s="0" t="n">
        <v>262.97</v>
      </c>
      <c r="D2336" s="3" t="n">
        <f aca="false">B2336*100/B$2</f>
        <v>156.017993863844</v>
      </c>
      <c r="E2336" s="3" t="n">
        <f aca="false">C2336*100/C$2</f>
        <v>111.7594560136</v>
      </c>
      <c r="F2336" s="0" t="n">
        <v>152.225047679593</v>
      </c>
      <c r="G2336" s="0" t="n">
        <v>117.279969148875</v>
      </c>
      <c r="H2336" s="0" t="n">
        <v>107.254568635784</v>
      </c>
      <c r="I2336" s="0" t="n">
        <v>-10.0254005130907</v>
      </c>
    </row>
    <row r="2337" customFormat="false" ht="13.8" hidden="false" customHeight="false" outlineLevel="0" collapsed="false">
      <c r="A2337" s="2" t="n">
        <v>42739</v>
      </c>
      <c r="B2337" s="0" t="n">
        <v>2270.75</v>
      </c>
      <c r="C2337" s="0" t="n">
        <v>263.12</v>
      </c>
      <c r="D2337" s="3" t="n">
        <f aca="false">B2337*100/B$2</f>
        <v>156.910776970066</v>
      </c>
      <c r="E2337" s="3" t="n">
        <f aca="false">C2337*100/C$2</f>
        <v>111.823204419889</v>
      </c>
      <c r="F2337" s="0" t="n">
        <v>152.348047209707</v>
      </c>
      <c r="G2337" s="0" t="n">
        <v>117.321055938207</v>
      </c>
      <c r="H2337" s="0" t="n">
        <v>107.802804929877</v>
      </c>
      <c r="I2337" s="0" t="n">
        <v>-9.51825100832994</v>
      </c>
    </row>
    <row r="2338" customFormat="false" ht="13.8" hidden="false" customHeight="false" outlineLevel="0" collapsed="false">
      <c r="A2338" s="2" t="n">
        <v>42740</v>
      </c>
      <c r="B2338" s="0" t="n">
        <v>2269</v>
      </c>
      <c r="C2338" s="0" t="n">
        <v>261.98</v>
      </c>
      <c r="D2338" s="3" t="n">
        <f aca="false">B2338*100/B$2</f>
        <v>156.78985046574</v>
      </c>
      <c r="E2338" s="3" t="n">
        <f aca="false">C2338*100/C$2</f>
        <v>111.338716532087</v>
      </c>
      <c r="F2338" s="0" t="n">
        <v>152.348047209707</v>
      </c>
      <c r="G2338" s="0" t="n">
        <v>117.321055938207</v>
      </c>
      <c r="H2338" s="0" t="n">
        <v>107.110072248194</v>
      </c>
      <c r="I2338" s="0" t="n">
        <v>-10.2109836900129</v>
      </c>
    </row>
    <row r="2339" customFormat="false" ht="13.8" hidden="false" customHeight="false" outlineLevel="0" collapsed="false">
      <c r="A2339" s="2" t="n">
        <v>42741</v>
      </c>
      <c r="B2339" s="0" t="n">
        <v>2276.98</v>
      </c>
      <c r="C2339" s="0" t="n">
        <v>263.2</v>
      </c>
      <c r="D2339" s="3" t="n">
        <f aca="false">B2339*100/B$2</f>
        <v>157.341275325465</v>
      </c>
      <c r="E2339" s="3" t="n">
        <f aca="false">C2339*100/C$2</f>
        <v>111.857203569911</v>
      </c>
      <c r="F2339" s="0" t="n">
        <v>152.944387628182</v>
      </c>
      <c r="G2339" s="0" t="n">
        <v>117.520257619069</v>
      </c>
      <c r="H2339" s="0" t="n">
        <v>107.207819804505</v>
      </c>
      <c r="I2339" s="0" t="n">
        <v>-10.3124378145636</v>
      </c>
    </row>
    <row r="2340" customFormat="false" ht="13.8" hidden="false" customHeight="false" outlineLevel="0" collapsed="false">
      <c r="A2340" s="2" t="n">
        <v>42744</v>
      </c>
      <c r="B2340" s="0" t="n">
        <v>2268.9</v>
      </c>
      <c r="C2340" s="0" t="n">
        <v>263.74</v>
      </c>
      <c r="D2340" s="3" t="n">
        <f aca="false">B2340*100/B$2</f>
        <v>156.782940379778</v>
      </c>
      <c r="E2340" s="3" t="n">
        <f aca="false">C2340*100/C$2</f>
        <v>112.086697832554</v>
      </c>
      <c r="F2340" s="0" t="n">
        <v>152.140744630863</v>
      </c>
      <c r="G2340" s="0" t="n">
        <v>117.251808540456</v>
      </c>
      <c r="H2340" s="0" t="n">
        <v>107.505312367191</v>
      </c>
      <c r="I2340" s="0" t="n">
        <v>-9.74649617326554</v>
      </c>
    </row>
    <row r="2341" customFormat="false" ht="13.8" hidden="false" customHeight="false" outlineLevel="0" collapsed="false">
      <c r="A2341" s="2" t="n">
        <v>42745</v>
      </c>
      <c r="B2341" s="0" t="n">
        <v>2268.9</v>
      </c>
      <c r="C2341" s="0" t="n">
        <v>263.73</v>
      </c>
      <c r="D2341" s="3" t="n">
        <f aca="false">B2341*100/B$2</f>
        <v>156.782940379778</v>
      </c>
      <c r="E2341" s="3" t="n">
        <f aca="false">C2341*100/C$2</f>
        <v>112.082447938802</v>
      </c>
      <c r="F2341" s="0" t="n">
        <v>152.34390115813</v>
      </c>
      <c r="G2341" s="0" t="n">
        <v>117.319670990252</v>
      </c>
      <c r="H2341" s="0" t="n">
        <v>107.484062898428</v>
      </c>
      <c r="I2341" s="0" t="n">
        <v>-9.83560809182416</v>
      </c>
    </row>
    <row r="2342" customFormat="false" ht="13.8" hidden="false" customHeight="false" outlineLevel="0" collapsed="false">
      <c r="A2342" s="2" t="n">
        <v>42746</v>
      </c>
      <c r="B2342" s="0" t="n">
        <v>2275.32</v>
      </c>
      <c r="C2342" s="0" t="n">
        <v>268.15</v>
      </c>
      <c r="D2342" s="3" t="n">
        <f aca="false">B2342*100/B$2</f>
        <v>157.226567898505</v>
      </c>
      <c r="E2342" s="3" t="n">
        <f aca="false">C2342*100/C$2</f>
        <v>113.960900977476</v>
      </c>
      <c r="F2342" s="0" t="n">
        <v>151.939661129384</v>
      </c>
      <c r="G2342" s="0" t="n">
        <v>117.184638564639</v>
      </c>
      <c r="H2342" s="0" t="n">
        <v>108.057798555036</v>
      </c>
      <c r="I2342" s="0" t="n">
        <v>-9.1268400096024</v>
      </c>
    </row>
    <row r="2343" customFormat="false" ht="13.8" hidden="false" customHeight="false" outlineLevel="0" collapsed="false">
      <c r="A2343" s="2" t="n">
        <v>42747</v>
      </c>
      <c r="B2343" s="0" t="n">
        <v>2270.44</v>
      </c>
      <c r="C2343" s="0" t="n">
        <v>269.95</v>
      </c>
      <c r="D2343" s="3" t="n">
        <f aca="false">B2343*100/B$2</f>
        <v>156.889355703585</v>
      </c>
      <c r="E2343" s="3" t="n">
        <f aca="false">C2343*100/C$2</f>
        <v>114.725881852954</v>
      </c>
      <c r="F2343" s="0" t="n">
        <v>151.405511484563</v>
      </c>
      <c r="G2343" s="0" t="n">
        <v>117.006211103102</v>
      </c>
      <c r="H2343" s="0" t="n">
        <v>108.151296217595</v>
      </c>
      <c r="I2343" s="0" t="n">
        <v>-8.85491488550726</v>
      </c>
    </row>
    <row r="2344" customFormat="false" ht="13.8" hidden="false" customHeight="false" outlineLevel="0" collapsed="false">
      <c r="A2344" s="2" t="n">
        <v>42748</v>
      </c>
      <c r="B2344" s="0" t="n">
        <v>2274.64</v>
      </c>
      <c r="C2344" s="0" t="n">
        <v>267.91</v>
      </c>
      <c r="D2344" s="3" t="n">
        <f aca="false">B2344*100/B$2</f>
        <v>157.179579313967</v>
      </c>
      <c r="E2344" s="3" t="n">
        <f aca="false">C2344*100/C$2</f>
        <v>113.858903527412</v>
      </c>
      <c r="F2344" s="0" t="n">
        <v>151.465629232428</v>
      </c>
      <c r="G2344" s="0" t="n">
        <v>117.026292848449</v>
      </c>
      <c r="H2344" s="0" t="n">
        <v>107.47131321717</v>
      </c>
      <c r="I2344" s="0" t="n">
        <v>-9.55497963127984</v>
      </c>
    </row>
    <row r="2345" customFormat="false" ht="13.8" hidden="false" customHeight="false" outlineLevel="0" collapsed="false">
      <c r="A2345" s="2" t="n">
        <v>42751</v>
      </c>
      <c r="B2345" s="0" t="n">
        <v>2274.64</v>
      </c>
      <c r="C2345" s="0" t="n">
        <v>266.15</v>
      </c>
      <c r="D2345" s="3" t="n">
        <f aca="false">B2345*100/B$2</f>
        <v>157.179579313967</v>
      </c>
      <c r="E2345" s="3" t="n">
        <f aca="false">C2345*100/C$2</f>
        <v>113.110922226944</v>
      </c>
      <c r="F2345" s="0" t="n">
        <v>152.347356201111</v>
      </c>
      <c r="G2345" s="0" t="n">
        <v>117.320825113548</v>
      </c>
      <c r="H2345" s="0" t="n">
        <v>107.156821079473</v>
      </c>
      <c r="I2345" s="0" t="n">
        <v>-10.1640040340745</v>
      </c>
    </row>
    <row r="2346" customFormat="false" ht="13.8" hidden="false" customHeight="false" outlineLevel="0" collapsed="false">
      <c r="A2346" s="2" t="n">
        <v>42752</v>
      </c>
      <c r="B2346" s="0" t="n">
        <v>2267.89</v>
      </c>
      <c r="C2346" s="0" t="n">
        <v>267.37</v>
      </c>
      <c r="D2346" s="3" t="n">
        <f aca="false">B2346*100/B$2</f>
        <v>156.713148511567</v>
      </c>
      <c r="E2346" s="3" t="n">
        <f aca="false">C2346*100/C$2</f>
        <v>113.629409264768</v>
      </c>
      <c r="F2346" s="0" t="n">
        <v>152.866994665414</v>
      </c>
      <c r="G2346" s="0" t="n">
        <v>117.494405257242</v>
      </c>
      <c r="H2346" s="0" t="n">
        <v>108.64003399915</v>
      </c>
      <c r="I2346" s="0" t="n">
        <v>-8.85437125809172</v>
      </c>
    </row>
    <row r="2347" customFormat="false" ht="13.8" hidden="false" customHeight="false" outlineLevel="0" collapsed="false">
      <c r="A2347" s="2" t="n">
        <v>42753</v>
      </c>
      <c r="B2347" s="0" t="n">
        <v>2271.89</v>
      </c>
      <c r="C2347" s="0" t="n">
        <v>267.08</v>
      </c>
      <c r="D2347" s="3" t="n">
        <f aca="false">B2347*100/B$2</f>
        <v>156.989551950026</v>
      </c>
      <c r="E2347" s="3" t="n">
        <f aca="false">C2347*100/C$2</f>
        <v>113.506162345941</v>
      </c>
      <c r="F2347" s="0" t="n">
        <v>154.879211697394</v>
      </c>
      <c r="G2347" s="0" t="n">
        <v>118.166566664738</v>
      </c>
      <c r="H2347" s="0" t="n">
        <v>108.941776455589</v>
      </c>
      <c r="I2347" s="0" t="n">
        <v>-9.2247902091498</v>
      </c>
    </row>
    <row r="2348" customFormat="false" ht="13.8" hidden="false" customHeight="false" outlineLevel="0" collapsed="false">
      <c r="A2348" s="2" t="n">
        <v>42754</v>
      </c>
      <c r="B2348" s="0" t="n">
        <v>2263.69</v>
      </c>
      <c r="C2348" s="0" t="n">
        <v>267.7</v>
      </c>
      <c r="D2348" s="3" t="n">
        <f aca="false">B2348*100/B$2</f>
        <v>156.422924901186</v>
      </c>
      <c r="E2348" s="3" t="n">
        <f aca="false">C2348*100/C$2</f>
        <v>113.769655758606</v>
      </c>
      <c r="F2348" s="0" t="n">
        <v>155.213659857929</v>
      </c>
      <c r="G2348" s="0" t="n">
        <v>118.278285799776</v>
      </c>
      <c r="H2348" s="0" t="n">
        <v>111.347216319592</v>
      </c>
      <c r="I2348" s="0" t="n">
        <v>-6.93106948018361</v>
      </c>
    </row>
    <row r="2349" customFormat="false" ht="13.8" hidden="false" customHeight="false" outlineLevel="0" collapsed="false">
      <c r="A2349" s="2" t="n">
        <v>42755</v>
      </c>
      <c r="B2349" s="0" t="n">
        <v>2271.31</v>
      </c>
      <c r="C2349" s="0" t="n">
        <v>266.52</v>
      </c>
      <c r="D2349" s="3" t="n">
        <f aca="false">B2349*100/B$2</f>
        <v>156.94947345145</v>
      </c>
      <c r="E2349" s="3" t="n">
        <f aca="false">C2349*100/C$2</f>
        <v>113.268168295793</v>
      </c>
      <c r="F2349" s="0" t="n">
        <v>156.135465325189</v>
      </c>
      <c r="G2349" s="0" t="n">
        <v>118.586205895106</v>
      </c>
      <c r="H2349" s="0" t="n">
        <v>110.883977900552</v>
      </c>
      <c r="I2349" s="0" t="n">
        <v>-7.70222799455298</v>
      </c>
    </row>
    <row r="2350" customFormat="false" ht="13.8" hidden="false" customHeight="false" outlineLevel="0" collapsed="false">
      <c r="A2350" s="2" t="n">
        <v>42758</v>
      </c>
      <c r="B2350" s="0" t="n">
        <v>2265.2</v>
      </c>
      <c r="C2350" s="0" t="n">
        <v>267.12</v>
      </c>
      <c r="D2350" s="3" t="n">
        <f aca="false">B2350*100/B$2</f>
        <v>156.527267199204</v>
      </c>
      <c r="E2350" s="3" t="n">
        <f aca="false">C2350*100/C$2</f>
        <v>113.523161920952</v>
      </c>
      <c r="F2350" s="0" t="n">
        <v>155.957876115979</v>
      </c>
      <c r="G2350" s="0" t="n">
        <v>118.526883957699</v>
      </c>
      <c r="H2350" s="0" t="n">
        <v>110.803229919252</v>
      </c>
      <c r="I2350" s="0" t="n">
        <v>-7.72365403844731</v>
      </c>
    </row>
    <row r="2351" customFormat="false" ht="13.8" hidden="false" customHeight="false" outlineLevel="0" collapsed="false">
      <c r="A2351" s="2" t="n">
        <v>42759</v>
      </c>
      <c r="B2351" s="0" t="n">
        <v>2280.07</v>
      </c>
      <c r="C2351" s="0" t="n">
        <v>267.3</v>
      </c>
      <c r="D2351" s="3" t="n">
        <f aca="false">B2351*100/B$2</f>
        <v>157.554796981674</v>
      </c>
      <c r="E2351" s="3" t="n">
        <f aca="false">C2351*100/C$2</f>
        <v>113.5996600085</v>
      </c>
      <c r="F2351" s="0" t="n">
        <v>156.977804803892</v>
      </c>
      <c r="G2351" s="0" t="n">
        <v>118.867581154631</v>
      </c>
      <c r="H2351" s="0" t="n">
        <v>111.189970250744</v>
      </c>
      <c r="I2351" s="0" t="n">
        <v>-7.67761090388731</v>
      </c>
    </row>
    <row r="2352" customFormat="false" ht="13.8" hidden="false" customHeight="false" outlineLevel="0" collapsed="false">
      <c r="A2352" s="2" t="n">
        <v>42760</v>
      </c>
      <c r="B2352" s="0" t="n">
        <v>2298.37</v>
      </c>
      <c r="C2352" s="0" t="n">
        <v>268.15</v>
      </c>
      <c r="D2352" s="3" t="n">
        <f aca="false">B2352*100/B$2</f>
        <v>158.819342712623</v>
      </c>
      <c r="E2352" s="3" t="n">
        <f aca="false">C2352*100/C$2</f>
        <v>113.960900977476</v>
      </c>
      <c r="F2352" s="0" t="n">
        <v>155.703584952597</v>
      </c>
      <c r="G2352" s="0" t="n">
        <v>118.441940483126</v>
      </c>
      <c r="H2352" s="0" t="n">
        <v>111.347216319592</v>
      </c>
      <c r="I2352" s="0" t="n">
        <v>-7.09472416353358</v>
      </c>
    </row>
    <row r="2353" customFormat="false" ht="13.8" hidden="false" customHeight="false" outlineLevel="0" collapsed="false">
      <c r="A2353" s="2" t="n">
        <v>42761</v>
      </c>
      <c r="B2353" s="0" t="n">
        <v>2296.68</v>
      </c>
      <c r="C2353" s="0" t="n">
        <v>270.48</v>
      </c>
      <c r="D2353" s="3" t="n">
        <f aca="false">B2353*100/B$2</f>
        <v>158.702562259875</v>
      </c>
      <c r="E2353" s="3" t="n">
        <f aca="false">C2353*100/C$2</f>
        <v>114.951126221844</v>
      </c>
      <c r="F2353" s="0" t="n">
        <v>156.308217474225</v>
      </c>
      <c r="G2353" s="0" t="n">
        <v>118.643912059897</v>
      </c>
      <c r="H2353" s="0" t="n">
        <v>111.113472163196</v>
      </c>
      <c r="I2353" s="0" t="n">
        <v>-7.53043989670152</v>
      </c>
    </row>
    <row r="2354" customFormat="false" ht="13.8" hidden="false" customHeight="false" outlineLevel="0" collapsed="false">
      <c r="A2354" s="2" t="n">
        <v>42762</v>
      </c>
      <c r="B2354" s="0" t="n">
        <v>2294.69</v>
      </c>
      <c r="C2354" s="0" t="n">
        <v>270.48</v>
      </c>
      <c r="D2354" s="3" t="n">
        <f aca="false">B2354*100/B$2</f>
        <v>158.565051549241</v>
      </c>
      <c r="E2354" s="3" t="n">
        <f aca="false">C2354*100/C$2</f>
        <v>114.951126221844</v>
      </c>
      <c r="F2354" s="0" t="n">
        <v>156.034578070151</v>
      </c>
      <c r="G2354" s="0" t="n">
        <v>118.552505494867</v>
      </c>
      <c r="H2354" s="0" t="n">
        <v>111.585210369741</v>
      </c>
      <c r="I2354" s="0" t="n">
        <v>-6.96729512512623</v>
      </c>
    </row>
    <row r="2355" customFormat="false" ht="13.8" hidden="false" customHeight="false" outlineLevel="0" collapsed="false">
      <c r="A2355" s="2" t="n">
        <v>42765</v>
      </c>
      <c r="B2355" s="0" t="n">
        <v>2280.9</v>
      </c>
      <c r="C2355" s="0" t="n">
        <v>270.48</v>
      </c>
      <c r="D2355" s="3" t="n">
        <f aca="false">B2355*100/B$2</f>
        <v>157.612150695155</v>
      </c>
      <c r="E2355" s="3" t="n">
        <f aca="false">C2355*100/C$2</f>
        <v>114.951126221844</v>
      </c>
      <c r="F2355" s="0" t="n">
        <v>156.342767904033</v>
      </c>
      <c r="G2355" s="0" t="n">
        <v>118.655453292856</v>
      </c>
      <c r="H2355" s="0" t="n">
        <v>111.317467063323</v>
      </c>
      <c r="I2355" s="0" t="n">
        <v>-7.33798622953242</v>
      </c>
    </row>
    <row r="2356" customFormat="false" ht="13.8" hidden="false" customHeight="false" outlineLevel="0" collapsed="false">
      <c r="A2356" s="2" t="n">
        <v>42766</v>
      </c>
      <c r="B2356" s="0" t="n">
        <v>2278.87</v>
      </c>
      <c r="C2356" s="0" t="n">
        <v>268.09</v>
      </c>
      <c r="D2356" s="3" t="n">
        <f aca="false">B2356*100/B$2</f>
        <v>157.471875950137</v>
      </c>
      <c r="E2356" s="3" t="n">
        <f aca="false">C2356*100/C$2</f>
        <v>113.93540161496</v>
      </c>
      <c r="F2356" s="0" t="n">
        <v>156.911467978662</v>
      </c>
      <c r="G2356" s="0" t="n">
        <v>118.845421987351</v>
      </c>
      <c r="H2356" s="0" t="n">
        <v>111.597960050999</v>
      </c>
      <c r="I2356" s="0" t="n">
        <v>-7.24746193635222</v>
      </c>
    </row>
    <row r="2357" customFormat="false" ht="13.8" hidden="false" customHeight="false" outlineLevel="0" collapsed="false">
      <c r="A2357" s="2" t="n">
        <v>42767</v>
      </c>
      <c r="B2357" s="0" t="n">
        <v>2279.55</v>
      </c>
      <c r="C2357" s="0" t="n">
        <v>269.56</v>
      </c>
      <c r="D2357" s="3" t="n">
        <f aca="false">B2357*100/B$2</f>
        <v>157.518864534675</v>
      </c>
      <c r="E2357" s="3" t="n">
        <f aca="false">C2357*100/C$2</f>
        <v>114.5601359966</v>
      </c>
      <c r="F2357" s="0" t="n">
        <v>156.525885182012</v>
      </c>
      <c r="G2357" s="0" t="n">
        <v>118.716621827535</v>
      </c>
      <c r="H2357" s="0" t="n">
        <v>111.389715257119</v>
      </c>
      <c r="I2357" s="0" t="n">
        <v>-7.3269065704167</v>
      </c>
    </row>
    <row r="2358" customFormat="false" ht="13.8" hidden="false" customHeight="false" outlineLevel="0" collapsed="false">
      <c r="A2358" s="2" t="n">
        <v>42768</v>
      </c>
      <c r="B2358" s="0" t="n">
        <v>2280.85</v>
      </c>
      <c r="C2358" s="0" t="n">
        <v>268.49</v>
      </c>
      <c r="D2358" s="3" t="n">
        <f aca="false">B2358*100/B$2</f>
        <v>157.608695652174</v>
      </c>
      <c r="E2358" s="3" t="n">
        <f aca="false">C2358*100/C$2</f>
        <v>114.105397365066</v>
      </c>
      <c r="F2358" s="0" t="n">
        <v>156.234279554438</v>
      </c>
      <c r="G2358" s="0" t="n">
        <v>118.619213821366</v>
      </c>
      <c r="H2358" s="0" t="n">
        <v>111.334466638334</v>
      </c>
      <c r="I2358" s="0" t="n">
        <v>-7.28474718303242</v>
      </c>
    </row>
    <row r="2359" customFormat="false" ht="13.8" hidden="false" customHeight="false" outlineLevel="0" collapsed="false">
      <c r="A2359" s="2" t="n">
        <v>42769</v>
      </c>
      <c r="B2359" s="0" t="n">
        <v>2297.42</v>
      </c>
      <c r="C2359" s="0" t="n">
        <v>268.85</v>
      </c>
      <c r="D2359" s="3" t="n">
        <f aca="false">B2359*100/B$2</f>
        <v>158.753696895989</v>
      </c>
      <c r="E2359" s="3" t="n">
        <f aca="false">C2359*100/C$2</f>
        <v>114.258393540162</v>
      </c>
      <c r="F2359" s="0" t="n">
        <v>156.429834987147</v>
      </c>
      <c r="G2359" s="0" t="n">
        <v>118.684537199911</v>
      </c>
      <c r="H2359" s="0" t="n">
        <v>111.181470463238</v>
      </c>
      <c r="I2359" s="0" t="n">
        <v>-7.50306673667257</v>
      </c>
    </row>
    <row r="2360" customFormat="false" ht="13.8" hidden="false" customHeight="false" outlineLevel="0" collapsed="false">
      <c r="A2360" s="2" t="n">
        <v>42772</v>
      </c>
      <c r="B2360" s="0" t="n">
        <v>2292.56</v>
      </c>
      <c r="C2360" s="0" t="n">
        <v>269.49</v>
      </c>
      <c r="D2360" s="3" t="n">
        <f aca="false">B2360*100/B$2</f>
        <v>158.417866718262</v>
      </c>
      <c r="E2360" s="3" t="n">
        <f aca="false">C2360*100/C$2</f>
        <v>114.530386740331</v>
      </c>
      <c r="F2360" s="0" t="n">
        <v>156.429834987147</v>
      </c>
      <c r="G2360" s="0" t="n">
        <v>118.684537199911</v>
      </c>
      <c r="H2360" s="0" t="n">
        <v>111.304717382065</v>
      </c>
      <c r="I2360" s="0" t="n">
        <v>-7.37981981784554</v>
      </c>
    </row>
    <row r="2361" customFormat="false" ht="13.8" hidden="false" customHeight="false" outlineLevel="0" collapsed="false">
      <c r="A2361" s="2" t="n">
        <v>42773</v>
      </c>
      <c r="B2361" s="0" t="n">
        <v>2293.08</v>
      </c>
      <c r="C2361" s="0" t="n">
        <v>268.97</v>
      </c>
      <c r="D2361" s="3" t="n">
        <f aca="false">B2361*100/B$2</f>
        <v>158.453799165262</v>
      </c>
      <c r="E2361" s="3" t="n">
        <f aca="false">C2361*100/C$2</f>
        <v>114.309392265193</v>
      </c>
      <c r="F2361" s="0" t="n">
        <v>156.781558362586</v>
      </c>
      <c r="G2361" s="0" t="n">
        <v>118.802026951427</v>
      </c>
      <c r="H2361" s="0" t="n">
        <v>111.555461113472</v>
      </c>
      <c r="I2361" s="0" t="n">
        <v>-7.24656583795522</v>
      </c>
    </row>
    <row r="2362" customFormat="false" ht="13.8" hidden="false" customHeight="false" outlineLevel="0" collapsed="false">
      <c r="A2362" s="2" t="n">
        <v>42774</v>
      </c>
      <c r="B2362" s="0" t="n">
        <v>2294.67</v>
      </c>
      <c r="C2362" s="0" t="n">
        <v>267.72</v>
      </c>
      <c r="D2362" s="3" t="n">
        <f aca="false">B2362*100/B$2</f>
        <v>158.563669532049</v>
      </c>
      <c r="E2362" s="3" t="n">
        <f aca="false">C2362*100/C$2</f>
        <v>113.778155546111</v>
      </c>
      <c r="F2362" s="0" t="n">
        <v>155.471406064291</v>
      </c>
      <c r="G2362" s="0" t="n">
        <v>118.364383397645</v>
      </c>
      <c r="H2362" s="0" t="n">
        <v>110.369740756481</v>
      </c>
      <c r="I2362" s="0" t="n">
        <v>-7.99464264116413</v>
      </c>
    </row>
    <row r="2363" customFormat="false" ht="13.8" hidden="false" customHeight="false" outlineLevel="0" collapsed="false">
      <c r="A2363" s="2" t="n">
        <v>42775</v>
      </c>
      <c r="B2363" s="0" t="n">
        <v>2307.87</v>
      </c>
      <c r="C2363" s="0" t="n">
        <v>267.69</v>
      </c>
      <c r="D2363" s="3" t="n">
        <f aca="false">B2363*100/B$2</f>
        <v>159.475800878963</v>
      </c>
      <c r="E2363" s="3" t="n">
        <f aca="false">C2363*100/C$2</f>
        <v>113.765405864853</v>
      </c>
      <c r="F2363" s="0" t="n">
        <v>155.425799496946</v>
      </c>
      <c r="G2363" s="0" t="n">
        <v>118.34914897014</v>
      </c>
      <c r="H2363" s="0" t="n">
        <v>110.501487462813</v>
      </c>
      <c r="I2363" s="0" t="n">
        <v>-7.84766150732671</v>
      </c>
    </row>
    <row r="2364" customFormat="false" ht="13.8" hidden="false" customHeight="false" outlineLevel="0" collapsed="false">
      <c r="A2364" s="2" t="n">
        <v>42776</v>
      </c>
      <c r="B2364" s="0" t="n">
        <v>2316.1</v>
      </c>
      <c r="C2364" s="0" t="n">
        <v>268.66</v>
      </c>
      <c r="D2364" s="3" t="n">
        <f aca="false">B2364*100/B$2</f>
        <v>160.044500953592</v>
      </c>
      <c r="E2364" s="3" t="n">
        <f aca="false">C2364*100/C$2</f>
        <v>114.177645558861</v>
      </c>
      <c r="F2364" s="0" t="n">
        <v>154.705077531164</v>
      </c>
      <c r="G2364" s="0" t="n">
        <v>118.108398850628</v>
      </c>
      <c r="H2364" s="0" t="n">
        <v>110.501487462813</v>
      </c>
      <c r="I2364" s="0" t="n">
        <v>-7.60691138781468</v>
      </c>
    </row>
    <row r="2365" customFormat="false" ht="13.8" hidden="false" customHeight="false" outlineLevel="0" collapsed="false">
      <c r="A2365" s="2" t="n">
        <v>42779</v>
      </c>
      <c r="B2365" s="0" t="n">
        <v>2328.25</v>
      </c>
      <c r="C2365" s="0" t="n">
        <v>268.81</v>
      </c>
      <c r="D2365" s="3" t="n">
        <f aca="false">B2365*100/B$2</f>
        <v>160.88407639791</v>
      </c>
      <c r="E2365" s="3" t="n">
        <f aca="false">C2365*100/C$2</f>
        <v>114.241393965151</v>
      </c>
      <c r="F2365" s="0" t="n">
        <v>154.705077531164</v>
      </c>
      <c r="G2365" s="0" t="n">
        <v>118.108398850628</v>
      </c>
      <c r="H2365" s="0" t="n">
        <v>110.650233744156</v>
      </c>
      <c r="I2365" s="0" t="n">
        <v>-7.45816510647171</v>
      </c>
    </row>
    <row r="2366" customFormat="false" ht="13.8" hidden="false" customHeight="false" outlineLevel="0" collapsed="false">
      <c r="A2366" s="2" t="n">
        <v>42780</v>
      </c>
      <c r="B2366" s="0" t="n">
        <v>2337.58</v>
      </c>
      <c r="C2366" s="0" t="n">
        <v>267.9</v>
      </c>
      <c r="D2366" s="3" t="n">
        <f aca="false">B2366*100/B$2</f>
        <v>161.528787418115</v>
      </c>
      <c r="E2366" s="3" t="n">
        <f aca="false">C2366*100/C$2</f>
        <v>113.854653633659</v>
      </c>
      <c r="F2366" s="0" t="n">
        <v>156.017993863844</v>
      </c>
      <c r="G2366" s="0" t="n">
        <v>118.546965703047</v>
      </c>
      <c r="H2366" s="0" t="n">
        <v>111.7594560136</v>
      </c>
      <c r="I2366" s="0" t="n">
        <v>-6.78750968944728</v>
      </c>
    </row>
    <row r="2367" customFormat="false" ht="13.8" hidden="false" customHeight="false" outlineLevel="0" collapsed="false">
      <c r="A2367" s="2" t="n">
        <v>42781</v>
      </c>
      <c r="B2367" s="0" t="n">
        <v>2349.25</v>
      </c>
      <c r="C2367" s="0" t="n">
        <v>268.81</v>
      </c>
      <c r="D2367" s="3" t="n">
        <f aca="false">B2367*100/B$2</f>
        <v>162.335194449819</v>
      </c>
      <c r="E2367" s="3" t="n">
        <f aca="false">C2367*100/C$2</f>
        <v>114.241393965151</v>
      </c>
      <c r="F2367" s="0" t="n">
        <v>156.910776970066</v>
      </c>
      <c r="G2367" s="0" t="n">
        <v>118.845191162692</v>
      </c>
      <c r="H2367" s="0" t="n">
        <v>111.823204419889</v>
      </c>
      <c r="I2367" s="0" t="n">
        <v>-7.02198674280227</v>
      </c>
    </row>
    <row r="2368" customFormat="false" ht="13.8" hidden="false" customHeight="false" outlineLevel="0" collapsed="false">
      <c r="A2368" s="2" t="n">
        <v>42782</v>
      </c>
      <c r="B2368" s="0" t="n">
        <v>2347.22</v>
      </c>
      <c r="C2368" s="0" t="n">
        <v>268.93</v>
      </c>
      <c r="D2368" s="3" t="n">
        <f aca="false">B2368*100/B$2</f>
        <v>162.194919704801</v>
      </c>
      <c r="E2368" s="3" t="n">
        <f aca="false">C2368*100/C$2</f>
        <v>114.292392690183</v>
      </c>
      <c r="F2368" s="0" t="n">
        <v>156.78985046574</v>
      </c>
      <c r="G2368" s="0" t="n">
        <v>118.804796847337</v>
      </c>
      <c r="H2368" s="0" t="n">
        <v>111.338716532087</v>
      </c>
      <c r="I2368" s="0" t="n">
        <v>-7.46608031525071</v>
      </c>
    </row>
    <row r="2369" customFormat="false" ht="13.8" hidden="false" customHeight="false" outlineLevel="0" collapsed="false">
      <c r="A2369" s="2" t="n">
        <v>42783</v>
      </c>
      <c r="B2369" s="0" t="n">
        <v>2351.16</v>
      </c>
      <c r="C2369" s="0" t="n">
        <v>268.84</v>
      </c>
      <c r="D2369" s="3" t="n">
        <f aca="false">B2369*100/B$2</f>
        <v>162.467177091683</v>
      </c>
      <c r="E2369" s="3" t="n">
        <f aca="false">C2369*100/C$2</f>
        <v>114.254143646409</v>
      </c>
      <c r="F2369" s="0" t="n">
        <v>157.341275325465</v>
      </c>
      <c r="G2369" s="0" t="n">
        <v>118.988994925353</v>
      </c>
      <c r="H2369" s="0" t="n">
        <v>111.857203569911</v>
      </c>
      <c r="I2369" s="0" t="n">
        <v>-7.13179135544254</v>
      </c>
    </row>
    <row r="2370" customFormat="false" ht="13.8" hidden="false" customHeight="false" outlineLevel="0" collapsed="false">
      <c r="A2370" s="2" t="n">
        <v>42786</v>
      </c>
      <c r="B2370" s="0" t="n">
        <v>2351.16</v>
      </c>
      <c r="C2370" s="0" t="n">
        <v>269.73</v>
      </c>
      <c r="D2370" s="3" t="n">
        <f aca="false">B2370*100/B$2</f>
        <v>162.467177091683</v>
      </c>
      <c r="E2370" s="3" t="n">
        <f aca="false">C2370*100/C$2</f>
        <v>114.632384190395</v>
      </c>
      <c r="F2370" s="0" t="n">
        <v>156.782940379778</v>
      </c>
      <c r="G2370" s="0" t="n">
        <v>118.802488600746</v>
      </c>
      <c r="H2370" s="0" t="n">
        <v>112.086697832554</v>
      </c>
      <c r="I2370" s="0" t="n">
        <v>-6.71579076819154</v>
      </c>
    </row>
    <row r="2371" customFormat="false" ht="13.8" hidden="false" customHeight="false" outlineLevel="0" collapsed="false">
      <c r="A2371" s="2" t="n">
        <v>42787</v>
      </c>
      <c r="B2371" s="0" t="n">
        <v>2365.38</v>
      </c>
      <c r="C2371" s="0" t="n">
        <v>272.11</v>
      </c>
      <c r="D2371" s="3" t="n">
        <f aca="false">B2371*100/B$2</f>
        <v>163.449791315404</v>
      </c>
      <c r="E2371" s="3" t="n">
        <f aca="false">C2371*100/C$2</f>
        <v>115.643858903527</v>
      </c>
      <c r="F2371" s="0" t="n">
        <v>156.782940379778</v>
      </c>
      <c r="G2371" s="0" t="n">
        <v>118.802488600746</v>
      </c>
      <c r="H2371" s="0" t="n">
        <v>112.082447938802</v>
      </c>
      <c r="I2371" s="0" t="n">
        <v>-6.7200406619442</v>
      </c>
    </row>
    <row r="2372" customFormat="false" ht="13.8" hidden="false" customHeight="false" outlineLevel="0" collapsed="false">
      <c r="A2372" s="2" t="n">
        <v>42788</v>
      </c>
      <c r="B2372" s="0" t="n">
        <v>2362.82</v>
      </c>
      <c r="C2372" s="0" t="n">
        <v>272.85</v>
      </c>
      <c r="D2372" s="3" t="n">
        <f aca="false">B2372*100/B$2</f>
        <v>163.27289311479</v>
      </c>
      <c r="E2372" s="3" t="n">
        <f aca="false">C2372*100/C$2</f>
        <v>115.958351041224</v>
      </c>
      <c r="F2372" s="0" t="n">
        <v>157.226567898505</v>
      </c>
      <c r="G2372" s="0" t="n">
        <v>118.950678031931</v>
      </c>
      <c r="H2372" s="0" t="n">
        <v>113.960900977476</v>
      </c>
      <c r="I2372" s="0" t="n">
        <v>-4.98977705445591</v>
      </c>
    </row>
    <row r="2373" customFormat="false" ht="13.8" hidden="false" customHeight="false" outlineLevel="0" collapsed="false">
      <c r="A2373" s="2" t="n">
        <v>42789</v>
      </c>
      <c r="B2373" s="0" t="n">
        <v>2363.81</v>
      </c>
      <c r="C2373" s="0" t="n">
        <v>272.89</v>
      </c>
      <c r="D2373" s="3" t="n">
        <f aca="false">B2373*100/B$2</f>
        <v>163.341302965809</v>
      </c>
      <c r="E2373" s="3" t="n">
        <f aca="false">C2373*100/C$2</f>
        <v>115.975350616235</v>
      </c>
      <c r="F2373" s="0" t="n">
        <v>156.889355703585</v>
      </c>
      <c r="G2373" s="0" t="n">
        <v>118.838035598258</v>
      </c>
      <c r="H2373" s="0" t="n">
        <v>114.725881852954</v>
      </c>
      <c r="I2373" s="0" t="n">
        <v>-4.11215374530389</v>
      </c>
    </row>
    <row r="2374" customFormat="false" ht="13.8" hidden="false" customHeight="false" outlineLevel="0" collapsed="false">
      <c r="A2374" s="2" t="n">
        <v>42790</v>
      </c>
      <c r="B2374" s="0" t="n">
        <v>2367.34</v>
      </c>
      <c r="C2374" s="0" t="n">
        <v>270.38</v>
      </c>
      <c r="D2374" s="3" t="n">
        <f aca="false">B2374*100/B$2</f>
        <v>163.585229000249</v>
      </c>
      <c r="E2374" s="3" t="n">
        <f aca="false">C2374*100/C$2</f>
        <v>114.908627284318</v>
      </c>
      <c r="F2374" s="0" t="n">
        <v>157.179579313967</v>
      </c>
      <c r="G2374" s="0" t="n">
        <v>118.934981955108</v>
      </c>
      <c r="H2374" s="0" t="n">
        <v>113.858903527412</v>
      </c>
      <c r="I2374" s="0" t="n">
        <v>-5.07607842769622</v>
      </c>
    </row>
    <row r="2375" customFormat="false" ht="13.8" hidden="false" customHeight="false" outlineLevel="0" collapsed="false">
      <c r="A2375" s="2" t="n">
        <v>42793</v>
      </c>
      <c r="B2375" s="0" t="n">
        <v>2369.75</v>
      </c>
      <c r="C2375" s="0" t="n">
        <v>268.97</v>
      </c>
      <c r="D2375" s="3" t="n">
        <f aca="false">B2375*100/B$2</f>
        <v>163.75176207192</v>
      </c>
      <c r="E2375" s="3" t="n">
        <f aca="false">C2375*100/C$2</f>
        <v>114.309392265193</v>
      </c>
      <c r="F2375" s="0" t="n">
        <v>157.179579313967</v>
      </c>
      <c r="G2375" s="0" t="n">
        <v>118.934981955108</v>
      </c>
      <c r="H2375" s="0" t="n">
        <v>113.110922226944</v>
      </c>
      <c r="I2375" s="0" t="n">
        <v>-5.82405972816373</v>
      </c>
    </row>
    <row r="2376" customFormat="false" ht="13.8" hidden="false" customHeight="false" outlineLevel="0" collapsed="false">
      <c r="A2376" s="2" t="n">
        <v>42794</v>
      </c>
      <c r="B2376" s="0" t="n">
        <v>2363.64</v>
      </c>
      <c r="C2376" s="0" t="n">
        <v>270.06</v>
      </c>
      <c r="D2376" s="3" t="n">
        <f aca="false">B2376*100/B$2</f>
        <v>163.329555819674</v>
      </c>
      <c r="E2376" s="3" t="n">
        <f aca="false">C2376*100/C$2</f>
        <v>114.772630684233</v>
      </c>
      <c r="F2376" s="0" t="n">
        <v>156.713148511567</v>
      </c>
      <c r="G2376" s="0" t="n">
        <v>118.77917531017</v>
      </c>
      <c r="H2376" s="0" t="n">
        <v>113.629409264768</v>
      </c>
      <c r="I2376" s="0" t="n">
        <v>-5.14976604540139</v>
      </c>
    </row>
    <row r="2377" customFormat="false" ht="13.8" hidden="false" customHeight="false" outlineLevel="0" collapsed="false">
      <c r="A2377" s="2" t="n">
        <v>42795</v>
      </c>
      <c r="B2377" s="0" t="n">
        <v>2395.96</v>
      </c>
      <c r="C2377" s="0" t="n">
        <v>270.06</v>
      </c>
      <c r="D2377" s="3" t="n">
        <f aca="false">B2377*100/B$2</f>
        <v>165.562895602421</v>
      </c>
      <c r="E2377" s="3" t="n">
        <f aca="false">C2377*100/C$2</f>
        <v>114.772630684233</v>
      </c>
      <c r="F2377" s="0" t="n">
        <v>156.989551950026</v>
      </c>
      <c r="G2377" s="0" t="n">
        <v>118.871505173837</v>
      </c>
      <c r="H2377" s="0" t="n">
        <v>113.506162345941</v>
      </c>
      <c r="I2377" s="0" t="n">
        <v>-5.36534282789555</v>
      </c>
    </row>
    <row r="2378" customFormat="false" ht="13.8" hidden="false" customHeight="false" outlineLevel="0" collapsed="false">
      <c r="A2378" s="2" t="n">
        <v>42796</v>
      </c>
      <c r="B2378" s="0" t="n">
        <v>2381.92</v>
      </c>
      <c r="C2378" s="0" t="n">
        <v>272.65</v>
      </c>
      <c r="D2378" s="3" t="n">
        <f aca="false">B2378*100/B$2</f>
        <v>164.592719533431</v>
      </c>
      <c r="E2378" s="3" t="n">
        <f aca="false">C2378*100/C$2</f>
        <v>115.873353166171</v>
      </c>
      <c r="F2378" s="0" t="n">
        <v>156.422924901186</v>
      </c>
      <c r="G2378" s="0" t="n">
        <v>118.682228953319</v>
      </c>
      <c r="H2378" s="0" t="n">
        <v>113.769655758606</v>
      </c>
      <c r="I2378" s="0" t="n">
        <v>-4.91257319471325</v>
      </c>
    </row>
    <row r="2379" customFormat="false" ht="13.8" hidden="false" customHeight="false" outlineLevel="0" collapsed="false">
      <c r="A2379" s="2" t="n">
        <v>42797</v>
      </c>
      <c r="B2379" s="0" t="n">
        <v>2383.12</v>
      </c>
      <c r="C2379" s="0" t="n">
        <v>269.77</v>
      </c>
      <c r="D2379" s="3" t="n">
        <f aca="false">B2379*100/B$2</f>
        <v>164.675640564969</v>
      </c>
      <c r="E2379" s="3" t="n">
        <f aca="false">C2379*100/C$2</f>
        <v>114.649383765406</v>
      </c>
      <c r="F2379" s="0" t="n">
        <v>156.94947345145</v>
      </c>
      <c r="G2379" s="0" t="n">
        <v>118.858117343605</v>
      </c>
      <c r="H2379" s="0" t="n">
        <v>113.268168295793</v>
      </c>
      <c r="I2379" s="0" t="n">
        <v>-5.58994904781255</v>
      </c>
    </row>
    <row r="2380" customFormat="false" ht="13.8" hidden="false" customHeight="false" outlineLevel="0" collapsed="false">
      <c r="A2380" s="2" t="n">
        <v>42800</v>
      </c>
      <c r="B2380" s="0" t="n">
        <v>2375.31</v>
      </c>
      <c r="C2380" s="0" t="n">
        <v>270.41</v>
      </c>
      <c r="D2380" s="3" t="n">
        <f aca="false">B2380*100/B$2</f>
        <v>164.135962851378</v>
      </c>
      <c r="E2380" s="3" t="n">
        <f aca="false">C2380*100/C$2</f>
        <v>114.921376965576</v>
      </c>
      <c r="F2380" s="0" t="n">
        <v>156.527267199204</v>
      </c>
      <c r="G2380" s="0" t="n">
        <v>118.717083476854</v>
      </c>
      <c r="H2380" s="0" t="n">
        <v>113.523161920952</v>
      </c>
      <c r="I2380" s="0" t="n">
        <v>-5.19392155590164</v>
      </c>
    </row>
    <row r="2381" customFormat="false" ht="13.8" hidden="false" customHeight="false" outlineLevel="0" collapsed="false">
      <c r="A2381" s="2" t="n">
        <v>42801</v>
      </c>
      <c r="B2381" s="0" t="n">
        <v>2368.39</v>
      </c>
      <c r="C2381" s="0" t="n">
        <v>271.87</v>
      </c>
      <c r="D2381" s="3" t="n">
        <f aca="false">B2381*100/B$2</f>
        <v>163.657784902844</v>
      </c>
      <c r="E2381" s="3" t="n">
        <f aca="false">C2381*100/C$2</f>
        <v>115.541861453464</v>
      </c>
      <c r="F2381" s="0" t="n">
        <v>157.554796981674</v>
      </c>
      <c r="G2381" s="0" t="n">
        <v>119.060319745036</v>
      </c>
      <c r="H2381" s="0" t="n">
        <v>113.5996600085</v>
      </c>
      <c r="I2381" s="0" t="n">
        <v>-5.46065973653639</v>
      </c>
    </row>
    <row r="2382" customFormat="false" ht="13.8" hidden="false" customHeight="false" outlineLevel="0" collapsed="false">
      <c r="A2382" s="2" t="n">
        <v>42802</v>
      </c>
      <c r="B2382" s="0" t="n">
        <v>2362.98</v>
      </c>
      <c r="C2382" s="0" t="n">
        <v>272.29</v>
      </c>
      <c r="D2382" s="3" t="n">
        <f aca="false">B2382*100/B$2</f>
        <v>163.283949252329</v>
      </c>
      <c r="E2382" s="3" t="n">
        <f aca="false">C2382*100/C$2</f>
        <v>115.720356991075</v>
      </c>
      <c r="F2382" s="0" t="n">
        <v>158.819342712623</v>
      </c>
      <c r="G2382" s="0" t="n">
        <v>119.482728871313</v>
      </c>
      <c r="H2382" s="0" t="n">
        <v>113.960900977476</v>
      </c>
      <c r="I2382" s="0" t="n">
        <v>-5.52182789383771</v>
      </c>
    </row>
    <row r="2383" customFormat="false" ht="13.8" hidden="false" customHeight="false" outlineLevel="0" collapsed="false">
      <c r="A2383" s="2" t="n">
        <v>42803</v>
      </c>
      <c r="B2383" s="0" t="n">
        <v>2364.87</v>
      </c>
      <c r="C2383" s="0" t="n">
        <v>271.62</v>
      </c>
      <c r="D2383" s="3" t="n">
        <f aca="false">B2383*100/B$2</f>
        <v>163.414549877</v>
      </c>
      <c r="E2383" s="3" t="n">
        <f aca="false">C2383*100/C$2</f>
        <v>115.435614109647</v>
      </c>
      <c r="F2383" s="0" t="n">
        <v>158.702562259875</v>
      </c>
      <c r="G2383" s="0" t="n">
        <v>119.443719503914</v>
      </c>
      <c r="H2383" s="0" t="n">
        <v>114.951126221844</v>
      </c>
      <c r="I2383" s="0" t="n">
        <v>-4.49259328206945</v>
      </c>
    </row>
    <row r="2384" customFormat="false" ht="13.8" hidden="false" customHeight="false" outlineLevel="0" collapsed="false">
      <c r="A2384" s="2" t="n">
        <v>42804</v>
      </c>
      <c r="B2384" s="0" t="n">
        <v>2372.6</v>
      </c>
      <c r="C2384" s="0" t="n">
        <v>272.29</v>
      </c>
      <c r="D2384" s="3" t="n">
        <f aca="false">B2384*100/B$2</f>
        <v>163.948699521822</v>
      </c>
      <c r="E2384" s="3" t="n">
        <f aca="false">C2384*100/C$2</f>
        <v>115.720356991075</v>
      </c>
      <c r="F2384" s="0" t="n">
        <v>158.565051549241</v>
      </c>
      <c r="G2384" s="0" t="n">
        <v>119.39778539674</v>
      </c>
      <c r="H2384" s="0" t="n">
        <v>114.951126221844</v>
      </c>
      <c r="I2384" s="0" t="n">
        <v>-4.44665917489506</v>
      </c>
    </row>
    <row r="2385" customFormat="false" ht="13.8" hidden="false" customHeight="false" outlineLevel="0" collapsed="false">
      <c r="A2385" s="2" t="n">
        <v>42807</v>
      </c>
      <c r="B2385" s="0" t="n">
        <v>2373.47</v>
      </c>
      <c r="C2385" s="0" t="n">
        <v>275.41</v>
      </c>
      <c r="D2385" s="3" t="n">
        <f aca="false">B2385*100/B$2</f>
        <v>164.008817269687</v>
      </c>
      <c r="E2385" s="3" t="n">
        <f aca="false">C2385*100/C$2</f>
        <v>117.046323841904</v>
      </c>
      <c r="F2385" s="0" t="n">
        <v>157.612150695155</v>
      </c>
      <c r="G2385" s="0" t="n">
        <v>119.079478191747</v>
      </c>
      <c r="H2385" s="0" t="n">
        <v>114.951126221844</v>
      </c>
      <c r="I2385" s="0" t="n">
        <v>-4.12835196990264</v>
      </c>
    </row>
    <row r="2386" customFormat="false" ht="13.8" hidden="false" customHeight="false" outlineLevel="0" collapsed="false">
      <c r="A2386" s="2" t="n">
        <v>42808</v>
      </c>
      <c r="B2386" s="0" t="n">
        <v>2365.45</v>
      </c>
      <c r="C2386" s="0" t="n">
        <v>277.89</v>
      </c>
      <c r="D2386" s="3" t="n">
        <f aca="false">B2386*100/B$2</f>
        <v>163.454628375577</v>
      </c>
      <c r="E2386" s="3" t="n">
        <f aca="false">C2386*100/C$2</f>
        <v>118.100297492563</v>
      </c>
      <c r="F2386" s="0" t="n">
        <v>157.471875950137</v>
      </c>
      <c r="G2386" s="0" t="n">
        <v>119.032620785936</v>
      </c>
      <c r="H2386" s="0" t="n">
        <v>113.93540161496</v>
      </c>
      <c r="I2386" s="0" t="n">
        <v>-5.09721917097642</v>
      </c>
    </row>
    <row r="2387" customFormat="false" ht="13.8" hidden="false" customHeight="false" outlineLevel="0" collapsed="false">
      <c r="A2387" s="2" t="n">
        <v>42809</v>
      </c>
      <c r="B2387" s="0" t="n">
        <v>2385.26</v>
      </c>
      <c r="C2387" s="0" t="n">
        <v>277.89</v>
      </c>
      <c r="D2387" s="3" t="n">
        <f aca="false">B2387*100/B$2</f>
        <v>164.823516404544</v>
      </c>
      <c r="E2387" s="3" t="n">
        <f aca="false">C2387*100/C$2</f>
        <v>118.100297492563</v>
      </c>
      <c r="F2387" s="0" t="n">
        <v>157.518864534675</v>
      </c>
      <c r="G2387" s="0" t="n">
        <v>119.048316862759</v>
      </c>
      <c r="H2387" s="0" t="n">
        <v>114.5601359966</v>
      </c>
      <c r="I2387" s="0" t="n">
        <v>-4.48818086615935</v>
      </c>
    </row>
    <row r="2388" customFormat="false" ht="13.8" hidden="false" customHeight="false" outlineLevel="0" collapsed="false">
      <c r="A2388" s="2" t="n">
        <v>42810</v>
      </c>
      <c r="B2388" s="0" t="n">
        <v>2381.38</v>
      </c>
      <c r="C2388" s="0" t="n">
        <v>280.11</v>
      </c>
      <c r="D2388" s="3" t="n">
        <f aca="false">B2388*100/B$2</f>
        <v>164.555405069239</v>
      </c>
      <c r="E2388" s="3" t="n">
        <f aca="false">C2388*100/C$2</f>
        <v>119.043773905652</v>
      </c>
      <c r="F2388" s="0" t="n">
        <v>157.608695652174</v>
      </c>
      <c r="G2388" s="0" t="n">
        <v>119.078324068451</v>
      </c>
      <c r="H2388" s="0" t="n">
        <v>114.105397365066</v>
      </c>
      <c r="I2388" s="0" t="n">
        <v>-4.97292670338538</v>
      </c>
    </row>
    <row r="2389" customFormat="false" ht="13.8" hidden="false" customHeight="false" outlineLevel="0" collapsed="false">
      <c r="A2389" s="2" t="n">
        <v>42811</v>
      </c>
      <c r="B2389" s="0" t="n">
        <v>2378.25</v>
      </c>
      <c r="C2389" s="0" t="n">
        <v>281.86</v>
      </c>
      <c r="D2389" s="3" t="n">
        <f aca="false">B2389*100/B$2</f>
        <v>164.339119378645</v>
      </c>
      <c r="E2389" s="3" t="n">
        <f aca="false">C2389*100/C$2</f>
        <v>119.787505312367</v>
      </c>
      <c r="F2389" s="0" t="n">
        <v>158.753696895989</v>
      </c>
      <c r="G2389" s="0" t="n">
        <v>119.460800528692</v>
      </c>
      <c r="H2389" s="0" t="n">
        <v>114.258393540162</v>
      </c>
      <c r="I2389" s="0" t="n">
        <v>-5.20240698853081</v>
      </c>
    </row>
    <row r="2390" customFormat="false" ht="13.8" hidden="false" customHeight="false" outlineLevel="0" collapsed="false">
      <c r="A2390" s="2" t="n">
        <v>42814</v>
      </c>
      <c r="B2390" s="0" t="n">
        <v>2373.47</v>
      </c>
      <c r="C2390" s="0" t="n">
        <v>280.75</v>
      </c>
      <c r="D2390" s="3" t="n">
        <f aca="false">B2390*100/B$2</f>
        <v>164.008817269687</v>
      </c>
      <c r="E2390" s="3" t="n">
        <f aca="false">C2390*100/C$2</f>
        <v>119.315767105822</v>
      </c>
      <c r="F2390" s="0" t="n">
        <v>158.417866718262</v>
      </c>
      <c r="G2390" s="0" t="n">
        <v>119.348619744337</v>
      </c>
      <c r="H2390" s="0" t="n">
        <v>114.530386740331</v>
      </c>
      <c r="I2390" s="0" t="n">
        <v>-4.81823300400528</v>
      </c>
    </row>
    <row r="2391" customFormat="false" ht="13.8" hidden="false" customHeight="false" outlineLevel="0" collapsed="false">
      <c r="A2391" s="2" t="n">
        <v>42815</v>
      </c>
      <c r="B2391" s="0" t="n">
        <v>2344.02</v>
      </c>
      <c r="C2391" s="0" t="n">
        <v>283.84</v>
      </c>
      <c r="D2391" s="3" t="n">
        <f aca="false">B2391*100/B$2</f>
        <v>161.973796954034</v>
      </c>
      <c r="E2391" s="3" t="n">
        <f aca="false">C2391*100/C$2</f>
        <v>120.628984275393</v>
      </c>
      <c r="F2391" s="0" t="n">
        <v>158.453799165262</v>
      </c>
      <c r="G2391" s="0" t="n">
        <v>119.360622626613</v>
      </c>
      <c r="H2391" s="0" t="n">
        <v>114.309392265193</v>
      </c>
      <c r="I2391" s="0" t="n">
        <v>-5.05123036142011</v>
      </c>
    </row>
    <row r="2392" customFormat="false" ht="13.8" hidden="false" customHeight="false" outlineLevel="0" collapsed="false">
      <c r="A2392" s="2" t="n">
        <v>42816</v>
      </c>
      <c r="B2392" s="0" t="n">
        <v>2348.45</v>
      </c>
      <c r="C2392" s="0" t="n">
        <v>282.63</v>
      </c>
      <c r="D2392" s="3" t="n">
        <f aca="false">B2392*100/B$2</f>
        <v>162.279913762127</v>
      </c>
      <c r="E2392" s="3" t="n">
        <f aca="false">C2392*100/C$2</f>
        <v>120.114747131322</v>
      </c>
      <c r="F2392" s="0" t="n">
        <v>158.563669532049</v>
      </c>
      <c r="G2392" s="0" t="n">
        <v>119.397323747421</v>
      </c>
      <c r="H2392" s="0" t="n">
        <v>113.778155546111</v>
      </c>
      <c r="I2392" s="0" t="n">
        <v>-5.6191682013098</v>
      </c>
    </row>
    <row r="2393" customFormat="false" ht="13.8" hidden="false" customHeight="false" outlineLevel="0" collapsed="false">
      <c r="A2393" s="2" t="n">
        <v>42817</v>
      </c>
      <c r="B2393" s="0" t="n">
        <v>2345.96</v>
      </c>
      <c r="C2393" s="0" t="n">
        <v>282.81</v>
      </c>
      <c r="D2393" s="3" t="n">
        <f aca="false">B2393*100/B$2</f>
        <v>162.107852621687</v>
      </c>
      <c r="E2393" s="3" t="n">
        <f aca="false">C2393*100/C$2</f>
        <v>120.19124521887</v>
      </c>
      <c r="F2393" s="0" t="n">
        <v>159.475800878963</v>
      </c>
      <c r="G2393" s="0" t="n">
        <v>119.702012297523</v>
      </c>
      <c r="H2393" s="0" t="n">
        <v>113.765405864853</v>
      </c>
      <c r="I2393" s="0" t="n">
        <v>-5.93660643266931</v>
      </c>
    </row>
    <row r="2394" customFormat="false" ht="13.8" hidden="false" customHeight="false" outlineLevel="0" collapsed="false">
      <c r="A2394" s="2" t="n">
        <v>42818</v>
      </c>
      <c r="B2394" s="0" t="n">
        <v>2343.98</v>
      </c>
      <c r="C2394" s="0" t="n">
        <v>282.31</v>
      </c>
      <c r="D2394" s="3" t="n">
        <f aca="false">B2394*100/B$2</f>
        <v>161.971032919649</v>
      </c>
      <c r="E2394" s="3" t="n">
        <f aca="false">C2394*100/C$2</f>
        <v>119.978750531237</v>
      </c>
      <c r="F2394" s="0" t="n">
        <v>160.044500953592</v>
      </c>
      <c r="G2394" s="0" t="n">
        <v>119.891980992018</v>
      </c>
      <c r="H2394" s="0" t="n">
        <v>114.177645558861</v>
      </c>
      <c r="I2394" s="0" t="n">
        <v>-5.71433543315675</v>
      </c>
    </row>
    <row r="2395" customFormat="false" ht="13.8" hidden="false" customHeight="false" outlineLevel="0" collapsed="false">
      <c r="A2395" s="2" t="n">
        <v>42821</v>
      </c>
      <c r="B2395" s="0" t="n">
        <v>2341.59</v>
      </c>
      <c r="C2395" s="0" t="n">
        <v>280.36</v>
      </c>
      <c r="D2395" s="3" t="n">
        <f aca="false">B2395*100/B$2</f>
        <v>161.80588186517</v>
      </c>
      <c r="E2395" s="3" t="n">
        <f aca="false">C2395*100/C$2</f>
        <v>119.150021249469</v>
      </c>
      <c r="F2395" s="0" t="n">
        <v>160.88407639791</v>
      </c>
      <c r="G2395" s="0" t="n">
        <v>120.172432952907</v>
      </c>
      <c r="H2395" s="0" t="n">
        <v>114.241393965151</v>
      </c>
      <c r="I2395" s="0" t="n">
        <v>-5.93103898775583</v>
      </c>
    </row>
    <row r="2396" customFormat="false" ht="13.8" hidden="false" customHeight="false" outlineLevel="0" collapsed="false">
      <c r="A2396" s="2" t="n">
        <v>42822</v>
      </c>
      <c r="B2396" s="0" t="n">
        <v>2358.57</v>
      </c>
      <c r="C2396" s="0" t="n">
        <v>281.25</v>
      </c>
      <c r="D2396" s="3" t="n">
        <f aca="false">B2396*100/B$2</f>
        <v>162.979214461428</v>
      </c>
      <c r="E2396" s="3" t="n">
        <f aca="false">C2396*100/C$2</f>
        <v>119.528261793455</v>
      </c>
      <c r="F2396" s="0" t="n">
        <v>161.528787418115</v>
      </c>
      <c r="G2396" s="0" t="n">
        <v>120.38779235991</v>
      </c>
      <c r="H2396" s="0" t="n">
        <v>113.854653633659</v>
      </c>
      <c r="I2396" s="0" t="n">
        <v>-6.53313872625111</v>
      </c>
    </row>
    <row r="2397" customFormat="false" ht="13.8" hidden="false" customHeight="false" outlineLevel="0" collapsed="false">
      <c r="A2397" s="2" t="n">
        <v>42823</v>
      </c>
      <c r="B2397" s="0" t="n">
        <v>2361.13</v>
      </c>
      <c r="C2397" s="0" t="n">
        <v>281.86</v>
      </c>
      <c r="D2397" s="3" t="n">
        <f aca="false">B2397*100/B$2</f>
        <v>163.156112662041</v>
      </c>
      <c r="E2397" s="3" t="n">
        <f aca="false">C2397*100/C$2</f>
        <v>119.787505312367</v>
      </c>
      <c r="F2397" s="0" t="n">
        <v>162.335194449819</v>
      </c>
      <c r="G2397" s="0" t="n">
        <v>120.657164737159</v>
      </c>
      <c r="H2397" s="0" t="n">
        <v>114.241393965151</v>
      </c>
      <c r="I2397" s="0" t="n">
        <v>-6.41577077200823</v>
      </c>
    </row>
    <row r="2398" customFormat="false" ht="13.8" hidden="false" customHeight="false" outlineLevel="0" collapsed="false">
      <c r="A2398" s="2" t="n">
        <v>42824</v>
      </c>
      <c r="B2398" s="0" t="n">
        <v>2368.06</v>
      </c>
      <c r="C2398" s="0" t="n">
        <v>281.66</v>
      </c>
      <c r="D2398" s="3" t="n">
        <f aca="false">B2398*100/B$2</f>
        <v>163.634981619171</v>
      </c>
      <c r="E2398" s="3" t="n">
        <f aca="false">C2398*100/C$2</f>
        <v>119.702507437314</v>
      </c>
      <c r="F2398" s="0" t="n">
        <v>162.194919704801</v>
      </c>
      <c r="G2398" s="0" t="n">
        <v>120.610307331348</v>
      </c>
      <c r="H2398" s="0" t="n">
        <v>114.292392690183</v>
      </c>
      <c r="I2398" s="0" t="n">
        <v>-6.31791464116527</v>
      </c>
    </row>
    <row r="2399" customFormat="false" ht="13.8" hidden="false" customHeight="false" outlineLevel="0" collapsed="false">
      <c r="A2399" s="2" t="n">
        <v>42825</v>
      </c>
      <c r="B2399" s="0" t="n">
        <v>2362.72</v>
      </c>
      <c r="C2399" s="0" t="n">
        <v>280.64</v>
      </c>
      <c r="D2399" s="3" t="n">
        <f aca="false">B2399*100/B$2</f>
        <v>163.265983028829</v>
      </c>
      <c r="E2399" s="3" t="n">
        <f aca="false">C2399*100/C$2</f>
        <v>119.269018274543</v>
      </c>
      <c r="F2399" s="0" t="n">
        <v>162.467177091683</v>
      </c>
      <c r="G2399" s="0" t="n">
        <v>120.70125224706</v>
      </c>
      <c r="H2399" s="0" t="n">
        <v>114.254143646409</v>
      </c>
      <c r="I2399" s="0" t="n">
        <v>-6.44710860065131</v>
      </c>
    </row>
    <row r="2400" customFormat="false" ht="13.8" hidden="false" customHeight="false" outlineLevel="0" collapsed="false">
      <c r="A2400" s="2" t="n">
        <v>42828</v>
      </c>
      <c r="B2400" s="0" t="n">
        <v>2358.84</v>
      </c>
      <c r="C2400" s="0" t="n">
        <v>281.6</v>
      </c>
      <c r="D2400" s="3" t="n">
        <f aca="false">B2400*100/B$2</f>
        <v>162.997871693524</v>
      </c>
      <c r="E2400" s="3" t="n">
        <f aca="false">C2400*100/C$2</f>
        <v>119.677008074798</v>
      </c>
      <c r="F2400" s="0" t="n">
        <v>162.467177091683</v>
      </c>
      <c r="G2400" s="0" t="n">
        <v>120.70125224706</v>
      </c>
      <c r="H2400" s="0" t="n">
        <v>114.632384190395</v>
      </c>
      <c r="I2400" s="0" t="n">
        <v>-6.0688680566649</v>
      </c>
    </row>
    <row r="2401" customFormat="false" ht="13.8" hidden="false" customHeight="false" outlineLevel="0" collapsed="false">
      <c r="A2401" s="2" t="n">
        <v>42829</v>
      </c>
      <c r="B2401" s="0" t="n">
        <v>2360.16</v>
      </c>
      <c r="C2401" s="0" t="n">
        <v>280.92</v>
      </c>
      <c r="D2401" s="3" t="n">
        <f aca="false">B2401*100/B$2</f>
        <v>163.089084828215</v>
      </c>
      <c r="E2401" s="3" t="n">
        <f aca="false">C2401*100/C$2</f>
        <v>119.388015299618</v>
      </c>
      <c r="F2401" s="0" t="n">
        <v>163.449791315404</v>
      </c>
      <c r="G2401" s="0" t="n">
        <v>121.029484912397</v>
      </c>
      <c r="H2401" s="0" t="n">
        <v>115.643858903527</v>
      </c>
      <c r="I2401" s="0" t="n">
        <v>-5.38562600886937</v>
      </c>
    </row>
    <row r="2402" customFormat="false" ht="13.8" hidden="false" customHeight="false" outlineLevel="0" collapsed="false">
      <c r="A2402" s="2" t="n">
        <v>42830</v>
      </c>
      <c r="B2402" s="0" t="n">
        <v>2352.95</v>
      </c>
      <c r="C2402" s="0" t="n">
        <v>280.74</v>
      </c>
      <c r="D2402" s="3" t="n">
        <f aca="false">B2402*100/B$2</f>
        <v>162.590867630393</v>
      </c>
      <c r="E2402" s="3" t="n">
        <f aca="false">C2402*100/C$2</f>
        <v>119.31151721207</v>
      </c>
      <c r="F2402" s="0" t="n">
        <v>163.27289311479</v>
      </c>
      <c r="G2402" s="0" t="n">
        <v>120.97039379965</v>
      </c>
      <c r="H2402" s="0" t="n">
        <v>115.958351041224</v>
      </c>
      <c r="I2402" s="0" t="n">
        <v>-5.01204275842584</v>
      </c>
    </row>
    <row r="2403" customFormat="false" ht="13.8" hidden="false" customHeight="false" outlineLevel="0" collapsed="false">
      <c r="A2403" s="2" t="n">
        <v>42831</v>
      </c>
      <c r="B2403" s="0" t="n">
        <v>2357.49</v>
      </c>
      <c r="C2403" s="0" t="n">
        <v>279.47</v>
      </c>
      <c r="D2403" s="3" t="n">
        <f aca="false">B2403*100/B$2</f>
        <v>162.904585533044</v>
      </c>
      <c r="E2403" s="3" t="n">
        <f aca="false">C2403*100/C$2</f>
        <v>118.771780705482</v>
      </c>
      <c r="F2403" s="0" t="n">
        <v>163.341302965809</v>
      </c>
      <c r="G2403" s="0" t="n">
        <v>120.993245440907</v>
      </c>
      <c r="H2403" s="0" t="n">
        <v>115.975350616235</v>
      </c>
      <c r="I2403" s="0" t="n">
        <v>-5.01789482467284</v>
      </c>
    </row>
    <row r="2404" customFormat="false" ht="13.8" hidden="false" customHeight="false" outlineLevel="0" collapsed="false">
      <c r="A2404" s="2" t="n">
        <v>42832</v>
      </c>
      <c r="B2404" s="0" t="n">
        <v>2355.54</v>
      </c>
      <c r="C2404" s="0" t="n">
        <v>279.01</v>
      </c>
      <c r="D2404" s="3" t="n">
        <f aca="false">B2404*100/B$2</f>
        <v>162.769838856795</v>
      </c>
      <c r="E2404" s="3" t="n">
        <f aca="false">C2404*100/C$2</f>
        <v>118.57628559286</v>
      </c>
      <c r="F2404" s="0" t="n">
        <v>163.585229000249</v>
      </c>
      <c r="G2404" s="0" t="n">
        <v>121.074726545594</v>
      </c>
      <c r="H2404" s="0" t="n">
        <v>114.908627284318</v>
      </c>
      <c r="I2404" s="0" t="n">
        <v>-6.16609926127576</v>
      </c>
    </row>
    <row r="2405" customFormat="false" ht="13.8" hidden="false" customHeight="false" outlineLevel="0" collapsed="false">
      <c r="A2405" s="2" t="n">
        <v>42835</v>
      </c>
      <c r="B2405" s="0" t="n">
        <v>2357.16</v>
      </c>
      <c r="C2405" s="0" t="n">
        <v>277.21</v>
      </c>
      <c r="D2405" s="3" t="n">
        <f aca="false">B2405*100/B$2</f>
        <v>162.881782249371</v>
      </c>
      <c r="E2405" s="3" t="n">
        <f aca="false">C2405*100/C$2</f>
        <v>117.811304717382</v>
      </c>
      <c r="F2405" s="0" t="n">
        <v>163.75176207192</v>
      </c>
      <c r="G2405" s="0" t="n">
        <v>121.130355288453</v>
      </c>
      <c r="H2405" s="0" t="n">
        <v>114.309392265193</v>
      </c>
      <c r="I2405" s="0" t="n">
        <v>-6.82096302325972</v>
      </c>
    </row>
    <row r="2406" customFormat="false" ht="13.8" hidden="false" customHeight="false" outlineLevel="0" collapsed="false">
      <c r="A2406" s="2" t="n">
        <v>42836</v>
      </c>
      <c r="B2406" s="0" t="n">
        <v>2353.78</v>
      </c>
      <c r="C2406" s="0" t="n">
        <v>275.49</v>
      </c>
      <c r="D2406" s="3" t="n">
        <f aca="false">B2406*100/B$2</f>
        <v>162.648221343874</v>
      </c>
      <c r="E2406" s="3" t="n">
        <f aca="false">C2406*100/C$2</f>
        <v>117.080322991925</v>
      </c>
      <c r="F2406" s="0" t="n">
        <v>163.329555819674</v>
      </c>
      <c r="G2406" s="0" t="n">
        <v>120.989321421702</v>
      </c>
      <c r="H2406" s="0" t="n">
        <v>114.772630684233</v>
      </c>
      <c r="I2406" s="0" t="n">
        <v>-6.21669073746867</v>
      </c>
    </row>
    <row r="2407" customFormat="false" ht="13.8" hidden="false" customHeight="false" outlineLevel="0" collapsed="false">
      <c r="A2407" s="2" t="n">
        <v>42837</v>
      </c>
      <c r="B2407" s="0" t="n">
        <v>2344.93</v>
      </c>
      <c r="C2407" s="0" t="n">
        <v>276.21</v>
      </c>
      <c r="D2407" s="3" t="n">
        <f aca="false">B2407*100/B$2</f>
        <v>162.036678736283</v>
      </c>
      <c r="E2407" s="3" t="n">
        <f aca="false">C2407*100/C$2</f>
        <v>117.386315342116</v>
      </c>
      <c r="F2407" s="0" t="n">
        <v>165.562895602421</v>
      </c>
      <c r="G2407" s="0" t="n">
        <v>121.735346720132</v>
      </c>
      <c r="H2407" s="0" t="n">
        <v>114.772630684233</v>
      </c>
      <c r="I2407" s="0" t="n">
        <v>-6.96271603589904</v>
      </c>
    </row>
    <row r="2408" customFormat="false" ht="13.8" hidden="false" customHeight="false" outlineLevel="0" collapsed="false">
      <c r="A2408" s="2" t="n">
        <v>42838</v>
      </c>
      <c r="B2408" s="0" t="n">
        <v>2328.95</v>
      </c>
      <c r="C2408" s="0" t="n">
        <v>279.12</v>
      </c>
      <c r="D2408" s="3" t="n">
        <f aca="false">B2408*100/B$2</f>
        <v>160.932446999641</v>
      </c>
      <c r="E2408" s="3" t="n">
        <f aca="false">C2408*100/C$2</f>
        <v>118.623034424139</v>
      </c>
      <c r="F2408" s="0" t="n">
        <v>164.592719533431</v>
      </c>
      <c r="G2408" s="0" t="n">
        <v>121.41126889866</v>
      </c>
      <c r="H2408" s="0" t="n">
        <v>115.873353166171</v>
      </c>
      <c r="I2408" s="0" t="n">
        <v>-5.5379157324895</v>
      </c>
    </row>
    <row r="2409" customFormat="false" ht="13.8" hidden="false" customHeight="false" outlineLevel="0" collapsed="false">
      <c r="A2409" s="2" t="n">
        <v>42839</v>
      </c>
      <c r="B2409" s="0" t="n">
        <v>2328.95</v>
      </c>
      <c r="C2409" s="0" t="n">
        <v>277.31</v>
      </c>
      <c r="D2409" s="3" t="n">
        <f aca="false">B2409*100/B$2</f>
        <v>160.932446999641</v>
      </c>
      <c r="E2409" s="3" t="n">
        <f aca="false">C2409*100/C$2</f>
        <v>117.853803654909</v>
      </c>
      <c r="F2409" s="0" t="n">
        <v>164.675640564969</v>
      </c>
      <c r="G2409" s="0" t="n">
        <v>121.43896785776</v>
      </c>
      <c r="H2409" s="0" t="n">
        <v>114.649383765406</v>
      </c>
      <c r="I2409" s="0" t="n">
        <v>-6.78958409235462</v>
      </c>
    </row>
    <row r="2410" customFormat="false" ht="13.8" hidden="false" customHeight="false" outlineLevel="0" collapsed="false">
      <c r="A2410" s="2" t="n">
        <v>42842</v>
      </c>
      <c r="B2410" s="0" t="n">
        <v>2349.01</v>
      </c>
      <c r="C2410" s="0" t="n">
        <v>278.1</v>
      </c>
      <c r="D2410" s="3" t="n">
        <f aca="false">B2410*100/B$2</f>
        <v>162.318610243511</v>
      </c>
      <c r="E2410" s="3" t="n">
        <f aca="false">C2410*100/C$2</f>
        <v>118.189545261369</v>
      </c>
      <c r="F2410" s="0" t="n">
        <v>164.135962851378</v>
      </c>
      <c r="G2410" s="0" t="n">
        <v>121.25869379895</v>
      </c>
      <c r="H2410" s="0" t="n">
        <v>114.921376965576</v>
      </c>
      <c r="I2410" s="0" t="n">
        <v>-6.33731683337453</v>
      </c>
    </row>
    <row r="2411" customFormat="false" ht="13.8" hidden="false" customHeight="false" outlineLevel="0" collapsed="false">
      <c r="A2411" s="2" t="n">
        <v>42843</v>
      </c>
      <c r="B2411" s="0" t="n">
        <v>2342.19</v>
      </c>
      <c r="C2411" s="0" t="n">
        <v>278.23</v>
      </c>
      <c r="D2411" s="3" t="n">
        <f aca="false">B2411*100/B$2</f>
        <v>161.847342380939</v>
      </c>
      <c r="E2411" s="3" t="n">
        <f aca="false">C2411*100/C$2</f>
        <v>118.244793880153</v>
      </c>
      <c r="F2411" s="0" t="n">
        <v>163.657784902844</v>
      </c>
      <c r="G2411" s="0" t="n">
        <v>121.098963134806</v>
      </c>
      <c r="H2411" s="0" t="n">
        <v>115.541861453464</v>
      </c>
      <c r="I2411" s="0" t="n">
        <v>-5.55710168134262</v>
      </c>
    </row>
    <row r="2412" customFormat="false" ht="13.8" hidden="false" customHeight="false" outlineLevel="0" collapsed="false">
      <c r="A2412" s="2" t="n">
        <v>42844</v>
      </c>
      <c r="B2412" s="0" t="n">
        <v>2338.17</v>
      </c>
      <c r="C2412" s="0" t="n">
        <v>276.49</v>
      </c>
      <c r="D2412" s="3" t="n">
        <f aca="false">B2412*100/B$2</f>
        <v>161.569556925288</v>
      </c>
      <c r="E2412" s="3" t="n">
        <f aca="false">C2412*100/C$2</f>
        <v>117.505312367191</v>
      </c>
      <c r="F2412" s="0" t="n">
        <v>163.283949252329</v>
      </c>
      <c r="G2412" s="0" t="n">
        <v>120.974086994196</v>
      </c>
      <c r="H2412" s="0" t="n">
        <v>115.720356991075</v>
      </c>
      <c r="I2412" s="0" t="n">
        <v>-5.25373000312125</v>
      </c>
    </row>
    <row r="2413" customFormat="false" ht="13.8" hidden="false" customHeight="false" outlineLevel="0" collapsed="false">
      <c r="A2413" s="2" t="n">
        <v>42845</v>
      </c>
      <c r="B2413" s="0" t="n">
        <v>2355.84</v>
      </c>
      <c r="C2413" s="0" t="n">
        <v>277.76</v>
      </c>
      <c r="D2413" s="3" t="n">
        <f aca="false">B2413*100/B$2</f>
        <v>162.79056911468</v>
      </c>
      <c r="E2413" s="3" t="n">
        <f aca="false">C2413*100/C$2</f>
        <v>118.045048873778</v>
      </c>
      <c r="F2413" s="0" t="n">
        <v>163.414549877</v>
      </c>
      <c r="G2413" s="0" t="n">
        <v>121.017712854779</v>
      </c>
      <c r="H2413" s="0" t="n">
        <v>115.435614109647</v>
      </c>
      <c r="I2413" s="0" t="n">
        <v>-5.58209874513196</v>
      </c>
    </row>
    <row r="2414" customFormat="false" ht="13.8" hidden="false" customHeight="false" outlineLevel="0" collapsed="false">
      <c r="A2414" s="2" t="n">
        <v>42846</v>
      </c>
      <c r="B2414" s="0" t="n">
        <v>2348.69</v>
      </c>
      <c r="C2414" s="0" t="n">
        <v>280.05</v>
      </c>
      <c r="D2414" s="3" t="n">
        <f aca="false">B2414*100/B$2</f>
        <v>162.296497968435</v>
      </c>
      <c r="E2414" s="3" t="n">
        <f aca="false">C2414*100/C$2</f>
        <v>119.018274543136</v>
      </c>
      <c r="F2414" s="0" t="n">
        <v>163.948699521822</v>
      </c>
      <c r="G2414" s="0" t="n">
        <v>121.196140316316</v>
      </c>
      <c r="H2414" s="0" t="n">
        <v>115.720356991075</v>
      </c>
      <c r="I2414" s="0" t="n">
        <v>-5.4757833252407</v>
      </c>
    </row>
    <row r="2415" customFormat="false" ht="13.8" hidden="false" customHeight="false" outlineLevel="0" collapsed="false">
      <c r="A2415" s="2" t="n">
        <v>42849</v>
      </c>
      <c r="B2415" s="0" t="n">
        <v>2374.15</v>
      </c>
      <c r="C2415" s="0" t="n">
        <v>281.96</v>
      </c>
      <c r="D2415" s="3" t="n">
        <f aca="false">B2415*100/B$2</f>
        <v>164.055805854225</v>
      </c>
      <c r="E2415" s="3" t="n">
        <f aca="false">C2415*100/C$2</f>
        <v>119.830004249894</v>
      </c>
      <c r="F2415" s="0" t="n">
        <v>164.008817269687</v>
      </c>
      <c r="G2415" s="0" t="n">
        <v>121.216222061664</v>
      </c>
      <c r="H2415" s="0" t="n">
        <v>117.046323841904</v>
      </c>
      <c r="I2415" s="0" t="n">
        <v>-4.16989821975956</v>
      </c>
    </row>
    <row r="2416" customFormat="false" ht="13.8" hidden="false" customHeight="false" outlineLevel="0" collapsed="false">
      <c r="A2416" s="2" t="n">
        <v>42850</v>
      </c>
      <c r="B2416" s="0" t="n">
        <v>2388.61</v>
      </c>
      <c r="C2416" s="0" t="n">
        <v>285.41</v>
      </c>
      <c r="D2416" s="3" t="n">
        <f aca="false">B2416*100/B$2</f>
        <v>165.055004284253</v>
      </c>
      <c r="E2416" s="3" t="n">
        <f aca="false">C2416*100/C$2</f>
        <v>121.29621759456</v>
      </c>
      <c r="F2416" s="0" t="n">
        <v>163.454628375577</v>
      </c>
      <c r="G2416" s="0" t="n">
        <v>121.031100685011</v>
      </c>
      <c r="H2416" s="0" t="n">
        <v>118.100297492563</v>
      </c>
      <c r="I2416" s="0" t="n">
        <v>-2.93080319244825</v>
      </c>
    </row>
    <row r="2417" customFormat="false" ht="13.8" hidden="false" customHeight="false" outlineLevel="0" collapsed="false">
      <c r="A2417" s="2" t="n">
        <v>42851</v>
      </c>
      <c r="B2417" s="0" t="n">
        <v>2387.45</v>
      </c>
      <c r="C2417" s="0" t="n">
        <v>286.78</v>
      </c>
      <c r="D2417" s="3" t="n">
        <f aca="false">B2417*100/B$2</f>
        <v>164.9748472871</v>
      </c>
      <c r="E2417" s="3" t="n">
        <f aca="false">C2417*100/C$2</f>
        <v>121.878453038674</v>
      </c>
      <c r="F2417" s="0" t="n">
        <v>164.823516404544</v>
      </c>
      <c r="G2417" s="0" t="n">
        <v>121.488364334822</v>
      </c>
      <c r="H2417" s="0" t="n">
        <v>118.100297492563</v>
      </c>
      <c r="I2417" s="0" t="n">
        <v>-3.38806684225972</v>
      </c>
    </row>
    <row r="2418" customFormat="false" ht="13.8" hidden="false" customHeight="false" outlineLevel="0" collapsed="false">
      <c r="A2418" s="2" t="n">
        <v>42852</v>
      </c>
      <c r="B2418" s="0" t="n">
        <v>2388.77</v>
      </c>
      <c r="C2418" s="0" t="n">
        <v>287.34</v>
      </c>
      <c r="D2418" s="3" t="n">
        <f aca="false">B2418*100/B$2</f>
        <v>165.066060421792</v>
      </c>
      <c r="E2418" s="3" t="n">
        <f aca="false">C2418*100/C$2</f>
        <v>122.116447088823</v>
      </c>
      <c r="F2418" s="0" t="n">
        <v>164.555405069239</v>
      </c>
      <c r="G2418" s="0" t="n">
        <v>121.398804367065</v>
      </c>
      <c r="H2418" s="0" t="n">
        <v>119.043773905652</v>
      </c>
      <c r="I2418" s="0" t="n">
        <v>-2.35503046141289</v>
      </c>
    </row>
    <row r="2419" customFormat="false" ht="13.8" hidden="false" customHeight="false" outlineLevel="0" collapsed="false">
      <c r="A2419" s="2" t="n">
        <v>42853</v>
      </c>
      <c r="B2419" s="0" t="n">
        <v>2384.2</v>
      </c>
      <c r="C2419" s="0" t="n">
        <v>287.21</v>
      </c>
      <c r="D2419" s="3" t="n">
        <f aca="false">B2419*100/B$2</f>
        <v>164.750269493352</v>
      </c>
      <c r="E2419" s="3" t="n">
        <f aca="false">C2419*100/C$2</f>
        <v>122.061198470038</v>
      </c>
      <c r="F2419" s="0" t="n">
        <v>164.339119378645</v>
      </c>
      <c r="G2419" s="0" t="n">
        <v>121.326556248746</v>
      </c>
      <c r="H2419" s="0" t="n">
        <v>119.787505312367</v>
      </c>
      <c r="I2419" s="0" t="n">
        <v>-1.53905093637854</v>
      </c>
    </row>
    <row r="2420" customFormat="false" ht="13.8" hidden="false" customHeight="false" outlineLevel="0" collapsed="false">
      <c r="A2420" s="2" t="n">
        <v>42856</v>
      </c>
      <c r="B2420" s="0" t="n">
        <v>2388.33</v>
      </c>
      <c r="C2420" s="0" t="n">
        <v>287.21</v>
      </c>
      <c r="D2420" s="3" t="n">
        <f aca="false">B2420*100/B$2</f>
        <v>165.035656043561</v>
      </c>
      <c r="E2420" s="3" t="n">
        <f aca="false">C2420*100/C$2</f>
        <v>122.061198470038</v>
      </c>
      <c r="F2420" s="0" t="n">
        <v>164.008817269687</v>
      </c>
      <c r="G2420" s="0" t="n">
        <v>121.216222061664</v>
      </c>
      <c r="H2420" s="0" t="n">
        <v>119.315767105822</v>
      </c>
      <c r="I2420" s="0" t="n">
        <v>-1.90045495584117</v>
      </c>
    </row>
    <row r="2421" customFormat="false" ht="13.8" hidden="false" customHeight="false" outlineLevel="0" collapsed="false">
      <c r="A2421" s="2" t="n">
        <v>42857</v>
      </c>
      <c r="B2421" s="0" t="n">
        <v>2391.17</v>
      </c>
      <c r="C2421" s="0" t="n">
        <v>289.65</v>
      </c>
      <c r="D2421" s="3" t="n">
        <f aca="false">B2421*100/B$2</f>
        <v>165.231902484867</v>
      </c>
      <c r="E2421" s="3" t="n">
        <f aca="false">C2421*100/C$2</f>
        <v>123.098172545686</v>
      </c>
      <c r="F2421" s="0" t="n">
        <v>161.973796954034</v>
      </c>
      <c r="G2421" s="0" t="n">
        <v>120.536443440414</v>
      </c>
      <c r="H2421" s="0" t="n">
        <v>120.628984275393</v>
      </c>
      <c r="I2421" s="0" t="n">
        <v>0.0925408349787773</v>
      </c>
    </row>
    <row r="2422" customFormat="false" ht="13.8" hidden="false" customHeight="false" outlineLevel="0" collapsed="false">
      <c r="A2422" s="2" t="n">
        <v>42858</v>
      </c>
      <c r="B2422" s="0" t="n">
        <v>2388.13</v>
      </c>
      <c r="C2422" s="0" t="n">
        <v>289.65</v>
      </c>
      <c r="D2422" s="3" t="n">
        <f aca="false">B2422*100/B$2</f>
        <v>165.021835871638</v>
      </c>
      <c r="E2422" s="3" t="n">
        <f aca="false">C2422*100/C$2</f>
        <v>123.098172545686</v>
      </c>
      <c r="F2422" s="0" t="n">
        <v>162.279913762127</v>
      </c>
      <c r="G2422" s="0" t="n">
        <v>120.638698764426</v>
      </c>
      <c r="H2422" s="0" t="n">
        <v>120.114747131322</v>
      </c>
      <c r="I2422" s="0" t="n">
        <v>-0.523951633103948</v>
      </c>
    </row>
    <row r="2423" customFormat="false" ht="13.8" hidden="false" customHeight="false" outlineLevel="0" collapsed="false">
      <c r="A2423" s="2" t="n">
        <v>42859</v>
      </c>
      <c r="B2423" s="0" t="n">
        <v>2389.52</v>
      </c>
      <c r="C2423" s="0" t="n">
        <v>292.47</v>
      </c>
      <c r="D2423" s="3" t="n">
        <f aca="false">B2423*100/B$2</f>
        <v>165.117886066503</v>
      </c>
      <c r="E2423" s="3" t="n">
        <f aca="false">C2423*100/C$2</f>
        <v>124.296642583935</v>
      </c>
      <c r="F2423" s="0" t="n">
        <v>162.107852621687</v>
      </c>
      <c r="G2423" s="0" t="n">
        <v>120.581223424293</v>
      </c>
      <c r="H2423" s="0" t="n">
        <v>120.19124521887</v>
      </c>
      <c r="I2423" s="0" t="n">
        <v>-0.389978205423361</v>
      </c>
    </row>
    <row r="2424" customFormat="false" ht="13.8" hidden="false" customHeight="false" outlineLevel="0" collapsed="false">
      <c r="A2424" s="2" t="n">
        <v>42860</v>
      </c>
      <c r="B2424" s="0" t="n">
        <v>2399.29</v>
      </c>
      <c r="C2424" s="0" t="n">
        <v>292.47</v>
      </c>
      <c r="D2424" s="3" t="n">
        <f aca="false">B2424*100/B$2</f>
        <v>165.793001464938</v>
      </c>
      <c r="E2424" s="3" t="n">
        <f aca="false">C2424*100/C$2</f>
        <v>124.296642583935</v>
      </c>
      <c r="F2424" s="0" t="n">
        <v>161.971032919649</v>
      </c>
      <c r="G2424" s="0" t="n">
        <v>120.535520141778</v>
      </c>
      <c r="H2424" s="0" t="n">
        <v>119.978750531237</v>
      </c>
      <c r="I2424" s="0" t="n">
        <v>-0.55676961054094</v>
      </c>
    </row>
    <row r="2425" customFormat="false" ht="13.8" hidden="false" customHeight="false" outlineLevel="0" collapsed="false">
      <c r="A2425" s="2" t="n">
        <v>42863</v>
      </c>
      <c r="B2425" s="0" t="n">
        <v>2399.38</v>
      </c>
      <c r="C2425" s="0" t="n">
        <v>299.86</v>
      </c>
      <c r="D2425" s="3" t="n">
        <f aca="false">B2425*100/B$2</f>
        <v>165.799220542304</v>
      </c>
      <c r="E2425" s="3" t="n">
        <f aca="false">C2425*100/C$2</f>
        <v>127.437314067148</v>
      </c>
      <c r="F2425" s="0" t="n">
        <v>161.80588186517</v>
      </c>
      <c r="G2425" s="0" t="n">
        <v>120.480353048237</v>
      </c>
      <c r="H2425" s="0" t="n">
        <v>119.150021249469</v>
      </c>
      <c r="I2425" s="0" t="n">
        <v>-1.33033179876777</v>
      </c>
    </row>
    <row r="2426" customFormat="false" ht="13.8" hidden="false" customHeight="false" outlineLevel="0" collapsed="false">
      <c r="A2426" s="2" t="n">
        <v>42864</v>
      </c>
      <c r="B2426" s="0" t="n">
        <v>2396.92</v>
      </c>
      <c r="C2426" s="0" t="n">
        <v>299.86</v>
      </c>
      <c r="D2426" s="3" t="n">
        <f aca="false">B2426*100/B$2</f>
        <v>165.629232427651</v>
      </c>
      <c r="E2426" s="3" t="n">
        <f aca="false">C2426*100/C$2</f>
        <v>127.437314067148</v>
      </c>
      <c r="F2426" s="0" t="n">
        <v>162.979214461428</v>
      </c>
      <c r="G2426" s="0" t="n">
        <v>120.872293319503</v>
      </c>
      <c r="H2426" s="0" t="n">
        <v>119.528261793455</v>
      </c>
      <c r="I2426" s="0" t="n">
        <v>-1.34403152604833</v>
      </c>
    </row>
    <row r="2427" customFormat="false" ht="13.8" hidden="false" customHeight="false" outlineLevel="0" collapsed="false">
      <c r="A2427" s="2" t="n">
        <v>42865</v>
      </c>
      <c r="B2427" s="0" t="n">
        <v>2399.63</v>
      </c>
      <c r="C2427" s="0" t="n">
        <v>296.19</v>
      </c>
      <c r="D2427" s="3" t="n">
        <f aca="false">B2427*100/B$2</f>
        <v>165.816495757207</v>
      </c>
      <c r="E2427" s="3" t="n">
        <f aca="false">C2427*100/C$2</f>
        <v>125.877603059924</v>
      </c>
      <c r="F2427" s="0" t="n">
        <v>163.156112662041</v>
      </c>
      <c r="G2427" s="0" t="n">
        <v>120.93138443225</v>
      </c>
      <c r="H2427" s="0" t="n">
        <v>119.787505312367</v>
      </c>
      <c r="I2427" s="0" t="n">
        <v>-1.14387911988325</v>
      </c>
    </row>
    <row r="2428" customFormat="false" ht="13.8" hidden="false" customHeight="false" outlineLevel="0" collapsed="false">
      <c r="A2428" s="2" t="n">
        <v>42866</v>
      </c>
      <c r="B2428" s="0" t="n">
        <v>2394.44</v>
      </c>
      <c r="C2428" s="0" t="n">
        <v>299.75</v>
      </c>
      <c r="D2428" s="3" t="n">
        <f aca="false">B2428*100/B$2</f>
        <v>165.457862295807</v>
      </c>
      <c r="E2428" s="3" t="n">
        <f aca="false">C2428*100/C$2</f>
        <v>127.390565235869</v>
      </c>
      <c r="F2428" s="0" t="n">
        <v>163.634981619171</v>
      </c>
      <c r="G2428" s="0" t="n">
        <v>121.091345921054</v>
      </c>
      <c r="H2428" s="0" t="n">
        <v>119.702507437314</v>
      </c>
      <c r="I2428" s="0" t="n">
        <v>-1.38883848373966</v>
      </c>
    </row>
    <row r="2429" customFormat="false" ht="13.8" hidden="false" customHeight="false" outlineLevel="0" collapsed="false">
      <c r="A2429" s="2" t="n">
        <v>42867</v>
      </c>
      <c r="B2429" s="0" t="n">
        <v>2390.9</v>
      </c>
      <c r="C2429" s="0" t="n">
        <v>298.25</v>
      </c>
      <c r="D2429" s="3" t="n">
        <f aca="false">B2429*100/B$2</f>
        <v>165.213245252771</v>
      </c>
      <c r="E2429" s="3" t="n">
        <f aca="false">C2429*100/C$2</f>
        <v>126.753081172971</v>
      </c>
      <c r="F2429" s="0" t="n">
        <v>163.265983028829</v>
      </c>
      <c r="G2429" s="0" t="n">
        <v>120.968085553058</v>
      </c>
      <c r="H2429" s="0" t="n">
        <v>119.269018274543</v>
      </c>
      <c r="I2429" s="0" t="n">
        <v>-1.699067278515</v>
      </c>
    </row>
    <row r="2430" customFormat="false" ht="13.8" hidden="false" customHeight="false" outlineLevel="0" collapsed="false">
      <c r="A2430" s="2" t="n">
        <v>42870</v>
      </c>
      <c r="B2430" s="0" t="n">
        <v>2402.32</v>
      </c>
      <c r="C2430" s="0" t="n">
        <v>298.87</v>
      </c>
      <c r="D2430" s="3" t="n">
        <f aca="false">B2430*100/B$2</f>
        <v>166.002377069571</v>
      </c>
      <c r="E2430" s="3" t="n">
        <f aca="false">C2430*100/C$2</f>
        <v>127.016574585635</v>
      </c>
      <c r="F2430" s="0" t="n">
        <v>162.997871693524</v>
      </c>
      <c r="G2430" s="0" t="n">
        <v>120.878525585301</v>
      </c>
      <c r="H2430" s="0" t="n">
        <v>119.677008074798</v>
      </c>
      <c r="I2430" s="0" t="n">
        <v>-1.20151751050288</v>
      </c>
    </row>
    <row r="2431" customFormat="false" ht="13.8" hidden="false" customHeight="false" outlineLevel="0" collapsed="false">
      <c r="A2431" s="2" t="n">
        <v>42871</v>
      </c>
      <c r="B2431" s="0" t="n">
        <v>2400.67</v>
      </c>
      <c r="C2431" s="0" t="n">
        <v>299.67</v>
      </c>
      <c r="D2431" s="3" t="n">
        <f aca="false">B2431*100/B$2</f>
        <v>165.888360651207</v>
      </c>
      <c r="E2431" s="3" t="n">
        <f aca="false">C2431*100/C$2</f>
        <v>127.356566085848</v>
      </c>
      <c r="F2431" s="0" t="n">
        <v>163.089084828215</v>
      </c>
      <c r="G2431" s="0" t="n">
        <v>120.908994440311</v>
      </c>
      <c r="H2431" s="0" t="n">
        <v>119.388015299618</v>
      </c>
      <c r="I2431" s="0" t="n">
        <v>-1.52097914069367</v>
      </c>
    </row>
    <row r="2432" customFormat="false" ht="13.8" hidden="false" customHeight="false" outlineLevel="0" collapsed="false">
      <c r="A2432" s="2" t="n">
        <v>42872</v>
      </c>
      <c r="B2432" s="0" t="n">
        <v>2357.03</v>
      </c>
      <c r="C2432" s="0" t="n">
        <v>299.34</v>
      </c>
      <c r="D2432" s="3" t="n">
        <f aca="false">B2432*100/B$2</f>
        <v>162.872799137621</v>
      </c>
      <c r="E2432" s="3" t="n">
        <f aca="false">C2432*100/C$2</f>
        <v>127.21631959201</v>
      </c>
      <c r="F2432" s="0" t="n">
        <v>162.590867630393</v>
      </c>
      <c r="G2432" s="0" t="n">
        <v>120.742569861051</v>
      </c>
      <c r="H2432" s="0" t="n">
        <v>119.31151721207</v>
      </c>
      <c r="I2432" s="0" t="n">
        <v>-1.43105264898148</v>
      </c>
    </row>
    <row r="2433" customFormat="false" ht="13.8" hidden="false" customHeight="false" outlineLevel="0" collapsed="false">
      <c r="A2433" s="2" t="n">
        <v>42873</v>
      </c>
      <c r="B2433" s="0" t="n">
        <v>2365.72</v>
      </c>
      <c r="C2433" s="0" t="n">
        <v>298.47</v>
      </c>
      <c r="D2433" s="3" t="n">
        <f aca="false">B2433*100/B$2</f>
        <v>163.473285607673</v>
      </c>
      <c r="E2433" s="3" t="n">
        <f aca="false">C2433*100/C$2</f>
        <v>126.846578835529</v>
      </c>
      <c r="F2433" s="0" t="n">
        <v>162.904585533044</v>
      </c>
      <c r="G2433" s="0" t="n">
        <v>120.847364256313</v>
      </c>
      <c r="H2433" s="0" t="n">
        <v>118.771780705482</v>
      </c>
      <c r="I2433" s="0" t="n">
        <v>-2.075583550831</v>
      </c>
    </row>
    <row r="2434" customFormat="false" ht="13.8" hidden="false" customHeight="false" outlineLevel="0" collapsed="false">
      <c r="A2434" s="2" t="n">
        <v>42874</v>
      </c>
      <c r="B2434" s="0" t="n">
        <v>2381.73</v>
      </c>
      <c r="C2434" s="0" t="n">
        <v>298.08</v>
      </c>
      <c r="D2434" s="3" t="n">
        <f aca="false">B2434*100/B$2</f>
        <v>164.579590370104</v>
      </c>
      <c r="E2434" s="3" t="n">
        <f aca="false">C2434*100/C$2</f>
        <v>126.680832979176</v>
      </c>
      <c r="F2434" s="0" t="n">
        <v>162.769838856795</v>
      </c>
      <c r="G2434" s="0" t="n">
        <v>120.802353447776</v>
      </c>
      <c r="H2434" s="0" t="n">
        <v>118.57628559286</v>
      </c>
      <c r="I2434" s="0" t="n">
        <v>-2.22606785491546</v>
      </c>
    </row>
    <row r="2435" customFormat="false" ht="13.8" hidden="false" customHeight="false" outlineLevel="0" collapsed="false">
      <c r="A2435" s="2" t="n">
        <v>42877</v>
      </c>
      <c r="B2435" s="0" t="n">
        <v>2394.02</v>
      </c>
      <c r="C2435" s="0" t="n">
        <v>300.63</v>
      </c>
      <c r="D2435" s="3" t="n">
        <f aca="false">B2435*100/B$2</f>
        <v>165.428839934769</v>
      </c>
      <c r="E2435" s="3" t="n">
        <f aca="false">C2435*100/C$2</f>
        <v>127.764555886103</v>
      </c>
      <c r="F2435" s="0" t="n">
        <v>162.881782249371</v>
      </c>
      <c r="G2435" s="0" t="n">
        <v>120.839747042561</v>
      </c>
      <c r="H2435" s="0" t="n">
        <v>117.811304717382</v>
      </c>
      <c r="I2435" s="0" t="n">
        <v>-3.02844232517879</v>
      </c>
    </row>
    <row r="2436" customFormat="false" ht="13.8" hidden="false" customHeight="false" outlineLevel="0" collapsed="false">
      <c r="A2436" s="2" t="n">
        <v>42878</v>
      </c>
      <c r="B2436" s="0" t="n">
        <v>2398.42</v>
      </c>
      <c r="C2436" s="0" t="n">
        <v>301.36</v>
      </c>
      <c r="D2436" s="3" t="n">
        <f aca="false">B2436*100/B$2</f>
        <v>165.732883717073</v>
      </c>
      <c r="E2436" s="3" t="n">
        <f aca="false">C2436*100/C$2</f>
        <v>128.074798130047</v>
      </c>
      <c r="F2436" s="0" t="n">
        <v>162.648221343874</v>
      </c>
      <c r="G2436" s="0" t="n">
        <v>120.761728307762</v>
      </c>
      <c r="H2436" s="0" t="n">
        <v>117.080322991925</v>
      </c>
      <c r="I2436" s="0" t="n">
        <v>-3.68140531583691</v>
      </c>
    </row>
    <row r="2437" customFormat="false" ht="13.8" hidden="false" customHeight="false" outlineLevel="0" collapsed="false">
      <c r="A2437" s="2" t="n">
        <v>42879</v>
      </c>
      <c r="B2437" s="0" t="n">
        <v>2404.39</v>
      </c>
      <c r="C2437" s="0" t="n">
        <v>301.71</v>
      </c>
      <c r="D2437" s="3" t="n">
        <f aca="false">B2437*100/B$2</f>
        <v>166.145415848973</v>
      </c>
      <c r="E2437" s="3" t="n">
        <f aca="false">C2437*100/C$2</f>
        <v>128.22354441139</v>
      </c>
      <c r="F2437" s="0" t="n">
        <v>162.036678736283</v>
      </c>
      <c r="G2437" s="0" t="n">
        <v>120.557448484399</v>
      </c>
      <c r="H2437" s="0" t="n">
        <v>117.386315342116</v>
      </c>
      <c r="I2437" s="0" t="n">
        <v>-3.17113314228214</v>
      </c>
    </row>
    <row r="2438" customFormat="false" ht="13.8" hidden="false" customHeight="false" outlineLevel="0" collapsed="false">
      <c r="A2438" s="2" t="n">
        <v>42880</v>
      </c>
      <c r="B2438" s="0" t="n">
        <v>2415.07</v>
      </c>
      <c r="C2438" s="0" t="n">
        <v>305.22</v>
      </c>
      <c r="D2438" s="3" t="n">
        <f aca="false">B2438*100/B$2</f>
        <v>166.883413029658</v>
      </c>
      <c r="E2438" s="3" t="n">
        <f aca="false">C2438*100/C$2</f>
        <v>129.715257118572</v>
      </c>
      <c r="F2438" s="0" t="n">
        <v>160.932446999641</v>
      </c>
      <c r="G2438" s="0" t="n">
        <v>120.188590679048</v>
      </c>
      <c r="H2438" s="0" t="n">
        <v>118.623034424139</v>
      </c>
      <c r="I2438" s="0" t="n">
        <v>-1.56555625490903</v>
      </c>
    </row>
    <row r="2439" customFormat="false" ht="13.8" hidden="false" customHeight="false" outlineLevel="0" collapsed="false">
      <c r="A2439" s="2" t="n">
        <v>42881</v>
      </c>
      <c r="B2439" s="0" t="n">
        <v>2415.82</v>
      </c>
      <c r="C2439" s="0" t="n">
        <v>306.96</v>
      </c>
      <c r="D2439" s="3" t="n">
        <f aca="false">B2439*100/B$2</f>
        <v>166.935238674369</v>
      </c>
      <c r="E2439" s="3" t="n">
        <f aca="false">C2439*100/C$2</f>
        <v>130.454738631534</v>
      </c>
      <c r="F2439" s="0" t="n">
        <v>160.932446999641</v>
      </c>
      <c r="G2439" s="0" t="n">
        <v>120.188590679048</v>
      </c>
      <c r="H2439" s="0" t="n">
        <v>117.853803654909</v>
      </c>
      <c r="I2439" s="0" t="n">
        <v>-2.3347870241398</v>
      </c>
    </row>
    <row r="2440" customFormat="false" ht="13.8" hidden="false" customHeight="false" outlineLevel="0" collapsed="false">
      <c r="A2440" s="2" t="n">
        <v>42884</v>
      </c>
      <c r="B2440" s="0" t="n">
        <v>2415.82</v>
      </c>
      <c r="C2440" s="0" t="n">
        <v>306.52</v>
      </c>
      <c r="D2440" s="3" t="n">
        <f aca="false">B2440*100/B$2</f>
        <v>166.935238674369</v>
      </c>
      <c r="E2440" s="3" t="n">
        <f aca="false">C2440*100/C$2</f>
        <v>130.267743306417</v>
      </c>
      <c r="F2440" s="0" t="n">
        <v>162.318610243511</v>
      </c>
      <c r="G2440" s="0" t="n">
        <v>120.651624945339</v>
      </c>
      <c r="H2440" s="0" t="n">
        <v>118.189545261369</v>
      </c>
      <c r="I2440" s="0" t="n">
        <v>-2.46207968397059</v>
      </c>
    </row>
    <row r="2441" customFormat="false" ht="13.8" hidden="false" customHeight="false" outlineLevel="0" collapsed="false">
      <c r="A2441" s="2" t="n">
        <v>42885</v>
      </c>
      <c r="B2441" s="0" t="n">
        <v>2412.91</v>
      </c>
      <c r="C2441" s="0" t="n">
        <v>304.59</v>
      </c>
      <c r="D2441" s="3" t="n">
        <f aca="false">B2441*100/B$2</f>
        <v>166.73415517289</v>
      </c>
      <c r="E2441" s="3" t="n">
        <f aca="false">C2441*100/C$2</f>
        <v>129.447513812155</v>
      </c>
      <c r="F2441" s="0" t="n">
        <v>161.847342380939</v>
      </c>
      <c r="G2441" s="0" t="n">
        <v>120.494202527787</v>
      </c>
      <c r="H2441" s="0" t="n">
        <v>118.244793880153</v>
      </c>
      <c r="I2441" s="0" t="n">
        <v>-2.24940864763361</v>
      </c>
    </row>
    <row r="2442" customFormat="false" ht="13.8" hidden="false" customHeight="false" outlineLevel="0" collapsed="false">
      <c r="A2442" s="2" t="n">
        <v>42886</v>
      </c>
      <c r="B2442" s="0" t="n">
        <v>2411.8</v>
      </c>
      <c r="C2442" s="0" t="n">
        <v>304.67</v>
      </c>
      <c r="D2442" s="3" t="n">
        <f aca="false">B2442*100/B$2</f>
        <v>166.657453218718</v>
      </c>
      <c r="E2442" s="3" t="n">
        <f aca="false">C2442*100/C$2</f>
        <v>129.481512962176</v>
      </c>
      <c r="F2442" s="0" t="n">
        <v>161.569556925288</v>
      </c>
      <c r="G2442" s="0" t="n">
        <v>120.401411014801</v>
      </c>
      <c r="H2442" s="0" t="n">
        <v>117.505312367191</v>
      </c>
      <c r="I2442" s="0" t="n">
        <v>-2.89609864761033</v>
      </c>
    </row>
    <row r="2443" customFormat="false" ht="13.8" hidden="false" customHeight="false" outlineLevel="0" collapsed="false">
      <c r="A2443" s="2" t="n">
        <v>42887</v>
      </c>
      <c r="B2443" s="0" t="n">
        <v>2430.06</v>
      </c>
      <c r="C2443" s="0" t="n">
        <v>304.03</v>
      </c>
      <c r="D2443" s="3" t="n">
        <f aca="false">B2443*100/B$2</f>
        <v>167.919234915282</v>
      </c>
      <c r="E2443" s="3" t="n">
        <f aca="false">C2443*100/C$2</f>
        <v>129.209519762006</v>
      </c>
      <c r="F2443" s="0" t="n">
        <v>162.79056911468</v>
      </c>
      <c r="G2443" s="0" t="n">
        <v>120.809278187551</v>
      </c>
      <c r="H2443" s="0" t="n">
        <v>118.045048873778</v>
      </c>
      <c r="I2443" s="0" t="n">
        <v>-2.76422931377252</v>
      </c>
    </row>
    <row r="2444" customFormat="false" ht="13.8" hidden="false" customHeight="false" outlineLevel="0" collapsed="false">
      <c r="A2444" s="2" t="n">
        <v>42888</v>
      </c>
      <c r="B2444" s="0" t="n">
        <v>2439.07</v>
      </c>
      <c r="C2444" s="0" t="n">
        <v>307.83</v>
      </c>
      <c r="D2444" s="3" t="n">
        <f aca="false">B2444*100/B$2</f>
        <v>168.541833660411</v>
      </c>
      <c r="E2444" s="3" t="n">
        <f aca="false">C2444*100/C$2</f>
        <v>130.824479388015</v>
      </c>
      <c r="F2444" s="0" t="n">
        <v>162.296497968435</v>
      </c>
      <c r="G2444" s="0" t="n">
        <v>120.644238556246</v>
      </c>
      <c r="H2444" s="0" t="n">
        <v>119.018274543136</v>
      </c>
      <c r="I2444" s="0" t="n">
        <v>-1.62596401310927</v>
      </c>
    </row>
    <row r="2445" customFormat="false" ht="13.8" hidden="false" customHeight="false" outlineLevel="0" collapsed="false">
      <c r="A2445" s="2" t="n">
        <v>42891</v>
      </c>
      <c r="B2445" s="0" t="n">
        <v>2436.1</v>
      </c>
      <c r="C2445" s="0" t="n">
        <v>307.33</v>
      </c>
      <c r="D2445" s="3" t="n">
        <f aca="false">B2445*100/B$2</f>
        <v>168.336604107355</v>
      </c>
      <c r="E2445" s="3" t="n">
        <f aca="false">C2445*100/C$2</f>
        <v>130.611984700382</v>
      </c>
      <c r="F2445" s="0" t="n">
        <v>164.055805854225</v>
      </c>
      <c r="G2445" s="0" t="n">
        <v>121.231918138487</v>
      </c>
      <c r="H2445" s="0" t="n">
        <v>119.830004249894</v>
      </c>
      <c r="I2445" s="0" t="n">
        <v>-1.40191388859321</v>
      </c>
    </row>
    <row r="2446" customFormat="false" ht="13.8" hidden="false" customHeight="false" outlineLevel="0" collapsed="false">
      <c r="A2446" s="2" t="n">
        <v>42892</v>
      </c>
      <c r="B2446" s="0" t="n">
        <v>2429.33</v>
      </c>
      <c r="C2446" s="0" t="n">
        <v>307.33</v>
      </c>
      <c r="D2446" s="3" t="n">
        <f aca="false">B2446*100/B$2</f>
        <v>167.868791287764</v>
      </c>
      <c r="E2446" s="3" t="n">
        <f aca="false">C2446*100/C$2</f>
        <v>130.611984700382</v>
      </c>
      <c r="F2446" s="0" t="n">
        <v>165.055004284253</v>
      </c>
      <c r="G2446" s="0" t="n">
        <v>121.565690595644</v>
      </c>
      <c r="H2446" s="0" t="n">
        <v>121.29621759456</v>
      </c>
      <c r="I2446" s="0" t="n">
        <v>-0.269473001083455</v>
      </c>
    </row>
    <row r="2447" customFormat="false" ht="13.8" hidden="false" customHeight="false" outlineLevel="0" collapsed="false">
      <c r="A2447" s="2" t="n">
        <v>42893</v>
      </c>
      <c r="B2447" s="0" t="n">
        <v>2433.14</v>
      </c>
      <c r="C2447" s="0" t="n">
        <v>305.68</v>
      </c>
      <c r="D2447" s="3" t="n">
        <f aca="false">B2447*100/B$2</f>
        <v>168.132065562896</v>
      </c>
      <c r="E2447" s="3" t="n">
        <f aca="false">C2447*100/C$2</f>
        <v>129.910752231194</v>
      </c>
      <c r="F2447" s="0" t="n">
        <v>164.9748472871</v>
      </c>
      <c r="G2447" s="0" t="n">
        <v>121.53891493518</v>
      </c>
      <c r="H2447" s="0" t="n">
        <v>121.878453038674</v>
      </c>
      <c r="I2447" s="0" t="n">
        <v>0.339538103493894</v>
      </c>
    </row>
    <row r="2448" customFormat="false" ht="13.8" hidden="false" customHeight="false" outlineLevel="0" collapsed="false">
      <c r="A2448" s="2" t="n">
        <v>42894</v>
      </c>
      <c r="B2448" s="0" t="n">
        <v>2433.79</v>
      </c>
      <c r="C2448" s="0" t="n">
        <v>306.25</v>
      </c>
      <c r="D2448" s="3" t="n">
        <f aca="false">B2448*100/B$2</f>
        <v>168.176981121645</v>
      </c>
      <c r="E2448" s="3" t="n">
        <f aca="false">C2448*100/C$2</f>
        <v>130.152996175096</v>
      </c>
      <c r="F2448" s="0" t="n">
        <v>165.066060421792</v>
      </c>
      <c r="G2448" s="0" t="n">
        <v>121.56938379019</v>
      </c>
      <c r="H2448" s="0" t="n">
        <v>122.116447088823</v>
      </c>
      <c r="I2448" s="0" t="n">
        <v>0.54706329863248</v>
      </c>
    </row>
    <row r="2449" customFormat="false" ht="13.8" hidden="false" customHeight="false" outlineLevel="0" collapsed="false">
      <c r="A2449" s="2" t="n">
        <v>42895</v>
      </c>
      <c r="B2449" s="0" t="n">
        <v>2431.77</v>
      </c>
      <c r="C2449" s="0" t="n">
        <v>309.38</v>
      </c>
      <c r="D2449" s="3" t="n">
        <f aca="false">B2449*100/B$2</f>
        <v>168.037397385223</v>
      </c>
      <c r="E2449" s="3" t="n">
        <f aca="false">C2449*100/C$2</f>
        <v>131.483212919677</v>
      </c>
      <c r="F2449" s="0" t="n">
        <v>164.750269493352</v>
      </c>
      <c r="G2449" s="0" t="n">
        <v>121.463896920951</v>
      </c>
      <c r="H2449" s="0" t="n">
        <v>122.061198470038</v>
      </c>
      <c r="I2449" s="0" t="n">
        <v>0.597301549087632</v>
      </c>
    </row>
    <row r="2450" customFormat="false" ht="13.8" hidden="false" customHeight="false" outlineLevel="0" collapsed="false">
      <c r="A2450" s="2" t="n">
        <v>42898</v>
      </c>
      <c r="B2450" s="0" t="n">
        <v>2429.39</v>
      </c>
      <c r="C2450" s="0" t="n">
        <v>306.24</v>
      </c>
      <c r="D2450" s="3" t="n">
        <f aca="false">B2450*100/B$2</f>
        <v>167.872937339341</v>
      </c>
      <c r="E2450" s="3" t="n">
        <f aca="false">C2450*100/C$2</f>
        <v>130.148746281343</v>
      </c>
      <c r="F2450" s="0" t="n">
        <v>165.035656043561</v>
      </c>
      <c r="G2450" s="0" t="n">
        <v>121.559227505187</v>
      </c>
      <c r="H2450" s="0" t="n">
        <v>122.061198470038</v>
      </c>
      <c r="I2450" s="0" t="n">
        <v>0.501970964851324</v>
      </c>
    </row>
    <row r="2451" customFormat="false" ht="13.8" hidden="false" customHeight="false" outlineLevel="0" collapsed="false">
      <c r="A2451" s="2" t="n">
        <v>42899</v>
      </c>
      <c r="B2451" s="0" t="n">
        <v>2440.35</v>
      </c>
      <c r="C2451" s="0" t="n">
        <v>308.02</v>
      </c>
      <c r="D2451" s="3" t="n">
        <f aca="false">B2451*100/B$2</f>
        <v>168.630282760718</v>
      </c>
      <c r="E2451" s="3" t="n">
        <f aca="false">C2451*100/C$2</f>
        <v>130.905227369316</v>
      </c>
      <c r="F2451" s="0" t="n">
        <v>165.231902484867</v>
      </c>
      <c r="G2451" s="0" t="n">
        <v>121.624781708391</v>
      </c>
      <c r="H2451" s="0" t="n">
        <v>123.098172545686</v>
      </c>
      <c r="I2451" s="0" t="n">
        <v>1.47339083729578</v>
      </c>
    </row>
    <row r="2452" customFormat="false" ht="13.8" hidden="false" customHeight="false" outlineLevel="0" collapsed="false">
      <c r="A2452" s="2" t="n">
        <v>42900</v>
      </c>
      <c r="B2452" s="0" t="n">
        <v>2437.92</v>
      </c>
      <c r="C2452" s="0" t="n">
        <v>307.95</v>
      </c>
      <c r="D2452" s="3" t="n">
        <f aca="false">B2452*100/B$2</f>
        <v>168.462367671854</v>
      </c>
      <c r="E2452" s="3" t="n">
        <f aca="false">C2452*100/C$2</f>
        <v>130.875478113047</v>
      </c>
      <c r="F2452" s="0" t="n">
        <v>165.021835871638</v>
      </c>
      <c r="G2452" s="0" t="n">
        <v>121.554611012004</v>
      </c>
      <c r="H2452" s="0" t="n">
        <v>123.098172545686</v>
      </c>
      <c r="I2452" s="0" t="n">
        <v>1.54356153368281</v>
      </c>
    </row>
    <row r="2453" customFormat="false" ht="13.8" hidden="false" customHeight="false" outlineLevel="0" collapsed="false">
      <c r="A2453" s="2" t="n">
        <v>42901</v>
      </c>
      <c r="B2453" s="0" t="n">
        <v>2432.46</v>
      </c>
      <c r="C2453" s="0" t="n">
        <v>306.69</v>
      </c>
      <c r="D2453" s="3" t="n">
        <f aca="false">B2453*100/B$2</f>
        <v>168.085076978358</v>
      </c>
      <c r="E2453" s="3" t="n">
        <f aca="false">C2453*100/C$2</f>
        <v>130.339991500212</v>
      </c>
      <c r="F2453" s="0" t="n">
        <v>165.117886066503</v>
      </c>
      <c r="G2453" s="0" t="n">
        <v>121.586695639628</v>
      </c>
      <c r="H2453" s="0" t="n">
        <v>124.296642583935</v>
      </c>
      <c r="I2453" s="0" t="n">
        <v>2.70994694430755</v>
      </c>
    </row>
    <row r="2454" customFormat="false" ht="13.8" hidden="false" customHeight="false" outlineLevel="0" collapsed="false">
      <c r="A2454" s="2" t="n">
        <v>42902</v>
      </c>
      <c r="B2454" s="0" t="n">
        <v>2433.15</v>
      </c>
      <c r="C2454" s="0" t="n">
        <v>306.79</v>
      </c>
      <c r="D2454" s="3" t="n">
        <f aca="false">B2454*100/B$2</f>
        <v>168.132756571492</v>
      </c>
      <c r="E2454" s="3" t="n">
        <f aca="false">C2454*100/C$2</f>
        <v>130.382490437739</v>
      </c>
      <c r="F2454" s="0" t="n">
        <v>165.793001464938</v>
      </c>
      <c r="G2454" s="0" t="n">
        <v>121.812211331635</v>
      </c>
      <c r="H2454" s="0" t="n">
        <v>124.296642583935</v>
      </c>
      <c r="I2454" s="0" t="n">
        <v>2.4844312523006</v>
      </c>
    </row>
    <row r="2455" customFormat="false" ht="13.8" hidden="false" customHeight="false" outlineLevel="0" collapsed="false">
      <c r="A2455" s="2" t="n">
        <v>42905</v>
      </c>
      <c r="B2455" s="0" t="n">
        <v>2453.46</v>
      </c>
      <c r="C2455" s="0" t="n">
        <v>308.61</v>
      </c>
      <c r="D2455" s="3" t="n">
        <f aca="false">B2455*100/B$2</f>
        <v>169.536195030266</v>
      </c>
      <c r="E2455" s="3" t="n">
        <f aca="false">C2455*100/C$2</f>
        <v>131.155971100722</v>
      </c>
      <c r="F2455" s="0" t="n">
        <v>165.799220542304</v>
      </c>
      <c r="G2455" s="0" t="n">
        <v>121.814288753567</v>
      </c>
      <c r="H2455" s="0" t="n">
        <v>127.437314067148</v>
      </c>
      <c r="I2455" s="0" t="n">
        <v>5.623025313581</v>
      </c>
    </row>
    <row r="2456" customFormat="false" ht="13.8" hidden="false" customHeight="false" outlineLevel="0" collapsed="false">
      <c r="A2456" s="2" t="n">
        <v>42906</v>
      </c>
      <c r="B2456" s="0" t="n">
        <v>2437.03</v>
      </c>
      <c r="C2456" s="0" t="n">
        <v>309.31</v>
      </c>
      <c r="D2456" s="3" t="n">
        <f aca="false">B2456*100/B$2</f>
        <v>168.400867906797</v>
      </c>
      <c r="E2456" s="3" t="n">
        <f aca="false">C2456*100/C$2</f>
        <v>131.453463663408</v>
      </c>
      <c r="F2456" s="0" t="n">
        <v>165.629232427651</v>
      </c>
      <c r="G2456" s="0" t="n">
        <v>121.757505887412</v>
      </c>
      <c r="H2456" s="0" t="n">
        <v>127.437314067148</v>
      </c>
      <c r="I2456" s="0" t="n">
        <v>5.67980817973627</v>
      </c>
    </row>
    <row r="2457" customFormat="false" ht="13.8" hidden="false" customHeight="false" outlineLevel="0" collapsed="false">
      <c r="A2457" s="2" t="n">
        <v>42907</v>
      </c>
      <c r="B2457" s="0" t="n">
        <v>2435.61</v>
      </c>
      <c r="C2457" s="0" t="n">
        <v>307.52</v>
      </c>
      <c r="D2457" s="3" t="n">
        <f aca="false">B2457*100/B$2</f>
        <v>168.302744686144</v>
      </c>
      <c r="E2457" s="3" t="n">
        <f aca="false">C2457*100/C$2</f>
        <v>130.692732681683</v>
      </c>
      <c r="F2457" s="0" t="n">
        <v>165.816495757207</v>
      </c>
      <c r="G2457" s="0" t="n">
        <v>121.820059370047</v>
      </c>
      <c r="H2457" s="0" t="n">
        <v>125.877603059924</v>
      </c>
      <c r="I2457" s="0" t="n">
        <v>4.05754368987698</v>
      </c>
    </row>
    <row r="2458" customFormat="false" ht="13.8" hidden="false" customHeight="false" outlineLevel="0" collapsed="false">
      <c r="A2458" s="2" t="n">
        <v>42908</v>
      </c>
      <c r="B2458" s="0" t="n">
        <v>2434.5</v>
      </c>
      <c r="C2458" s="0" t="n">
        <v>309.47</v>
      </c>
      <c r="D2458" s="3" t="n">
        <f aca="false">B2458*100/B$2</f>
        <v>168.226042731972</v>
      </c>
      <c r="E2458" s="3" t="n">
        <f aca="false">C2458*100/C$2</f>
        <v>131.521461963451</v>
      </c>
      <c r="F2458" s="0" t="n">
        <v>165.457862295807</v>
      </c>
      <c r="G2458" s="0" t="n">
        <v>121.700261371938</v>
      </c>
      <c r="H2458" s="0" t="n">
        <v>127.390565235869</v>
      </c>
      <c r="I2458" s="0" t="n">
        <v>5.69030386393065</v>
      </c>
    </row>
    <row r="2459" customFormat="false" ht="13.8" hidden="false" customHeight="false" outlineLevel="0" collapsed="false">
      <c r="A2459" s="2" t="n">
        <v>42909</v>
      </c>
      <c r="B2459" s="0" t="n">
        <v>2438.3</v>
      </c>
      <c r="C2459" s="0" t="n">
        <v>310.26</v>
      </c>
      <c r="D2459" s="3" t="n">
        <f aca="false">B2459*100/B$2</f>
        <v>168.488625998507</v>
      </c>
      <c r="E2459" s="3" t="n">
        <f aca="false">C2459*100/C$2</f>
        <v>131.857203569911</v>
      </c>
      <c r="F2459" s="0" t="n">
        <v>165.213245252771</v>
      </c>
      <c r="G2459" s="0" t="n">
        <v>121.618549442593</v>
      </c>
      <c r="H2459" s="0" t="n">
        <v>126.753081172971</v>
      </c>
      <c r="I2459" s="0" t="n">
        <v>5.13453173037763</v>
      </c>
    </row>
    <row r="2460" customFormat="false" ht="13.8" hidden="false" customHeight="false" outlineLevel="0" collapsed="false">
      <c r="A2460" s="2" t="n">
        <v>42912</v>
      </c>
      <c r="B2460" s="0" t="n">
        <v>2439.07</v>
      </c>
      <c r="C2460" s="0" t="n">
        <v>311.89</v>
      </c>
      <c r="D2460" s="3" t="n">
        <f aca="false">B2460*100/B$2</f>
        <v>168.541833660411</v>
      </c>
      <c r="E2460" s="3" t="n">
        <f aca="false">C2460*100/C$2</f>
        <v>132.549936251594</v>
      </c>
      <c r="F2460" s="0" t="n">
        <v>166.002377069571</v>
      </c>
      <c r="G2460" s="0" t="n">
        <v>121.882151203363</v>
      </c>
      <c r="H2460" s="0" t="n">
        <v>127.016574585635</v>
      </c>
      <c r="I2460" s="0" t="n">
        <v>5.13442338227269</v>
      </c>
    </row>
    <row r="2461" customFormat="false" ht="13.8" hidden="false" customHeight="false" outlineLevel="0" collapsed="false">
      <c r="A2461" s="2" t="n">
        <v>42913</v>
      </c>
      <c r="B2461" s="0" t="n">
        <v>2419.38</v>
      </c>
      <c r="C2461" s="0" t="n">
        <v>312.12</v>
      </c>
      <c r="D2461" s="3" t="n">
        <f aca="false">B2461*100/B$2</f>
        <v>167.181237734597</v>
      </c>
      <c r="E2461" s="3" t="n">
        <f aca="false">C2461*100/C$2</f>
        <v>132.647683807905</v>
      </c>
      <c r="F2461" s="0" t="n">
        <v>165.888360651207</v>
      </c>
      <c r="G2461" s="0" t="n">
        <v>121.8440651346</v>
      </c>
      <c r="H2461" s="0" t="n">
        <v>127.356566085848</v>
      </c>
      <c r="I2461" s="0" t="n">
        <v>5.51250095124787</v>
      </c>
    </row>
    <row r="2462" customFormat="false" ht="13.8" hidden="false" customHeight="false" outlineLevel="0" collapsed="false">
      <c r="A2462" s="2" t="n">
        <v>42914</v>
      </c>
      <c r="B2462" s="0" t="n">
        <v>2440.69</v>
      </c>
      <c r="C2462" s="0" t="n">
        <v>310.84</v>
      </c>
      <c r="D2462" s="3" t="n">
        <f aca="false">B2462*100/B$2</f>
        <v>168.653777052987</v>
      </c>
      <c r="E2462" s="3" t="n">
        <f aca="false">C2462*100/C$2</f>
        <v>132.103697407565</v>
      </c>
      <c r="F2462" s="0" t="n">
        <v>162.872799137621</v>
      </c>
      <c r="G2462" s="0" t="n">
        <v>120.836746321992</v>
      </c>
      <c r="H2462" s="0" t="n">
        <v>127.21631959201</v>
      </c>
      <c r="I2462" s="0" t="n">
        <v>6.37957327001853</v>
      </c>
    </row>
    <row r="2463" customFormat="false" ht="13.8" hidden="false" customHeight="false" outlineLevel="0" collapsed="false">
      <c r="A2463" s="2" t="n">
        <v>42915</v>
      </c>
      <c r="B2463" s="0" t="n">
        <v>2419.7</v>
      </c>
      <c r="C2463" s="0" t="n">
        <v>312.56</v>
      </c>
      <c r="D2463" s="3" t="n">
        <f aca="false">B2463*100/B$2</f>
        <v>167.203350009674</v>
      </c>
      <c r="E2463" s="3" t="n">
        <f aca="false">C2463*100/C$2</f>
        <v>132.834679133022</v>
      </c>
      <c r="F2463" s="0" t="n">
        <v>163.473285607673</v>
      </c>
      <c r="G2463" s="0" t="n">
        <v>121.037332950808</v>
      </c>
      <c r="H2463" s="0" t="n">
        <v>126.846578835529</v>
      </c>
      <c r="I2463" s="0" t="n">
        <v>5.80924588472065</v>
      </c>
    </row>
    <row r="2464" customFormat="false" ht="13.8" hidden="false" customHeight="false" outlineLevel="0" collapsed="false">
      <c r="A2464" s="2" t="n">
        <v>42916</v>
      </c>
      <c r="B2464" s="0" t="n">
        <v>2423.41</v>
      </c>
      <c r="C2464" s="0" t="n">
        <v>311.76</v>
      </c>
      <c r="D2464" s="3" t="n">
        <f aca="false">B2464*100/B$2</f>
        <v>167.459714198845</v>
      </c>
      <c r="E2464" s="3" t="n">
        <f aca="false">C2464*100/C$2</f>
        <v>132.494687632809</v>
      </c>
      <c r="F2464" s="0" t="n">
        <v>164.579590370104</v>
      </c>
      <c r="G2464" s="0" t="n">
        <v>121.406883230136</v>
      </c>
      <c r="H2464" s="0" t="n">
        <v>126.680832979176</v>
      </c>
      <c r="I2464" s="0" t="n">
        <v>5.27394974903937</v>
      </c>
    </row>
    <row r="2465" customFormat="false" ht="13.8" hidden="false" customHeight="false" outlineLevel="0" collapsed="false">
      <c r="A2465" s="2" t="n">
        <v>42919</v>
      </c>
      <c r="B2465" s="0" t="n">
        <v>2429.01</v>
      </c>
      <c r="C2465" s="0" t="n">
        <v>312.39</v>
      </c>
      <c r="D2465" s="3" t="n">
        <f aca="false">B2465*100/B$2</f>
        <v>167.846679012687</v>
      </c>
      <c r="E2465" s="3" t="n">
        <f aca="false">C2465*100/C$2</f>
        <v>132.762430939227</v>
      </c>
      <c r="F2465" s="0" t="n">
        <v>165.428839934769</v>
      </c>
      <c r="G2465" s="0" t="n">
        <v>121.690566736253</v>
      </c>
      <c r="H2465" s="0" t="n">
        <v>127.764555886103</v>
      </c>
      <c r="I2465" s="0" t="n">
        <v>6.07398914984947</v>
      </c>
    </row>
    <row r="2466" customFormat="false" ht="13.8" hidden="false" customHeight="false" outlineLevel="0" collapsed="false">
      <c r="A2466" s="2" t="n">
        <v>42920</v>
      </c>
      <c r="B2466" s="0" t="n">
        <v>2429.01</v>
      </c>
      <c r="C2466" s="0" t="n">
        <v>310.46</v>
      </c>
      <c r="D2466" s="3" t="n">
        <f aca="false">B2466*100/B$2</f>
        <v>167.846679012687</v>
      </c>
      <c r="E2466" s="3" t="n">
        <f aca="false">C2466*100/C$2</f>
        <v>131.942201444964</v>
      </c>
      <c r="F2466" s="0" t="n">
        <v>165.732883717073</v>
      </c>
      <c r="G2466" s="0" t="n">
        <v>121.792129586287</v>
      </c>
      <c r="H2466" s="0" t="n">
        <v>128.074798130047</v>
      </c>
      <c r="I2466" s="0" t="n">
        <v>6.28266854375951</v>
      </c>
    </row>
    <row r="2467" customFormat="false" ht="13.8" hidden="false" customHeight="false" outlineLevel="0" collapsed="false">
      <c r="A2467" s="2" t="n">
        <v>42921</v>
      </c>
      <c r="B2467" s="0" t="n">
        <v>2432.54</v>
      </c>
      <c r="C2467" s="0" t="n">
        <v>311.77</v>
      </c>
      <c r="D2467" s="3" t="n">
        <f aca="false">B2467*100/B$2</f>
        <v>168.090605047127</v>
      </c>
      <c r="E2467" s="3" t="n">
        <f aca="false">C2467*100/C$2</f>
        <v>132.498937526562</v>
      </c>
      <c r="F2467" s="0" t="n">
        <v>166.145415848973</v>
      </c>
      <c r="G2467" s="0" t="n">
        <v>121.92993190781</v>
      </c>
      <c r="H2467" s="0" t="n">
        <v>128.22354441139</v>
      </c>
      <c r="I2467" s="0" t="n">
        <v>6.29361250357928</v>
      </c>
    </row>
    <row r="2468" customFormat="false" ht="13.8" hidden="false" customHeight="false" outlineLevel="0" collapsed="false">
      <c r="A2468" s="2" t="n">
        <v>42922</v>
      </c>
      <c r="B2468" s="0" t="n">
        <v>2409.75</v>
      </c>
      <c r="C2468" s="0" t="n">
        <v>311.88</v>
      </c>
      <c r="D2468" s="3" t="n">
        <f aca="false">B2468*100/B$2</f>
        <v>166.515796456508</v>
      </c>
      <c r="E2468" s="3" t="n">
        <f aca="false">C2468*100/C$2</f>
        <v>132.545686357841</v>
      </c>
      <c r="F2468" s="0" t="n">
        <v>166.883413029658</v>
      </c>
      <c r="G2468" s="0" t="n">
        <v>122.176452643802</v>
      </c>
      <c r="H2468" s="0" t="n">
        <v>129.715257118572</v>
      </c>
      <c r="I2468" s="0" t="n">
        <v>7.53880447477042</v>
      </c>
    </row>
    <row r="2469" customFormat="false" ht="13.8" hidden="false" customHeight="false" outlineLevel="0" collapsed="false">
      <c r="A2469" s="2" t="n">
        <v>42923</v>
      </c>
      <c r="B2469" s="0" t="n">
        <v>2425.18</v>
      </c>
      <c r="C2469" s="0" t="n">
        <v>310.66</v>
      </c>
      <c r="D2469" s="3" t="n">
        <f aca="false">B2469*100/B$2</f>
        <v>167.582022720363</v>
      </c>
      <c r="E2469" s="3" t="n">
        <f aca="false">C2469*100/C$2</f>
        <v>132.027199320017</v>
      </c>
      <c r="F2469" s="0" t="n">
        <v>166.935238674369</v>
      </c>
      <c r="G2469" s="0" t="n">
        <v>122.193764493239</v>
      </c>
      <c r="H2469" s="0" t="n">
        <v>130.454738631534</v>
      </c>
      <c r="I2469" s="0" t="n">
        <v>8.26097413829497</v>
      </c>
    </row>
    <row r="2470" customFormat="false" ht="13.8" hidden="false" customHeight="false" outlineLevel="0" collapsed="false">
      <c r="A2470" s="2" t="n">
        <v>42926</v>
      </c>
      <c r="B2470" s="0" t="n">
        <v>2427.43</v>
      </c>
      <c r="C2470" s="0" t="n">
        <v>311.46</v>
      </c>
      <c r="D2470" s="3" t="n">
        <f aca="false">B2470*100/B$2</f>
        <v>167.737499654496</v>
      </c>
      <c r="E2470" s="3" t="n">
        <f aca="false">C2470*100/C$2</f>
        <v>132.367190820229</v>
      </c>
      <c r="F2470" s="0" t="n">
        <v>166.935238674369</v>
      </c>
      <c r="G2470" s="0" t="n">
        <v>122.193764493239</v>
      </c>
      <c r="H2470" s="0" t="n">
        <v>130.267743306417</v>
      </c>
      <c r="I2470" s="0" t="n">
        <v>8.07397881317813</v>
      </c>
    </row>
    <row r="2471" customFormat="false" ht="13.8" hidden="false" customHeight="false" outlineLevel="0" collapsed="false">
      <c r="A2471" s="2" t="n">
        <v>42927</v>
      </c>
      <c r="B2471" s="0" t="n">
        <v>2425.53</v>
      </c>
      <c r="C2471" s="0" t="n">
        <v>313.59</v>
      </c>
      <c r="D2471" s="3" t="n">
        <f aca="false">B2471*100/B$2</f>
        <v>167.606208021228</v>
      </c>
      <c r="E2471" s="3" t="n">
        <f aca="false">C2471*100/C$2</f>
        <v>133.272418189545</v>
      </c>
      <c r="F2471" s="0" t="n">
        <v>166.73415517289</v>
      </c>
      <c r="G2471" s="0" t="n">
        <v>122.126594517421</v>
      </c>
      <c r="H2471" s="0" t="n">
        <v>129.447513812155</v>
      </c>
      <c r="I2471" s="0" t="n">
        <v>7.3209192947333</v>
      </c>
    </row>
    <row r="2472" customFormat="false" ht="13.8" hidden="false" customHeight="false" outlineLevel="0" collapsed="false">
      <c r="A2472" s="2" t="n">
        <v>42928</v>
      </c>
      <c r="B2472" s="0" t="n">
        <v>2443.25</v>
      </c>
      <c r="C2472" s="0" t="n">
        <v>313.58</v>
      </c>
      <c r="D2472" s="3" t="n">
        <f aca="false">B2472*100/B$2</f>
        <v>168.8306752536</v>
      </c>
      <c r="E2472" s="3" t="n">
        <f aca="false">C2472*100/C$2</f>
        <v>133.268168295793</v>
      </c>
      <c r="F2472" s="0" t="n">
        <v>166.657453218718</v>
      </c>
      <c r="G2472" s="0" t="n">
        <v>122.100972980254</v>
      </c>
      <c r="H2472" s="0" t="n">
        <v>129.481512962176</v>
      </c>
      <c r="I2472" s="0" t="n">
        <v>7.38053998192218</v>
      </c>
    </row>
    <row r="2473" customFormat="false" ht="13.8" hidden="false" customHeight="false" outlineLevel="0" collapsed="false">
      <c r="A2473" s="2" t="n">
        <v>42929</v>
      </c>
      <c r="B2473" s="0" t="n">
        <v>2447.83</v>
      </c>
      <c r="C2473" s="0" t="n">
        <v>316.35</v>
      </c>
      <c r="D2473" s="3" t="n">
        <f aca="false">B2473*100/B$2</f>
        <v>169.147157190635</v>
      </c>
      <c r="E2473" s="3" t="n">
        <f aca="false">C2473*100/C$2</f>
        <v>134.445388865278</v>
      </c>
      <c r="F2473" s="0" t="n">
        <v>167.919234915282</v>
      </c>
      <c r="G2473" s="0" t="n">
        <v>122.522458807894</v>
      </c>
      <c r="H2473" s="0" t="n">
        <v>129.209519762006</v>
      </c>
      <c r="I2473" s="0" t="n">
        <v>6.68706095411176</v>
      </c>
    </row>
    <row r="2474" customFormat="false" ht="13.8" hidden="false" customHeight="false" outlineLevel="0" collapsed="false">
      <c r="A2474" s="2" t="n">
        <v>42930</v>
      </c>
      <c r="B2474" s="0" t="n">
        <v>2459.27</v>
      </c>
      <c r="C2474" s="0" t="n">
        <v>317.35</v>
      </c>
      <c r="D2474" s="3" t="n">
        <f aca="false">B2474*100/B$2</f>
        <v>169.937671024628</v>
      </c>
      <c r="E2474" s="3" t="n">
        <f aca="false">C2474*100/C$2</f>
        <v>134.870378240544</v>
      </c>
      <c r="F2474" s="0" t="n">
        <v>168.541833660411</v>
      </c>
      <c r="G2474" s="0" t="n">
        <v>122.730431825804</v>
      </c>
      <c r="H2474" s="0" t="n">
        <v>130.824479388015</v>
      </c>
      <c r="I2474" s="0" t="n">
        <v>8.09404756221092</v>
      </c>
    </row>
    <row r="2475" customFormat="false" ht="13.8" hidden="false" customHeight="false" outlineLevel="0" collapsed="false">
      <c r="A2475" s="2" t="n">
        <v>42933</v>
      </c>
      <c r="B2475" s="0" t="n">
        <v>2459.14</v>
      </c>
      <c r="C2475" s="0" t="n">
        <v>318.52</v>
      </c>
      <c r="D2475" s="3" t="n">
        <f aca="false">B2475*100/B$2</f>
        <v>169.928687912878</v>
      </c>
      <c r="E2475" s="3" t="n">
        <f aca="false">C2475*100/C$2</f>
        <v>135.367615809605</v>
      </c>
      <c r="F2475" s="0" t="n">
        <v>168.336604107355</v>
      </c>
      <c r="G2475" s="0" t="n">
        <v>122.661876902032</v>
      </c>
      <c r="H2475" s="0" t="n">
        <v>130.611984700382</v>
      </c>
      <c r="I2475" s="0" t="n">
        <v>7.95010779835096</v>
      </c>
    </row>
    <row r="2476" customFormat="false" ht="13.8" hidden="false" customHeight="false" outlineLevel="0" collapsed="false">
      <c r="A2476" s="2" t="n">
        <v>42934</v>
      </c>
      <c r="B2476" s="0" t="n">
        <v>2460.61</v>
      </c>
      <c r="C2476" s="0" t="n">
        <v>318.65</v>
      </c>
      <c r="D2476" s="3" t="n">
        <f aca="false">B2476*100/B$2</f>
        <v>170.030266176511</v>
      </c>
      <c r="E2476" s="3" t="n">
        <f aca="false">C2476*100/C$2</f>
        <v>135.422864428389</v>
      </c>
      <c r="F2476" s="0" t="n">
        <v>167.868791287764</v>
      </c>
      <c r="G2476" s="0" t="n">
        <v>122.505608607775</v>
      </c>
      <c r="H2476" s="0" t="n">
        <v>130.611984700382</v>
      </c>
      <c r="I2476" s="0" t="n">
        <v>8.10637609260758</v>
      </c>
    </row>
    <row r="2477" customFormat="false" ht="13.8" hidden="false" customHeight="false" outlineLevel="0" collapsed="false">
      <c r="A2477" s="2" t="n">
        <v>42935</v>
      </c>
      <c r="B2477" s="0" t="n">
        <v>2473.83</v>
      </c>
      <c r="C2477" s="0" t="n">
        <v>318.91</v>
      </c>
      <c r="D2477" s="3" t="n">
        <f aca="false">B2477*100/B$2</f>
        <v>170.943779540617</v>
      </c>
      <c r="E2477" s="3" t="n">
        <f aca="false">C2477*100/C$2</f>
        <v>135.533361665958</v>
      </c>
      <c r="F2477" s="0" t="n">
        <v>168.132065562896</v>
      </c>
      <c r="G2477" s="0" t="n">
        <v>122.593552802918</v>
      </c>
      <c r="H2477" s="0" t="n">
        <v>129.910752231194</v>
      </c>
      <c r="I2477" s="0" t="n">
        <v>7.31719942827635</v>
      </c>
    </row>
    <row r="2478" customFormat="false" ht="13.8" hidden="false" customHeight="false" outlineLevel="0" collapsed="false">
      <c r="A2478" s="2" t="n">
        <v>42936</v>
      </c>
      <c r="B2478" s="0" t="n">
        <v>2473.45</v>
      </c>
      <c r="C2478" s="0" t="n">
        <v>320.61</v>
      </c>
      <c r="D2478" s="3" t="n">
        <f aca="false">B2478*100/B$2</f>
        <v>170.917521213964</v>
      </c>
      <c r="E2478" s="3" t="n">
        <f aca="false">C2478*100/C$2</f>
        <v>136.25584360391</v>
      </c>
      <c r="F2478" s="0" t="n">
        <v>168.176981121645</v>
      </c>
      <c r="G2478" s="0" t="n">
        <v>122.608556405764</v>
      </c>
      <c r="H2478" s="0" t="n">
        <v>130.152996175096</v>
      </c>
      <c r="I2478" s="0" t="n">
        <v>7.54443976933183</v>
      </c>
    </row>
    <row r="2479" customFormat="false" ht="13.8" hidden="false" customHeight="false" outlineLevel="0" collapsed="false">
      <c r="A2479" s="2" t="n">
        <v>42937</v>
      </c>
      <c r="B2479" s="0" t="n">
        <v>2472.54</v>
      </c>
      <c r="C2479" s="0" t="n">
        <v>321.79</v>
      </c>
      <c r="D2479" s="3" t="n">
        <f aca="false">B2479*100/B$2</f>
        <v>170.854639431715</v>
      </c>
      <c r="E2479" s="3" t="n">
        <f aca="false">C2479*100/C$2</f>
        <v>136.757331066723</v>
      </c>
      <c r="F2479" s="0" t="n">
        <v>168.037397385223</v>
      </c>
      <c r="G2479" s="0" t="n">
        <v>122.561929824612</v>
      </c>
      <c r="H2479" s="0" t="n">
        <v>131.483212919677</v>
      </c>
      <c r="I2479" s="0" t="n">
        <v>8.92128309506515</v>
      </c>
    </row>
    <row r="2480" customFormat="false" ht="13.8" hidden="false" customHeight="false" outlineLevel="0" collapsed="false">
      <c r="A2480" s="2" t="n">
        <v>42940</v>
      </c>
      <c r="B2480" s="0" t="n">
        <v>2469.91</v>
      </c>
      <c r="C2480" s="0" t="n">
        <v>322.01</v>
      </c>
      <c r="D2480" s="3" t="n">
        <f aca="false">B2480*100/B$2</f>
        <v>170.672904170928</v>
      </c>
      <c r="E2480" s="3" t="n">
        <f aca="false">C2480*100/C$2</f>
        <v>136.850828729282</v>
      </c>
      <c r="F2480" s="0" t="n">
        <v>167.872937339341</v>
      </c>
      <c r="G2480" s="0" t="n">
        <v>122.50699355573</v>
      </c>
      <c r="H2480" s="0" t="n">
        <v>130.148746281343</v>
      </c>
      <c r="I2480" s="0" t="n">
        <v>7.64175272561303</v>
      </c>
    </row>
    <row r="2481" customFormat="false" ht="13.8" hidden="false" customHeight="false" outlineLevel="0" collapsed="false">
      <c r="A2481" s="2" t="n">
        <v>42941</v>
      </c>
      <c r="B2481" s="0" t="n">
        <v>2477.13</v>
      </c>
      <c r="C2481" s="0" t="n">
        <v>320.15</v>
      </c>
      <c r="D2481" s="3" t="n">
        <f aca="false">B2481*100/B$2</f>
        <v>171.171812377346</v>
      </c>
      <c r="E2481" s="3" t="n">
        <f aca="false">C2481*100/C$2</f>
        <v>136.060348491288</v>
      </c>
      <c r="F2481" s="0" t="n">
        <v>168.630282760718</v>
      </c>
      <c r="G2481" s="0" t="n">
        <v>122.759977382178</v>
      </c>
      <c r="H2481" s="0" t="n">
        <v>130.905227369316</v>
      </c>
      <c r="I2481" s="0" t="n">
        <v>8.1452499871379</v>
      </c>
    </row>
    <row r="2482" customFormat="false" ht="13.8" hidden="false" customHeight="false" outlineLevel="0" collapsed="false">
      <c r="A2482" s="2" t="n">
        <v>42942</v>
      </c>
      <c r="B2482" s="0" t="n">
        <v>2477.83</v>
      </c>
      <c r="C2482" s="0" t="n">
        <v>319.46</v>
      </c>
      <c r="D2482" s="3" t="n">
        <f aca="false">B2482*100/B$2</f>
        <v>171.220182979076</v>
      </c>
      <c r="E2482" s="3" t="n">
        <f aca="false">C2482*100/C$2</f>
        <v>135.767105822354</v>
      </c>
      <c r="F2482" s="0" t="n">
        <v>168.462367671854</v>
      </c>
      <c r="G2482" s="0" t="n">
        <v>122.70388699</v>
      </c>
      <c r="H2482" s="0" t="n">
        <v>130.875478113047</v>
      </c>
      <c r="I2482" s="0" t="n">
        <v>8.17159112304709</v>
      </c>
    </row>
    <row r="2483" customFormat="false" ht="13.8" hidden="false" customHeight="false" outlineLevel="0" collapsed="false">
      <c r="A2483" s="2" t="n">
        <v>42943</v>
      </c>
      <c r="B2483" s="0" t="n">
        <v>2475.42</v>
      </c>
      <c r="C2483" s="0" t="n">
        <v>320.51</v>
      </c>
      <c r="D2483" s="3" t="n">
        <f aca="false">B2483*100/B$2</f>
        <v>171.053649907405</v>
      </c>
      <c r="E2483" s="3" t="n">
        <f aca="false">C2483*100/C$2</f>
        <v>136.213344666383</v>
      </c>
      <c r="F2483" s="0" t="n">
        <v>168.085076978358</v>
      </c>
      <c r="G2483" s="0" t="n">
        <v>122.577856726094</v>
      </c>
      <c r="H2483" s="0" t="n">
        <v>130.339991500212</v>
      </c>
      <c r="I2483" s="0" t="n">
        <v>7.76213477411804</v>
      </c>
    </row>
    <row r="2484" customFormat="false" ht="13.8" hidden="false" customHeight="false" outlineLevel="0" collapsed="false">
      <c r="A2484" s="2" t="n">
        <v>42944</v>
      </c>
      <c r="B2484" s="0" t="n">
        <v>2472.1</v>
      </c>
      <c r="C2484" s="0" t="n">
        <v>314.13</v>
      </c>
      <c r="D2484" s="3" t="n">
        <f aca="false">B2484*100/B$2</f>
        <v>170.824235053484</v>
      </c>
      <c r="E2484" s="3" t="n">
        <f aca="false">C2484*100/C$2</f>
        <v>133.501912452189</v>
      </c>
      <c r="F2484" s="0" t="n">
        <v>168.132756571492</v>
      </c>
      <c r="G2484" s="0" t="n">
        <v>122.593783627577</v>
      </c>
      <c r="H2484" s="0" t="n">
        <v>130.382490437739</v>
      </c>
      <c r="I2484" s="0" t="n">
        <v>7.78870681016204</v>
      </c>
    </row>
    <row r="2485" customFormat="false" ht="13.8" hidden="false" customHeight="false" outlineLevel="0" collapsed="false">
      <c r="A2485" s="2" t="n">
        <v>42947</v>
      </c>
      <c r="B2485" s="0" t="n">
        <v>2470.3</v>
      </c>
      <c r="C2485" s="0" t="n">
        <v>314.6</v>
      </c>
      <c r="D2485" s="3" t="n">
        <f aca="false">B2485*100/B$2</f>
        <v>170.699853506178</v>
      </c>
      <c r="E2485" s="3" t="n">
        <f aca="false">C2485*100/C$2</f>
        <v>133.701657458564</v>
      </c>
      <c r="F2485" s="0" t="n">
        <v>169.536195030266</v>
      </c>
      <c r="G2485" s="0" t="n">
        <v>123.062588510347</v>
      </c>
      <c r="H2485" s="0" t="n">
        <v>131.155971100722</v>
      </c>
      <c r="I2485" s="0" t="n">
        <v>8.09338259037563</v>
      </c>
    </row>
    <row r="2486" customFormat="false" ht="13.8" hidden="false" customHeight="false" outlineLevel="0" collapsed="false">
      <c r="A2486" s="2" t="n">
        <v>42948</v>
      </c>
      <c r="B2486" s="0" t="n">
        <v>2476.35</v>
      </c>
      <c r="C2486" s="0" t="n">
        <v>317.04</v>
      </c>
      <c r="D2486" s="3" t="n">
        <f aca="false">B2486*100/B$2</f>
        <v>171.117913706847</v>
      </c>
      <c r="E2486" s="3" t="n">
        <f aca="false">C2486*100/C$2</f>
        <v>134.738631534212</v>
      </c>
      <c r="F2486" s="0" t="n">
        <v>168.400867906797</v>
      </c>
      <c r="G2486" s="0" t="n">
        <v>122.683343595334</v>
      </c>
      <c r="H2486" s="0" t="n">
        <v>131.453463663408</v>
      </c>
      <c r="I2486" s="0" t="n">
        <v>8.77012006807425</v>
      </c>
    </row>
    <row r="2487" customFormat="false" ht="13.8" hidden="false" customHeight="false" outlineLevel="0" collapsed="false">
      <c r="A2487" s="2" t="n">
        <v>42949</v>
      </c>
      <c r="B2487" s="0" t="n">
        <v>2477.57</v>
      </c>
      <c r="C2487" s="0" t="n">
        <v>317.69</v>
      </c>
      <c r="D2487" s="3" t="n">
        <f aca="false">B2487*100/B$2</f>
        <v>171.202216755576</v>
      </c>
      <c r="E2487" s="3" t="n">
        <f aca="false">C2487*100/C$2</f>
        <v>135.014874628134</v>
      </c>
      <c r="F2487" s="0" t="n">
        <v>168.302744686144</v>
      </c>
      <c r="G2487" s="0" t="n">
        <v>122.650566493732</v>
      </c>
      <c r="H2487" s="0" t="n">
        <v>130.692732681683</v>
      </c>
      <c r="I2487" s="0" t="n">
        <v>8.04216618795063</v>
      </c>
    </row>
    <row r="2488" customFormat="false" ht="13.8" hidden="false" customHeight="false" outlineLevel="0" collapsed="false">
      <c r="A2488" s="2" t="n">
        <v>42950</v>
      </c>
      <c r="B2488" s="0" t="n">
        <v>2472.16</v>
      </c>
      <c r="C2488" s="0" t="n">
        <v>312.29</v>
      </c>
      <c r="D2488" s="3" t="n">
        <f aca="false">B2488*100/B$2</f>
        <v>170.828381105061</v>
      </c>
      <c r="E2488" s="3" t="n">
        <f aca="false">C2488*100/C$2</f>
        <v>132.7199320017</v>
      </c>
      <c r="F2488" s="0" t="n">
        <v>168.226042731972</v>
      </c>
      <c r="G2488" s="0" t="n">
        <v>122.624944956565</v>
      </c>
      <c r="H2488" s="0" t="n">
        <v>131.521461963451</v>
      </c>
      <c r="I2488" s="0" t="n">
        <v>8.89651700688623</v>
      </c>
    </row>
    <row r="2489" customFormat="false" ht="13.8" hidden="false" customHeight="false" outlineLevel="0" collapsed="false">
      <c r="A2489" s="2" t="n">
        <v>42951</v>
      </c>
      <c r="B2489" s="0" t="n">
        <v>2476.83</v>
      </c>
      <c r="C2489" s="0" t="n">
        <v>313.46</v>
      </c>
      <c r="D2489" s="3" t="n">
        <f aca="false">B2489*100/B$2</f>
        <v>171.151082119462</v>
      </c>
      <c r="E2489" s="3" t="n">
        <f aca="false">C2489*100/C$2</f>
        <v>133.217169570761</v>
      </c>
      <c r="F2489" s="0" t="n">
        <v>168.488625998507</v>
      </c>
      <c r="G2489" s="0" t="n">
        <v>122.712658327048</v>
      </c>
      <c r="H2489" s="0" t="n">
        <v>131.857203569911</v>
      </c>
      <c r="I2489" s="0" t="n">
        <v>9.14454524286228</v>
      </c>
    </row>
    <row r="2490" customFormat="false" ht="13.8" hidden="false" customHeight="false" outlineLevel="0" collapsed="false">
      <c r="A2490" s="2" t="n">
        <v>42954</v>
      </c>
      <c r="B2490" s="0" t="n">
        <v>2480.91</v>
      </c>
      <c r="C2490" s="0" t="n">
        <v>313.96</v>
      </c>
      <c r="D2490" s="3" t="n">
        <f aca="false">B2490*100/B$2</f>
        <v>171.43301362669</v>
      </c>
      <c r="E2490" s="3" t="n">
        <f aca="false">C2490*100/C$2</f>
        <v>133.429664258394</v>
      </c>
      <c r="F2490" s="0" t="n">
        <v>168.541833660411</v>
      </c>
      <c r="G2490" s="0" t="n">
        <v>122.730431825804</v>
      </c>
      <c r="H2490" s="0" t="n">
        <v>132.549936251594</v>
      </c>
      <c r="I2490" s="0" t="n">
        <v>9.8195044257893</v>
      </c>
    </row>
    <row r="2491" customFormat="false" ht="13.8" hidden="false" customHeight="false" outlineLevel="0" collapsed="false">
      <c r="A2491" s="2" t="n">
        <v>42955</v>
      </c>
      <c r="B2491" s="0" t="n">
        <v>2474.92</v>
      </c>
      <c r="C2491" s="0" t="n">
        <v>313.4</v>
      </c>
      <c r="D2491" s="3" t="n">
        <f aca="false">B2491*100/B$2</f>
        <v>171.019099477597</v>
      </c>
      <c r="E2491" s="3" t="n">
        <f aca="false">C2491*100/C$2</f>
        <v>133.191670208245</v>
      </c>
      <c r="F2491" s="0" t="n">
        <v>167.181237734597</v>
      </c>
      <c r="G2491" s="0" t="n">
        <v>122.275938071903</v>
      </c>
      <c r="H2491" s="0" t="n">
        <v>132.647683807905</v>
      </c>
      <c r="I2491" s="0" t="n">
        <v>10.3717457360019</v>
      </c>
    </row>
    <row r="2492" customFormat="false" ht="13.8" hidden="false" customHeight="false" outlineLevel="0" collapsed="false">
      <c r="A2492" s="2" t="n">
        <v>42956</v>
      </c>
      <c r="B2492" s="0" t="n">
        <v>2474.02</v>
      </c>
      <c r="C2492" s="0" t="n">
        <v>309.52</v>
      </c>
      <c r="D2492" s="3" t="n">
        <f aca="false">B2492*100/B$2</f>
        <v>170.956908703944</v>
      </c>
      <c r="E2492" s="3" t="n">
        <f aca="false">C2492*100/C$2</f>
        <v>131.542711432214</v>
      </c>
      <c r="F2492" s="0" t="n">
        <v>168.653777052987</v>
      </c>
      <c r="G2492" s="0" t="n">
        <v>122.76782542059</v>
      </c>
      <c r="H2492" s="0" t="n">
        <v>132.103697407565</v>
      </c>
      <c r="I2492" s="0" t="n">
        <v>9.33587198697524</v>
      </c>
    </row>
    <row r="2493" customFormat="false" ht="13.8" hidden="false" customHeight="false" outlineLevel="0" collapsed="false">
      <c r="A2493" s="2" t="n">
        <v>42957</v>
      </c>
      <c r="B2493" s="0" t="n">
        <v>2438.21</v>
      </c>
      <c r="C2493" s="0" t="n">
        <v>308.37</v>
      </c>
      <c r="D2493" s="3" t="n">
        <f aca="false">B2493*100/B$2</f>
        <v>168.482406921142</v>
      </c>
      <c r="E2493" s="3" t="n">
        <f aca="false">C2493*100/C$2</f>
        <v>131.053973650659</v>
      </c>
      <c r="F2493" s="0" t="n">
        <v>167.203350009674</v>
      </c>
      <c r="G2493" s="0" t="n">
        <v>122.283324460996</v>
      </c>
      <c r="H2493" s="0" t="n">
        <v>132.834679133022</v>
      </c>
      <c r="I2493" s="0" t="n">
        <v>10.5513546720254</v>
      </c>
    </row>
    <row r="2494" customFormat="false" ht="13.8" hidden="false" customHeight="false" outlineLevel="0" collapsed="false">
      <c r="A2494" s="2" t="n">
        <v>42958</v>
      </c>
      <c r="B2494" s="0" t="n">
        <v>2441.32</v>
      </c>
      <c r="C2494" s="0" t="n">
        <v>302.72</v>
      </c>
      <c r="D2494" s="3" t="n">
        <f aca="false">B2494*100/B$2</f>
        <v>168.697310594544</v>
      </c>
      <c r="E2494" s="3" t="n">
        <f aca="false">C2494*100/C$2</f>
        <v>128.652783680408</v>
      </c>
      <c r="F2494" s="0" t="n">
        <v>167.459714198845</v>
      </c>
      <c r="G2494" s="0" t="n">
        <v>122.368960409548</v>
      </c>
      <c r="H2494" s="0" t="n">
        <v>132.494687632809</v>
      </c>
      <c r="I2494" s="0" t="n">
        <v>10.1257272232616</v>
      </c>
    </row>
    <row r="2495" customFormat="false" ht="13.8" hidden="false" customHeight="false" outlineLevel="0" collapsed="false">
      <c r="A2495" s="2" t="n">
        <v>42961</v>
      </c>
      <c r="B2495" s="0" t="n">
        <v>2465.84</v>
      </c>
      <c r="C2495" s="0" t="n">
        <v>304.93</v>
      </c>
      <c r="D2495" s="3" t="n">
        <f aca="false">B2495*100/B$2</f>
        <v>170.391663672296</v>
      </c>
      <c r="E2495" s="3" t="n">
        <f aca="false">C2495*100/C$2</f>
        <v>129.592010199745</v>
      </c>
      <c r="F2495" s="0" t="n">
        <v>167.846679012687</v>
      </c>
      <c r="G2495" s="0" t="n">
        <v>122.498222218682</v>
      </c>
      <c r="H2495" s="0" t="n">
        <v>132.762430939227</v>
      </c>
      <c r="I2495" s="0" t="n">
        <v>10.2642087205449</v>
      </c>
    </row>
    <row r="2496" customFormat="false" ht="13.8" hidden="false" customHeight="false" outlineLevel="0" collapsed="false">
      <c r="A2496" s="2" t="n">
        <v>42962</v>
      </c>
      <c r="B2496" s="0" t="n">
        <v>2464.61</v>
      </c>
      <c r="C2496" s="0" t="n">
        <v>304.93</v>
      </c>
      <c r="D2496" s="3" t="n">
        <f aca="false">B2496*100/B$2</f>
        <v>170.30666961497</v>
      </c>
      <c r="E2496" s="3" t="n">
        <f aca="false">C2496*100/C$2</f>
        <v>129.592010199745</v>
      </c>
      <c r="F2496" s="0" t="n">
        <v>167.846679012687</v>
      </c>
      <c r="G2496" s="0" t="n">
        <v>122.498222218682</v>
      </c>
      <c r="H2496" s="0" t="n">
        <v>131.942201444964</v>
      </c>
      <c r="I2496" s="0" t="n">
        <v>9.44397922628228</v>
      </c>
    </row>
    <row r="2497" customFormat="false" ht="13.8" hidden="false" customHeight="false" outlineLevel="0" collapsed="false">
      <c r="A2497" s="2" t="n">
        <v>42963</v>
      </c>
      <c r="B2497" s="0" t="n">
        <v>2468.11</v>
      </c>
      <c r="C2497" s="0" t="n">
        <v>307.16</v>
      </c>
      <c r="D2497" s="3" t="n">
        <f aca="false">B2497*100/B$2</f>
        <v>170.548522623621</v>
      </c>
      <c r="E2497" s="3" t="n">
        <f aca="false">C2497*100/C$2</f>
        <v>130.539736506587</v>
      </c>
      <c r="F2497" s="0" t="n">
        <v>168.090605047127</v>
      </c>
      <c r="G2497" s="0" t="n">
        <v>122.579703323368</v>
      </c>
      <c r="H2497" s="0" t="n">
        <v>132.498937526562</v>
      </c>
      <c r="I2497" s="0" t="n">
        <v>9.91923420319404</v>
      </c>
    </row>
    <row r="2498" customFormat="false" ht="13.8" hidden="false" customHeight="false" outlineLevel="0" collapsed="false">
      <c r="A2498" s="2" t="n">
        <v>42964</v>
      </c>
      <c r="B2498" s="0" t="n">
        <v>2430.01</v>
      </c>
      <c r="C2498" s="0" t="n">
        <v>309.02</v>
      </c>
      <c r="D2498" s="3" t="n">
        <f aca="false">B2498*100/B$2</f>
        <v>167.915779872302</v>
      </c>
      <c r="E2498" s="3" t="n">
        <f aca="false">C2498*100/C$2</f>
        <v>131.330216744581</v>
      </c>
      <c r="F2498" s="0" t="n">
        <v>166.515796456508</v>
      </c>
      <c r="G2498" s="0" t="n">
        <v>122.053653925124</v>
      </c>
      <c r="H2498" s="0" t="n">
        <v>132.545686357841</v>
      </c>
      <c r="I2498" s="0" t="n">
        <v>10.4920324327167</v>
      </c>
    </row>
    <row r="2499" customFormat="false" ht="13.8" hidden="false" customHeight="false" outlineLevel="0" collapsed="false">
      <c r="A2499" s="2" t="n">
        <v>42965</v>
      </c>
      <c r="B2499" s="0" t="n">
        <v>2425.55</v>
      </c>
      <c r="C2499" s="0" t="n">
        <v>308.39</v>
      </c>
      <c r="D2499" s="3" t="n">
        <f aca="false">B2499*100/B$2</f>
        <v>167.60759003842</v>
      </c>
      <c r="E2499" s="3" t="n">
        <f aca="false">C2499*100/C$2</f>
        <v>131.062473438164</v>
      </c>
      <c r="F2499" s="0" t="n">
        <v>167.582022720363</v>
      </c>
      <c r="G2499" s="0" t="n">
        <v>122.40981637422</v>
      </c>
      <c r="H2499" s="0" t="n">
        <v>132.027199320017</v>
      </c>
      <c r="I2499" s="0" t="n">
        <v>9.61738294579675</v>
      </c>
    </row>
    <row r="2500" customFormat="false" ht="13.8" hidden="false" customHeight="false" outlineLevel="0" collapsed="false">
      <c r="A2500" s="2" t="n">
        <v>42968</v>
      </c>
      <c r="B2500" s="0" t="n">
        <v>2428.37</v>
      </c>
      <c r="C2500" s="0" t="n">
        <v>308.14</v>
      </c>
      <c r="D2500" s="3" t="n">
        <f aca="false">B2500*100/B$2</f>
        <v>167.802454462534</v>
      </c>
      <c r="E2500" s="3" t="n">
        <f aca="false">C2500*100/C$2</f>
        <v>130.956226094348</v>
      </c>
      <c r="F2500" s="0" t="n">
        <v>167.737499654496</v>
      </c>
      <c r="G2500" s="0" t="n">
        <v>122.461751922533</v>
      </c>
      <c r="H2500" s="0" t="n">
        <v>132.367190820229</v>
      </c>
      <c r="I2500" s="0" t="n">
        <v>9.90543889769643</v>
      </c>
    </row>
    <row r="2501" customFormat="false" ht="13.8" hidden="false" customHeight="false" outlineLevel="0" collapsed="false">
      <c r="A2501" s="2" t="n">
        <v>42969</v>
      </c>
      <c r="B2501" s="0" t="n">
        <v>2452.51</v>
      </c>
      <c r="C2501" s="0" t="n">
        <v>309.34</v>
      </c>
      <c r="D2501" s="3" t="n">
        <f aca="false">B2501*100/B$2</f>
        <v>169.470549213632</v>
      </c>
      <c r="E2501" s="3" t="n">
        <f aca="false">C2501*100/C$2</f>
        <v>131.466213344666</v>
      </c>
      <c r="F2501" s="0" t="n">
        <v>167.606208021228</v>
      </c>
      <c r="G2501" s="0" t="n">
        <v>122.417895237291</v>
      </c>
      <c r="H2501" s="0" t="n">
        <v>133.272418189545</v>
      </c>
      <c r="I2501" s="0" t="n">
        <v>10.8545229522541</v>
      </c>
    </row>
    <row r="2502" customFormat="false" ht="13.8" hidden="false" customHeight="false" outlineLevel="0" collapsed="false">
      <c r="A2502" s="2" t="n">
        <v>42970</v>
      </c>
      <c r="B2502" s="0" t="n">
        <v>2444.04</v>
      </c>
      <c r="C2502" s="0" t="n">
        <v>309.71</v>
      </c>
      <c r="D2502" s="3" t="n">
        <f aca="false">B2502*100/B$2</f>
        <v>168.885264932696</v>
      </c>
      <c r="E2502" s="3" t="n">
        <f aca="false">C2502*100/C$2</f>
        <v>131.623459413515</v>
      </c>
      <c r="F2502" s="0" t="n">
        <v>168.8306752536</v>
      </c>
      <c r="G2502" s="0" t="n">
        <v>122.826916533337</v>
      </c>
      <c r="H2502" s="0" t="n">
        <v>133.268168295793</v>
      </c>
      <c r="I2502" s="0" t="n">
        <v>10.4412517624561</v>
      </c>
    </row>
    <row r="2503" customFormat="false" ht="13.8" hidden="false" customHeight="false" outlineLevel="0" collapsed="false">
      <c r="A2503" s="2" t="n">
        <v>42971</v>
      </c>
      <c r="B2503" s="0" t="n">
        <v>2438.97</v>
      </c>
      <c r="C2503" s="0" t="n">
        <v>310.73</v>
      </c>
      <c r="D2503" s="3" t="n">
        <f aca="false">B2503*100/B$2</f>
        <v>168.534923574449</v>
      </c>
      <c r="E2503" s="3" t="n">
        <f aca="false">C2503*100/C$2</f>
        <v>132.056948576286</v>
      </c>
      <c r="F2503" s="0" t="n">
        <v>169.147157190635</v>
      </c>
      <c r="G2503" s="0" t="n">
        <v>122.932634227235</v>
      </c>
      <c r="H2503" s="0" t="n">
        <v>134.445388865278</v>
      </c>
      <c r="I2503" s="0" t="n">
        <v>11.512754638043</v>
      </c>
    </row>
    <row r="2504" customFormat="false" ht="13.8" hidden="false" customHeight="false" outlineLevel="0" collapsed="false">
      <c r="A2504" s="2" t="n">
        <v>42972</v>
      </c>
      <c r="B2504" s="0" t="n">
        <v>2443.05</v>
      </c>
      <c r="C2504" s="0" t="n">
        <v>311.21</v>
      </c>
      <c r="D2504" s="3" t="n">
        <f aca="false">B2504*100/B$2</f>
        <v>168.816855081677</v>
      </c>
      <c r="E2504" s="3" t="n">
        <f aca="false">C2504*100/C$2</f>
        <v>132.260943476413</v>
      </c>
      <c r="F2504" s="0" t="n">
        <v>169.937671024628</v>
      </c>
      <c r="G2504" s="0" t="n">
        <v>123.196697637323</v>
      </c>
      <c r="H2504" s="0" t="n">
        <v>134.870378240544</v>
      </c>
      <c r="I2504" s="0" t="n">
        <v>11.6736806032206</v>
      </c>
    </row>
    <row r="2505" customFormat="false" ht="13.8" hidden="false" customHeight="false" outlineLevel="0" collapsed="false">
      <c r="A2505" s="2" t="n">
        <v>42975</v>
      </c>
      <c r="B2505" s="0" t="n">
        <v>2444.24</v>
      </c>
      <c r="C2505" s="0" t="n">
        <v>309.53</v>
      </c>
      <c r="D2505" s="3" t="n">
        <f aca="false">B2505*100/B$2</f>
        <v>168.899085104619</v>
      </c>
      <c r="E2505" s="3" t="n">
        <f aca="false">C2505*100/C$2</f>
        <v>131.546961325967</v>
      </c>
      <c r="F2505" s="0" t="n">
        <v>169.928687912878</v>
      </c>
      <c r="G2505" s="0" t="n">
        <v>123.193696916754</v>
      </c>
      <c r="H2505" s="0" t="n">
        <v>135.367615809605</v>
      </c>
      <c r="I2505" s="0" t="n">
        <v>12.1739188928506</v>
      </c>
    </row>
    <row r="2506" customFormat="false" ht="13.8" hidden="false" customHeight="false" outlineLevel="0" collapsed="false">
      <c r="A2506" s="2" t="n">
        <v>42976</v>
      </c>
      <c r="B2506" s="0" t="n">
        <v>2446.3</v>
      </c>
      <c r="C2506" s="0" t="n">
        <v>308.64</v>
      </c>
      <c r="D2506" s="3" t="n">
        <f aca="false">B2506*100/B$2</f>
        <v>169.041432875425</v>
      </c>
      <c r="E2506" s="3" t="n">
        <f aca="false">C2506*100/C$2</f>
        <v>131.16872078198</v>
      </c>
      <c r="F2506" s="0" t="n">
        <v>170.030266176511</v>
      </c>
      <c r="G2506" s="0" t="n">
        <v>123.227628141652</v>
      </c>
      <c r="H2506" s="0" t="n">
        <v>135.422864428389</v>
      </c>
      <c r="I2506" s="0" t="n">
        <v>12.1952362867374</v>
      </c>
    </row>
    <row r="2507" customFormat="false" ht="13.8" hidden="false" customHeight="false" outlineLevel="0" collapsed="false">
      <c r="A2507" s="2" t="n">
        <v>42977</v>
      </c>
      <c r="B2507" s="0" t="n">
        <v>2457.59</v>
      </c>
      <c r="C2507" s="0" t="n">
        <v>309.65</v>
      </c>
      <c r="D2507" s="3" t="n">
        <f aca="false">B2507*100/B$2</f>
        <v>169.821581580475</v>
      </c>
      <c r="E2507" s="3" t="n">
        <f aca="false">C2507*100/C$2</f>
        <v>131.597960050999</v>
      </c>
      <c r="F2507" s="0" t="n">
        <v>170.943779540617</v>
      </c>
      <c r="G2507" s="0" t="n">
        <v>123.532778341072</v>
      </c>
      <c r="H2507" s="0" t="n">
        <v>135.533361665958</v>
      </c>
      <c r="I2507" s="0" t="n">
        <v>12.0005833248867</v>
      </c>
    </row>
    <row r="2508" customFormat="false" ht="13.8" hidden="false" customHeight="false" outlineLevel="0" collapsed="false">
      <c r="A2508" s="2" t="n">
        <v>42978</v>
      </c>
      <c r="B2508" s="0" t="n">
        <v>2471.65</v>
      </c>
      <c r="C2508" s="0" t="n">
        <v>308.28</v>
      </c>
      <c r="D2508" s="3" t="n">
        <f aca="false">B2508*100/B$2</f>
        <v>170.793139666657</v>
      </c>
      <c r="E2508" s="3" t="n">
        <f aca="false">C2508*100/C$2</f>
        <v>131.015724606885</v>
      </c>
      <c r="F2508" s="0" t="n">
        <v>170.917521213964</v>
      </c>
      <c r="G2508" s="0" t="n">
        <v>123.524007004023</v>
      </c>
      <c r="H2508" s="0" t="n">
        <v>136.25584360391</v>
      </c>
      <c r="I2508" s="0" t="n">
        <v>12.7318365998866</v>
      </c>
    </row>
    <row r="2509" customFormat="false" ht="13.8" hidden="false" customHeight="false" outlineLevel="0" collapsed="false">
      <c r="A2509" s="2" t="n">
        <v>42979</v>
      </c>
      <c r="B2509" s="0" t="n">
        <v>2476.55</v>
      </c>
      <c r="C2509" s="0" t="n">
        <v>307.78</v>
      </c>
      <c r="D2509" s="3" t="n">
        <f aca="false">B2509*100/B$2</f>
        <v>171.131733878769</v>
      </c>
      <c r="E2509" s="3" t="n">
        <f aca="false">C2509*100/C$2</f>
        <v>130.803229919252</v>
      </c>
      <c r="F2509" s="0" t="n">
        <v>170.854639431715</v>
      </c>
      <c r="G2509" s="0" t="n">
        <v>123.503001960039</v>
      </c>
      <c r="H2509" s="0" t="n">
        <v>136.757331066723</v>
      </c>
      <c r="I2509" s="0" t="n">
        <v>13.2543291066843</v>
      </c>
    </row>
    <row r="2510" customFormat="false" ht="13.8" hidden="false" customHeight="false" outlineLevel="0" collapsed="false">
      <c r="A2510" s="2" t="n">
        <v>42982</v>
      </c>
      <c r="B2510" s="0" t="n">
        <v>2476.55</v>
      </c>
      <c r="C2510" s="0" t="n">
        <v>304.19</v>
      </c>
      <c r="D2510" s="3" t="n">
        <f aca="false">B2510*100/B$2</f>
        <v>171.131733878769</v>
      </c>
      <c r="E2510" s="3" t="n">
        <f aca="false">C2510*100/C$2</f>
        <v>129.277518062048</v>
      </c>
      <c r="F2510" s="0" t="n">
        <v>170.672904170928</v>
      </c>
      <c r="G2510" s="0" t="n">
        <v>123.442295074678</v>
      </c>
      <c r="H2510" s="0" t="n">
        <v>136.850828729282</v>
      </c>
      <c r="I2510" s="0" t="n">
        <v>13.4085336546039</v>
      </c>
    </row>
    <row r="2511" customFormat="false" ht="13.8" hidden="false" customHeight="false" outlineLevel="0" collapsed="false">
      <c r="A2511" s="2" t="n">
        <v>42983</v>
      </c>
      <c r="B2511" s="0" t="n">
        <v>2457.85</v>
      </c>
      <c r="C2511" s="0" t="n">
        <v>304.06</v>
      </c>
      <c r="D2511" s="3" t="n">
        <f aca="false">B2511*100/B$2</f>
        <v>169.839547803975</v>
      </c>
      <c r="E2511" s="3" t="n">
        <f aca="false">C2511*100/C$2</f>
        <v>129.222269443264</v>
      </c>
      <c r="F2511" s="0" t="n">
        <v>171.171812377346</v>
      </c>
      <c r="G2511" s="0" t="n">
        <v>123.608950478597</v>
      </c>
      <c r="H2511" s="0" t="n">
        <v>136.060348491288</v>
      </c>
      <c r="I2511" s="0" t="n">
        <v>12.4513980126906</v>
      </c>
    </row>
    <row r="2512" customFormat="false" ht="13.8" hidden="false" customHeight="false" outlineLevel="0" collapsed="false">
      <c r="A2512" s="2" t="n">
        <v>42984</v>
      </c>
      <c r="B2512" s="0" t="n">
        <v>2465.54</v>
      </c>
      <c r="C2512" s="0" t="n">
        <v>303.18</v>
      </c>
      <c r="D2512" s="3" t="n">
        <f aca="false">B2512*100/B$2</f>
        <v>170.370933414412</v>
      </c>
      <c r="E2512" s="3" t="n">
        <f aca="false">C2512*100/C$2</f>
        <v>128.84827879303</v>
      </c>
      <c r="F2512" s="0" t="n">
        <v>171.220182979076</v>
      </c>
      <c r="G2512" s="0" t="n">
        <v>123.625108204739</v>
      </c>
      <c r="H2512" s="0" t="n">
        <v>135.767105822354</v>
      </c>
      <c r="I2512" s="0" t="n">
        <v>12.1419976176156</v>
      </c>
    </row>
    <row r="2513" customFormat="false" ht="13.8" hidden="false" customHeight="false" outlineLevel="0" collapsed="false">
      <c r="A2513" s="2" t="n">
        <v>42985</v>
      </c>
      <c r="B2513" s="0" t="n">
        <v>2465.1</v>
      </c>
      <c r="C2513" s="0" t="n">
        <v>306.97</v>
      </c>
      <c r="D2513" s="3" t="n">
        <f aca="false">B2513*100/B$2</f>
        <v>170.340529036181</v>
      </c>
      <c r="E2513" s="3" t="n">
        <f aca="false">C2513*100/C$2</f>
        <v>130.458988525287</v>
      </c>
      <c r="F2513" s="0" t="n">
        <v>171.053649907405</v>
      </c>
      <c r="G2513" s="0" t="n">
        <v>123.569479461879</v>
      </c>
      <c r="H2513" s="0" t="n">
        <v>136.213344666383</v>
      </c>
      <c r="I2513" s="0" t="n">
        <v>12.643865204504</v>
      </c>
    </row>
    <row r="2514" customFormat="false" ht="13.8" hidden="false" customHeight="false" outlineLevel="0" collapsed="false">
      <c r="A2514" s="2" t="n">
        <v>42986</v>
      </c>
      <c r="B2514" s="0" t="n">
        <v>2461.43</v>
      </c>
      <c r="C2514" s="0" t="n">
        <v>307.43</v>
      </c>
      <c r="D2514" s="3" t="n">
        <f aca="false">B2514*100/B$2</f>
        <v>170.086928881395</v>
      </c>
      <c r="E2514" s="3" t="n">
        <f aca="false">C2514*100/C$2</f>
        <v>130.654483637909</v>
      </c>
      <c r="F2514" s="0" t="n">
        <v>170.824235053484</v>
      </c>
      <c r="G2514" s="0" t="n">
        <v>123.492845675036</v>
      </c>
      <c r="H2514" s="0" t="n">
        <v>133.501912452189</v>
      </c>
      <c r="I2514" s="0" t="n">
        <v>10.009066777153</v>
      </c>
    </row>
    <row r="2515" customFormat="false" ht="13.8" hidden="false" customHeight="false" outlineLevel="0" collapsed="false">
      <c r="A2515" s="2" t="n">
        <v>42989</v>
      </c>
      <c r="B2515" s="0" t="n">
        <v>2488.11</v>
      </c>
      <c r="C2515" s="0" t="n">
        <v>309.83</v>
      </c>
      <c r="D2515" s="3" t="n">
        <f aca="false">B2515*100/B$2</f>
        <v>171.930539815915</v>
      </c>
      <c r="E2515" s="3" t="n">
        <f aca="false">C2515*100/C$2</f>
        <v>131.674458138547</v>
      </c>
      <c r="F2515" s="0" t="n">
        <v>170.699853506178</v>
      </c>
      <c r="G2515" s="0" t="n">
        <v>123.451297236385</v>
      </c>
      <c r="H2515" s="0" t="n">
        <v>133.701657458564</v>
      </c>
      <c r="I2515" s="0" t="n">
        <v>10.2503602221781</v>
      </c>
    </row>
    <row r="2516" customFormat="false" ht="13.8" hidden="false" customHeight="false" outlineLevel="0" collapsed="false">
      <c r="A2516" s="2" t="n">
        <v>42990</v>
      </c>
      <c r="B2516" s="0" t="n">
        <v>2496.48</v>
      </c>
      <c r="C2516" s="0" t="n">
        <v>310.42</v>
      </c>
      <c r="D2516" s="3" t="n">
        <f aca="false">B2516*100/B$2</f>
        <v>172.50891401089</v>
      </c>
      <c r="E2516" s="3" t="n">
        <f aca="false">C2516*100/C$2</f>
        <v>131.925201869953</v>
      </c>
      <c r="F2516" s="0" t="n">
        <v>171.117913706847</v>
      </c>
      <c r="G2516" s="0" t="n">
        <v>123.590946155182</v>
      </c>
      <c r="H2516" s="0" t="n">
        <v>134.738631534212</v>
      </c>
      <c r="I2516" s="0" t="n">
        <v>11.1476853790297</v>
      </c>
    </row>
    <row r="2517" customFormat="false" ht="13.8" hidden="false" customHeight="false" outlineLevel="0" collapsed="false">
      <c r="A2517" s="2" t="n">
        <v>42991</v>
      </c>
      <c r="B2517" s="0" t="n">
        <v>2498.37</v>
      </c>
      <c r="C2517" s="0" t="n">
        <v>310</v>
      </c>
      <c r="D2517" s="3" t="n">
        <f aca="false">B2517*100/B$2</f>
        <v>172.639514635562</v>
      </c>
      <c r="E2517" s="3" t="n">
        <f aca="false">C2517*100/C$2</f>
        <v>131.746706332342</v>
      </c>
      <c r="F2517" s="0" t="n">
        <v>171.202216755576</v>
      </c>
      <c r="G2517" s="0" t="n">
        <v>123.6191067636</v>
      </c>
      <c r="H2517" s="0" t="n">
        <v>135.014874628134</v>
      </c>
      <c r="I2517" s="0" t="n">
        <v>11.3957678645338</v>
      </c>
    </row>
    <row r="2518" customFormat="false" ht="13.8" hidden="false" customHeight="false" outlineLevel="0" collapsed="false">
      <c r="A2518" s="2" t="n">
        <v>42992</v>
      </c>
      <c r="B2518" s="0" t="n">
        <v>2495.62</v>
      </c>
      <c r="C2518" s="0" t="n">
        <v>312.52</v>
      </c>
      <c r="D2518" s="3" t="n">
        <f aca="false">B2518*100/B$2</f>
        <v>172.449487271622</v>
      </c>
      <c r="E2518" s="3" t="n">
        <f aca="false">C2518*100/C$2</f>
        <v>132.817679558011</v>
      </c>
      <c r="F2518" s="0" t="n">
        <v>170.828381105061</v>
      </c>
      <c r="G2518" s="0" t="n">
        <v>123.494230622991</v>
      </c>
      <c r="H2518" s="0" t="n">
        <v>132.7199320017</v>
      </c>
      <c r="I2518" s="0" t="n">
        <v>9.22570137870929</v>
      </c>
    </row>
    <row r="2519" customFormat="false" ht="13.8" hidden="false" customHeight="false" outlineLevel="0" collapsed="false">
      <c r="A2519" s="2" t="n">
        <v>42993</v>
      </c>
      <c r="B2519" s="0" t="n">
        <v>2500.23</v>
      </c>
      <c r="C2519" s="0" t="n">
        <v>313.69</v>
      </c>
      <c r="D2519" s="3" t="n">
        <f aca="false">B2519*100/B$2</f>
        <v>172.768042234445</v>
      </c>
      <c r="E2519" s="3" t="n">
        <f aca="false">C2519*100/C$2</f>
        <v>133.314917127072</v>
      </c>
      <c r="F2519" s="0" t="n">
        <v>171.151082119462</v>
      </c>
      <c r="G2519" s="0" t="n">
        <v>123.602025738822</v>
      </c>
      <c r="H2519" s="0" t="n">
        <v>133.217169570761</v>
      </c>
      <c r="I2519" s="0" t="n">
        <v>9.61514383193868</v>
      </c>
    </row>
    <row r="2520" customFormat="false" ht="13.8" hidden="false" customHeight="false" outlineLevel="0" collapsed="false">
      <c r="A2520" s="2" t="n">
        <v>42996</v>
      </c>
      <c r="B2520" s="0" t="n">
        <v>2503.87</v>
      </c>
      <c r="C2520" s="0" t="n">
        <v>318.93</v>
      </c>
      <c r="D2520" s="3" t="n">
        <f aca="false">B2520*100/B$2</f>
        <v>173.019569363443</v>
      </c>
      <c r="E2520" s="3" t="n">
        <f aca="false">C2520*100/C$2</f>
        <v>135.541861453464</v>
      </c>
      <c r="F2520" s="0" t="n">
        <v>171.43301362669</v>
      </c>
      <c r="G2520" s="0" t="n">
        <v>123.696202199763</v>
      </c>
      <c r="H2520" s="0" t="n">
        <v>133.429664258394</v>
      </c>
      <c r="I2520" s="0" t="n">
        <v>9.73346205863103</v>
      </c>
    </row>
    <row r="2521" customFormat="false" ht="13.8" hidden="false" customHeight="false" outlineLevel="0" collapsed="false">
      <c r="A2521" s="2" t="n">
        <v>42997</v>
      </c>
      <c r="B2521" s="0" t="n">
        <v>2506.65</v>
      </c>
      <c r="C2521" s="0" t="n">
        <v>318.51</v>
      </c>
      <c r="D2521" s="3" t="n">
        <f aca="false">B2521*100/B$2</f>
        <v>173.211669753172</v>
      </c>
      <c r="E2521" s="3" t="n">
        <f aca="false">C2521*100/C$2</f>
        <v>135.363365915852</v>
      </c>
      <c r="F2521" s="0" t="n">
        <v>171.019099477597</v>
      </c>
      <c r="G2521" s="0" t="n">
        <v>123.557938228921</v>
      </c>
      <c r="H2521" s="0" t="n">
        <v>133.191670208245</v>
      </c>
      <c r="I2521" s="0" t="n">
        <v>9.6337319793238</v>
      </c>
    </row>
    <row r="2522" customFormat="false" ht="13.8" hidden="false" customHeight="false" outlineLevel="0" collapsed="false">
      <c r="A2522" s="2" t="n">
        <v>42998</v>
      </c>
      <c r="B2522" s="0" t="n">
        <v>2508.24</v>
      </c>
      <c r="C2522" s="0" t="n">
        <v>318.48</v>
      </c>
      <c r="D2522" s="3" t="n">
        <f aca="false">B2522*100/B$2</f>
        <v>173.321540119959</v>
      </c>
      <c r="E2522" s="3" t="n">
        <f aca="false">C2522*100/C$2</f>
        <v>135.350616234594</v>
      </c>
      <c r="F2522" s="0" t="n">
        <v>170.956908703944</v>
      </c>
      <c r="G2522" s="0" t="n">
        <v>123.537164009596</v>
      </c>
      <c r="H2522" s="0" t="n">
        <v>131.542711432214</v>
      </c>
      <c r="I2522" s="0" t="n">
        <v>8.00554742261832</v>
      </c>
    </row>
    <row r="2523" customFormat="false" ht="13.8" hidden="false" customHeight="false" outlineLevel="0" collapsed="false">
      <c r="A2523" s="2" t="n">
        <v>42999</v>
      </c>
      <c r="B2523" s="0" t="n">
        <v>2500.6</v>
      </c>
      <c r="C2523" s="0" t="n">
        <v>318.25</v>
      </c>
      <c r="D2523" s="3" t="n">
        <f aca="false">B2523*100/B$2</f>
        <v>172.793609552503</v>
      </c>
      <c r="E2523" s="3" t="n">
        <f aca="false">C2523*100/C$2</f>
        <v>135.252868678283</v>
      </c>
      <c r="F2523" s="0" t="n">
        <v>168.482406921142</v>
      </c>
      <c r="G2523" s="0" t="n">
        <v>122.710580905116</v>
      </c>
      <c r="H2523" s="0" t="n">
        <v>131.053973650659</v>
      </c>
      <c r="I2523" s="0" t="n">
        <v>8.34339274554279</v>
      </c>
    </row>
    <row r="2524" customFormat="false" ht="13.8" hidden="false" customHeight="false" outlineLevel="0" collapsed="false">
      <c r="A2524" s="2" t="n">
        <v>43000</v>
      </c>
      <c r="B2524" s="0" t="n">
        <v>2502.22</v>
      </c>
      <c r="C2524" s="0" t="n">
        <v>316.71</v>
      </c>
      <c r="D2524" s="3" t="n">
        <f aca="false">B2524*100/B$2</f>
        <v>172.905552945079</v>
      </c>
      <c r="E2524" s="3" t="n">
        <f aca="false">C2524*100/C$2</f>
        <v>134.598385040374</v>
      </c>
      <c r="F2524" s="0" t="n">
        <v>168.697310594544</v>
      </c>
      <c r="G2524" s="0" t="n">
        <v>122.782367374117</v>
      </c>
      <c r="H2524" s="0" t="n">
        <v>128.652783680408</v>
      </c>
      <c r="I2524" s="0" t="n">
        <v>5.87041630629085</v>
      </c>
    </row>
    <row r="2525" customFormat="false" ht="13.8" hidden="false" customHeight="false" outlineLevel="0" collapsed="false">
      <c r="A2525" s="2" t="n">
        <v>43003</v>
      </c>
      <c r="B2525" s="0" t="n">
        <v>2496.66</v>
      </c>
      <c r="C2525" s="0" t="n">
        <v>316.4</v>
      </c>
      <c r="D2525" s="3" t="n">
        <f aca="false">B2525*100/B$2</f>
        <v>172.521352165621</v>
      </c>
      <c r="E2525" s="3" t="n">
        <f aca="false">C2525*100/C$2</f>
        <v>134.466638334042</v>
      </c>
      <c r="F2525" s="0" t="n">
        <v>170.391663672296</v>
      </c>
      <c r="G2525" s="0" t="n">
        <v>123.348349438397</v>
      </c>
      <c r="H2525" s="0" t="n">
        <v>129.592010199745</v>
      </c>
      <c r="I2525" s="0" t="n">
        <v>6.24366076134839</v>
      </c>
    </row>
    <row r="2526" customFormat="false" ht="13.8" hidden="false" customHeight="false" outlineLevel="0" collapsed="false">
      <c r="A2526" s="2" t="n">
        <v>43004</v>
      </c>
      <c r="B2526" s="0" t="n">
        <v>2496.84</v>
      </c>
      <c r="C2526" s="0" t="n">
        <v>314.29</v>
      </c>
      <c r="D2526" s="3" t="n">
        <f aca="false">B2526*100/B$2</f>
        <v>172.533790320352</v>
      </c>
      <c r="E2526" s="3" t="n">
        <f aca="false">C2526*100/C$2</f>
        <v>133.569910752231</v>
      </c>
      <c r="F2526" s="0" t="n">
        <v>170.30666961497</v>
      </c>
      <c r="G2526" s="0" t="n">
        <v>123.319958005319</v>
      </c>
      <c r="H2526" s="0" t="n">
        <v>129.592010199745</v>
      </c>
      <c r="I2526" s="0" t="n">
        <v>6.27205219442604</v>
      </c>
    </row>
    <row r="2527" customFormat="false" ht="13.8" hidden="false" customHeight="false" outlineLevel="0" collapsed="false">
      <c r="A2527" s="2" t="n">
        <v>43005</v>
      </c>
      <c r="B2527" s="0" t="n">
        <v>2507.04</v>
      </c>
      <c r="C2527" s="0" t="n">
        <v>313.82</v>
      </c>
      <c r="D2527" s="3" t="n">
        <f aca="false">B2527*100/B$2</f>
        <v>173.238619088421</v>
      </c>
      <c r="E2527" s="3" t="n">
        <f aca="false">C2527*100/C$2</f>
        <v>133.370165745856</v>
      </c>
      <c r="F2527" s="0" t="n">
        <v>170.548522623621</v>
      </c>
      <c r="G2527" s="0" t="n">
        <v>123.400746636028</v>
      </c>
      <c r="H2527" s="0" t="n">
        <v>130.539736506587</v>
      </c>
      <c r="I2527" s="0" t="n">
        <v>7.13898987055963</v>
      </c>
    </row>
    <row r="2528" customFormat="false" ht="13.8" hidden="false" customHeight="false" outlineLevel="0" collapsed="false">
      <c r="A2528" s="2" t="n">
        <v>43006</v>
      </c>
      <c r="B2528" s="0" t="n">
        <v>2510.06</v>
      </c>
      <c r="C2528" s="0" t="n">
        <v>313.85</v>
      </c>
      <c r="D2528" s="3" t="n">
        <f aca="false">B2528*100/B$2</f>
        <v>173.447303684458</v>
      </c>
      <c r="E2528" s="3" t="n">
        <f aca="false">C2528*100/C$2</f>
        <v>133.382915427114</v>
      </c>
      <c r="F2528" s="0" t="n">
        <v>167.915779872302</v>
      </c>
      <c r="G2528" s="0" t="n">
        <v>122.521304684598</v>
      </c>
      <c r="H2528" s="0" t="n">
        <v>131.330216744581</v>
      </c>
      <c r="I2528" s="0" t="n">
        <v>8.80891205998304</v>
      </c>
    </row>
    <row r="2529" customFormat="false" ht="13.8" hidden="false" customHeight="false" outlineLevel="0" collapsed="false">
      <c r="A2529" s="2" t="n">
        <v>43007</v>
      </c>
      <c r="B2529" s="0" t="n">
        <v>2519.36</v>
      </c>
      <c r="C2529" s="0" t="n">
        <v>316.27</v>
      </c>
      <c r="D2529" s="3" t="n">
        <f aca="false">B2529*100/B$2</f>
        <v>174.089941678874</v>
      </c>
      <c r="E2529" s="3" t="n">
        <f aca="false">C2529*100/C$2</f>
        <v>134.411389715257</v>
      </c>
      <c r="F2529" s="0" t="n">
        <v>167.60759003842</v>
      </c>
      <c r="G2529" s="0" t="n">
        <v>122.41835688661</v>
      </c>
      <c r="H2529" s="0" t="n">
        <v>131.062473438164</v>
      </c>
      <c r="I2529" s="0" t="n">
        <v>8.64411655155453</v>
      </c>
    </row>
    <row r="2530" customFormat="false" ht="13.8" hidden="false" customHeight="false" outlineLevel="0" collapsed="false">
      <c r="A2530" s="2" t="n">
        <v>43010</v>
      </c>
      <c r="B2530" s="0" t="n">
        <v>2529.12</v>
      </c>
      <c r="C2530" s="0" t="n">
        <v>316.27</v>
      </c>
      <c r="D2530" s="3" t="n">
        <f aca="false">B2530*100/B$2</f>
        <v>174.764366068714</v>
      </c>
      <c r="E2530" s="3" t="n">
        <f aca="false">C2530*100/C$2</f>
        <v>134.411389715257</v>
      </c>
      <c r="F2530" s="0" t="n">
        <v>167.802454462534</v>
      </c>
      <c r="G2530" s="0" t="n">
        <v>122.483449440495</v>
      </c>
      <c r="H2530" s="0" t="n">
        <v>130.956226094348</v>
      </c>
      <c r="I2530" s="0" t="n">
        <v>8.47277665385282</v>
      </c>
    </row>
    <row r="2531" customFormat="false" ht="13.8" hidden="false" customHeight="false" outlineLevel="0" collapsed="false">
      <c r="A2531" s="2" t="n">
        <v>43011</v>
      </c>
      <c r="B2531" s="0" t="n">
        <v>2534.58</v>
      </c>
      <c r="C2531" s="0" t="n">
        <v>316.27</v>
      </c>
      <c r="D2531" s="3" t="n">
        <f aca="false">B2531*100/B$2</f>
        <v>175.14165676221</v>
      </c>
      <c r="E2531" s="3" t="n">
        <f aca="false">C2531*100/C$2</f>
        <v>134.411389715257</v>
      </c>
      <c r="F2531" s="0" t="n">
        <v>169.470549213632</v>
      </c>
      <c r="G2531" s="0" t="n">
        <v>123.040660167726</v>
      </c>
      <c r="H2531" s="0" t="n">
        <v>131.466213344666</v>
      </c>
      <c r="I2531" s="0" t="n">
        <v>8.42555317694044</v>
      </c>
    </row>
    <row r="2532" customFormat="false" ht="13.8" hidden="false" customHeight="false" outlineLevel="0" collapsed="false">
      <c r="A2532" s="2" t="n">
        <v>43012</v>
      </c>
      <c r="B2532" s="0" t="n">
        <v>2537.74</v>
      </c>
      <c r="C2532" s="0" t="n">
        <v>316.27</v>
      </c>
      <c r="D2532" s="3" t="n">
        <f aca="false">B2532*100/B$2</f>
        <v>175.360015478593</v>
      </c>
      <c r="E2532" s="3" t="n">
        <f aca="false">C2532*100/C$2</f>
        <v>134.411389715257</v>
      </c>
      <c r="F2532" s="0" t="n">
        <v>168.885264932696</v>
      </c>
      <c r="G2532" s="0" t="n">
        <v>122.845151681411</v>
      </c>
      <c r="H2532" s="0" t="n">
        <v>131.623459413515</v>
      </c>
      <c r="I2532" s="0" t="n">
        <v>8.77830773210386</v>
      </c>
    </row>
    <row r="2533" customFormat="false" ht="13.8" hidden="false" customHeight="false" outlineLevel="0" collapsed="false">
      <c r="A2533" s="2" t="n">
        <v>43013</v>
      </c>
      <c r="B2533" s="0" t="n">
        <v>2552.07</v>
      </c>
      <c r="C2533" s="0" t="n">
        <v>316.27</v>
      </c>
      <c r="D2533" s="3" t="n">
        <f aca="false">B2533*100/B$2</f>
        <v>176.350230796871</v>
      </c>
      <c r="E2533" s="3" t="n">
        <f aca="false">C2533*100/C$2</f>
        <v>134.411389715257</v>
      </c>
      <c r="F2533" s="0" t="n">
        <v>168.534923574449</v>
      </c>
      <c r="G2533" s="0" t="n">
        <v>122.728123579213</v>
      </c>
      <c r="H2533" s="0" t="n">
        <v>132.056948576286</v>
      </c>
      <c r="I2533" s="0" t="n">
        <v>9.32882499707289</v>
      </c>
    </row>
    <row r="2534" customFormat="false" ht="13.8" hidden="false" customHeight="false" outlineLevel="0" collapsed="false">
      <c r="A2534" s="2" t="n">
        <v>43014</v>
      </c>
      <c r="B2534" s="0" t="n">
        <v>2549.33</v>
      </c>
      <c r="C2534" s="0" t="n">
        <v>316.27</v>
      </c>
      <c r="D2534" s="3" t="n">
        <f aca="false">B2534*100/B$2</f>
        <v>176.160894441527</v>
      </c>
      <c r="E2534" s="3" t="n">
        <f aca="false">C2534*100/C$2</f>
        <v>134.411389715257</v>
      </c>
      <c r="F2534" s="0" t="n">
        <v>168.816855081677</v>
      </c>
      <c r="G2534" s="0" t="n">
        <v>122.822300040153</v>
      </c>
      <c r="H2534" s="0" t="n">
        <v>132.260943476413</v>
      </c>
      <c r="I2534" s="0" t="n">
        <v>9.4386434362599</v>
      </c>
    </row>
    <row r="2535" customFormat="false" ht="13.8" hidden="false" customHeight="false" outlineLevel="0" collapsed="false">
      <c r="A2535" s="2" t="n">
        <v>43017</v>
      </c>
      <c r="B2535" s="0" t="n">
        <v>2544.73</v>
      </c>
      <c r="C2535" s="0" t="n">
        <v>316.27</v>
      </c>
      <c r="D2535" s="3" t="n">
        <f aca="false">B2535*100/B$2</f>
        <v>175.843030487299</v>
      </c>
      <c r="E2535" s="3" t="n">
        <f aca="false">C2535*100/C$2</f>
        <v>134.411389715257</v>
      </c>
      <c r="F2535" s="0" t="n">
        <v>168.899085104619</v>
      </c>
      <c r="G2535" s="0" t="n">
        <v>122.849768174594</v>
      </c>
      <c r="H2535" s="0" t="n">
        <v>131.546961325967</v>
      </c>
      <c r="I2535" s="0" t="n">
        <v>8.69719315137272</v>
      </c>
    </row>
    <row r="2536" customFormat="false" ht="13.8" hidden="false" customHeight="false" outlineLevel="0" collapsed="false">
      <c r="A2536" s="2" t="n">
        <v>43018</v>
      </c>
      <c r="B2536" s="0" t="n">
        <v>2550.64</v>
      </c>
      <c r="C2536" s="0" t="n">
        <v>322.49</v>
      </c>
      <c r="D2536" s="3" t="n">
        <f aca="false">B2536*100/B$2</f>
        <v>176.251416567622</v>
      </c>
      <c r="E2536" s="3" t="n">
        <f aca="false">C2536*100/C$2</f>
        <v>137.054823629409</v>
      </c>
      <c r="F2536" s="0" t="n">
        <v>169.041432875425</v>
      </c>
      <c r="G2536" s="0" t="n">
        <v>122.897318054383</v>
      </c>
      <c r="H2536" s="0" t="n">
        <v>131.16872078198</v>
      </c>
      <c r="I2536" s="0" t="n">
        <v>8.27140272759775</v>
      </c>
    </row>
    <row r="2537" customFormat="false" ht="13.8" hidden="false" customHeight="false" outlineLevel="0" collapsed="false">
      <c r="A2537" s="2" t="n">
        <v>43019</v>
      </c>
      <c r="B2537" s="0" t="n">
        <v>2555.24</v>
      </c>
      <c r="C2537" s="0" t="n">
        <v>326.12</v>
      </c>
      <c r="D2537" s="3" t="n">
        <f aca="false">B2537*100/B$2</f>
        <v>176.56928052185</v>
      </c>
      <c r="E2537" s="3" t="n">
        <f aca="false">C2537*100/C$2</f>
        <v>138.597535061623</v>
      </c>
      <c r="F2537" s="0" t="n">
        <v>169.821581580475</v>
      </c>
      <c r="G2537" s="0" t="n">
        <v>123.157919094583</v>
      </c>
      <c r="H2537" s="0" t="n">
        <v>131.597960050999</v>
      </c>
      <c r="I2537" s="0" t="n">
        <v>8.44004095641553</v>
      </c>
    </row>
    <row r="2538" customFormat="false" ht="13.8" hidden="false" customHeight="false" outlineLevel="0" collapsed="false">
      <c r="A2538" s="2" t="n">
        <v>43020</v>
      </c>
      <c r="B2538" s="0" t="n">
        <v>2550.93</v>
      </c>
      <c r="C2538" s="0" t="n">
        <v>328.11</v>
      </c>
      <c r="D2538" s="3" t="n">
        <f aca="false">B2538*100/B$2</f>
        <v>176.27145581691</v>
      </c>
      <c r="E2538" s="3" t="n">
        <f aca="false">C2538*100/C$2</f>
        <v>139.443263918402</v>
      </c>
      <c r="F2538" s="0" t="n">
        <v>170.793139666657</v>
      </c>
      <c r="G2538" s="0" t="n">
        <v>123.482458565373</v>
      </c>
      <c r="H2538" s="0" t="n">
        <v>131.015724606885</v>
      </c>
      <c r="I2538" s="0" t="n">
        <v>7.53326604151171</v>
      </c>
    </row>
    <row r="2539" customFormat="false" ht="13.8" hidden="false" customHeight="false" outlineLevel="0" collapsed="false">
      <c r="A2539" s="2" t="n">
        <v>43021</v>
      </c>
      <c r="B2539" s="0" t="n">
        <v>2553.17</v>
      </c>
      <c r="C2539" s="0" t="n">
        <v>327.35</v>
      </c>
      <c r="D2539" s="3" t="n">
        <f aca="false">B2539*100/B$2</f>
        <v>176.426241742447</v>
      </c>
      <c r="E2539" s="3" t="n">
        <f aca="false">C2539*100/C$2</f>
        <v>139.1202719932</v>
      </c>
      <c r="F2539" s="0" t="n">
        <v>171.131733878769</v>
      </c>
      <c r="G2539" s="0" t="n">
        <v>123.595562648365</v>
      </c>
      <c r="H2539" s="0" t="n">
        <v>130.803229919252</v>
      </c>
      <c r="I2539" s="0" t="n">
        <v>7.20766727088666</v>
      </c>
    </row>
    <row r="2540" customFormat="false" ht="13.8" hidden="false" customHeight="false" outlineLevel="0" collapsed="false">
      <c r="A2540" s="2" t="n">
        <v>43024</v>
      </c>
      <c r="B2540" s="0" t="n">
        <v>2557.64</v>
      </c>
      <c r="C2540" s="0" t="n">
        <v>327.82</v>
      </c>
      <c r="D2540" s="3" t="n">
        <f aca="false">B2540*100/B$2</f>
        <v>176.735122584925</v>
      </c>
      <c r="E2540" s="3" t="n">
        <f aca="false">C2540*100/C$2</f>
        <v>139.320016999575</v>
      </c>
      <c r="F2540" s="0" t="n">
        <v>171.131733878769</v>
      </c>
      <c r="G2540" s="0" t="n">
        <v>123.595562648365</v>
      </c>
      <c r="H2540" s="0" t="n">
        <v>129.277518062048</v>
      </c>
      <c r="I2540" s="0" t="n">
        <v>5.6819554136831</v>
      </c>
    </row>
    <row r="2541" customFormat="false" ht="13.8" hidden="false" customHeight="false" outlineLevel="0" collapsed="false">
      <c r="A2541" s="2" t="n">
        <v>43025</v>
      </c>
      <c r="B2541" s="0" t="n">
        <v>2559.36</v>
      </c>
      <c r="C2541" s="0" t="n">
        <v>328.51</v>
      </c>
      <c r="D2541" s="3" t="n">
        <f aca="false">B2541*100/B$2</f>
        <v>176.853976063462</v>
      </c>
      <c r="E2541" s="3" t="n">
        <f aca="false">C2541*100/C$2</f>
        <v>139.613259668508</v>
      </c>
      <c r="F2541" s="0" t="n">
        <v>169.839547803975</v>
      </c>
      <c r="G2541" s="0" t="n">
        <v>123.163920535722</v>
      </c>
      <c r="H2541" s="0" t="n">
        <v>129.222269443264</v>
      </c>
      <c r="I2541" s="0" t="n">
        <v>6.05834890754238</v>
      </c>
    </row>
    <row r="2542" customFormat="false" ht="13.8" hidden="false" customHeight="false" outlineLevel="0" collapsed="false">
      <c r="A2542" s="2" t="n">
        <v>43026</v>
      </c>
      <c r="B2542" s="0" t="n">
        <v>2561.26</v>
      </c>
      <c r="C2542" s="0" t="n">
        <v>328.4</v>
      </c>
      <c r="D2542" s="3" t="n">
        <f aca="false">B2542*100/B$2</f>
        <v>176.98526769673</v>
      </c>
      <c r="E2542" s="3" t="n">
        <f aca="false">C2542*100/C$2</f>
        <v>139.566510837229</v>
      </c>
      <c r="F2542" s="0" t="n">
        <v>170.370933414412</v>
      </c>
      <c r="G2542" s="0" t="n">
        <v>123.341424698622</v>
      </c>
      <c r="H2542" s="0" t="n">
        <v>128.84827879303</v>
      </c>
      <c r="I2542" s="0" t="n">
        <v>5.5068540944086</v>
      </c>
    </row>
    <row r="2543" customFormat="false" ht="13.8" hidden="false" customHeight="false" outlineLevel="0" collapsed="false">
      <c r="A2543" s="2" t="n">
        <v>43027</v>
      </c>
      <c r="B2543" s="0" t="n">
        <v>2562.1</v>
      </c>
      <c r="C2543" s="0" t="n">
        <v>326.47</v>
      </c>
      <c r="D2543" s="3" t="n">
        <f aca="false">B2543*100/B$2</f>
        <v>177.043312418807</v>
      </c>
      <c r="E2543" s="3" t="n">
        <f aca="false">C2543*100/C$2</f>
        <v>138.746281342966</v>
      </c>
      <c r="F2543" s="0" t="n">
        <v>170.340529036181</v>
      </c>
      <c r="G2543" s="0" t="n">
        <v>123.331268413618</v>
      </c>
      <c r="H2543" s="0" t="n">
        <v>130.458988525287</v>
      </c>
      <c r="I2543" s="0" t="n">
        <v>7.12772011166869</v>
      </c>
    </row>
    <row r="2544" customFormat="false" ht="13.8" hidden="false" customHeight="false" outlineLevel="0" collapsed="false">
      <c r="A2544" s="2" t="n">
        <v>43028</v>
      </c>
      <c r="B2544" s="0" t="n">
        <v>2575.21</v>
      </c>
      <c r="C2544" s="0" t="n">
        <v>328.89</v>
      </c>
      <c r="D2544" s="3" t="n">
        <f aca="false">B2544*100/B$2</f>
        <v>177.949224688355</v>
      </c>
      <c r="E2544" s="3" t="n">
        <f aca="false">C2544*100/C$2</f>
        <v>139.774755631109</v>
      </c>
      <c r="F2544" s="0" t="n">
        <v>170.086928881395</v>
      </c>
      <c r="G2544" s="0" t="n">
        <v>123.246555763704</v>
      </c>
      <c r="H2544" s="0" t="n">
        <v>130.654483637909</v>
      </c>
      <c r="I2544" s="0" t="n">
        <v>7.40792787420544</v>
      </c>
    </row>
    <row r="2545" customFormat="false" ht="13.8" hidden="false" customHeight="false" outlineLevel="0" collapsed="false">
      <c r="A2545" s="2" t="n">
        <v>43031</v>
      </c>
      <c r="B2545" s="0" t="n">
        <v>2564.98</v>
      </c>
      <c r="C2545" s="0" t="n">
        <v>329.45</v>
      </c>
      <c r="D2545" s="3" t="n">
        <f aca="false">B2545*100/B$2</f>
        <v>177.242322894497</v>
      </c>
      <c r="E2545" s="3" t="n">
        <f aca="false">C2545*100/C$2</f>
        <v>140.012749681258</v>
      </c>
      <c r="F2545" s="0" t="n">
        <v>171.930539815915</v>
      </c>
      <c r="G2545" s="0" t="n">
        <v>123.862395954363</v>
      </c>
      <c r="H2545" s="0" t="n">
        <v>131.674458138547</v>
      </c>
      <c r="I2545" s="0" t="n">
        <v>7.81206218418321</v>
      </c>
    </row>
    <row r="2546" customFormat="false" ht="13.8" hidden="false" customHeight="false" outlineLevel="0" collapsed="false">
      <c r="A2546" s="2" t="n">
        <v>43032</v>
      </c>
      <c r="B2546" s="0" t="n">
        <v>2569.13</v>
      </c>
      <c r="C2546" s="0" t="n">
        <v>328.96</v>
      </c>
      <c r="D2546" s="3" t="n">
        <f aca="false">B2546*100/B$2</f>
        <v>177.529091461898</v>
      </c>
      <c r="E2546" s="3" t="n">
        <f aca="false">C2546*100/C$2</f>
        <v>139.804504887378</v>
      </c>
      <c r="F2546" s="0" t="n">
        <v>172.50891401089</v>
      </c>
      <c r="G2546" s="0" t="n">
        <v>124.055596194087</v>
      </c>
      <c r="H2546" s="0" t="n">
        <v>131.925201869953</v>
      </c>
      <c r="I2546" s="0" t="n">
        <v>7.86960567586645</v>
      </c>
    </row>
    <row r="2547" customFormat="false" ht="13.8" hidden="false" customHeight="false" outlineLevel="0" collapsed="false">
      <c r="A2547" s="2" t="n">
        <v>43033</v>
      </c>
      <c r="B2547" s="0" t="n">
        <v>2557.15</v>
      </c>
      <c r="C2547" s="0" t="n">
        <v>329.31</v>
      </c>
      <c r="D2547" s="3" t="n">
        <f aca="false">B2547*100/B$2</f>
        <v>176.701263163714</v>
      </c>
      <c r="E2547" s="3" t="n">
        <f aca="false">C2547*100/C$2</f>
        <v>139.953251168721</v>
      </c>
      <c r="F2547" s="0" t="n">
        <v>172.639514635562</v>
      </c>
      <c r="G2547" s="0" t="n">
        <v>124.09922205467</v>
      </c>
      <c r="H2547" s="0" t="n">
        <v>131.746706332342</v>
      </c>
      <c r="I2547" s="0" t="n">
        <v>7.64748427767219</v>
      </c>
    </row>
    <row r="2548" customFormat="false" ht="13.8" hidden="false" customHeight="false" outlineLevel="0" collapsed="false">
      <c r="A2548" s="2" t="n">
        <v>43034</v>
      </c>
      <c r="B2548" s="0" t="n">
        <v>2560.4</v>
      </c>
      <c r="C2548" s="0" t="n">
        <v>326.99</v>
      </c>
      <c r="D2548" s="3" t="n">
        <f aca="false">B2548*100/B$2</f>
        <v>176.925840957462</v>
      </c>
      <c r="E2548" s="3" t="n">
        <f aca="false">C2548*100/C$2</f>
        <v>138.967275818105</v>
      </c>
      <c r="F2548" s="0" t="n">
        <v>172.449487271622</v>
      </c>
      <c r="G2548" s="0" t="n">
        <v>124.035745273398</v>
      </c>
      <c r="H2548" s="0" t="n">
        <v>132.817679558011</v>
      </c>
      <c r="I2548" s="0" t="n">
        <v>8.78193428461267</v>
      </c>
    </row>
    <row r="2549" customFormat="false" ht="13.8" hidden="false" customHeight="false" outlineLevel="0" collapsed="false">
      <c r="A2549" s="2" t="n">
        <v>43035</v>
      </c>
      <c r="B2549" s="0" t="n">
        <v>2581.07</v>
      </c>
      <c r="C2549" s="0" t="n">
        <v>329.23</v>
      </c>
      <c r="D2549" s="3" t="n">
        <f aca="false">B2549*100/B$2</f>
        <v>178.354155725697</v>
      </c>
      <c r="E2549" s="3" t="n">
        <f aca="false">C2549*100/C$2</f>
        <v>139.9192520187</v>
      </c>
      <c r="F2549" s="0" t="n">
        <v>172.768042234445</v>
      </c>
      <c r="G2549" s="0" t="n">
        <v>124.142155441275</v>
      </c>
      <c r="H2549" s="0" t="n">
        <v>133.314917127072</v>
      </c>
      <c r="I2549" s="0" t="n">
        <v>9.17276168579711</v>
      </c>
    </row>
    <row r="2550" customFormat="false" ht="13.8" hidden="false" customHeight="false" outlineLevel="0" collapsed="false">
      <c r="A2550" s="2" t="n">
        <v>43038</v>
      </c>
      <c r="B2550" s="0" t="n">
        <v>2572.83</v>
      </c>
      <c r="C2550" s="0" t="n">
        <v>330.38</v>
      </c>
      <c r="D2550" s="3" t="n">
        <f aca="false">B2550*100/B$2</f>
        <v>177.784764642472</v>
      </c>
      <c r="E2550" s="3" t="n">
        <f aca="false">C2550*100/C$2</f>
        <v>140.407989800255</v>
      </c>
      <c r="F2550" s="0" t="n">
        <v>173.019569363443</v>
      </c>
      <c r="G2550" s="0" t="n">
        <v>124.226175617212</v>
      </c>
      <c r="H2550" s="0" t="n">
        <v>135.541861453464</v>
      </c>
      <c r="I2550" s="0" t="n">
        <v>11.3156858362519</v>
      </c>
    </row>
    <row r="2551" customFormat="false" ht="13.8" hidden="false" customHeight="false" outlineLevel="0" collapsed="false">
      <c r="A2551" s="2" t="n">
        <v>43039</v>
      </c>
      <c r="B2551" s="0" t="n">
        <v>2575.26</v>
      </c>
      <c r="C2551" s="0" t="n">
        <v>333.57</v>
      </c>
      <c r="D2551" s="3" t="n">
        <f aca="false">B2551*100/B$2</f>
        <v>177.952679731336</v>
      </c>
      <c r="E2551" s="3" t="n">
        <f aca="false">C2551*100/C$2</f>
        <v>141.763705907352</v>
      </c>
      <c r="F2551" s="0" t="n">
        <v>173.211669753172</v>
      </c>
      <c r="G2551" s="0" t="n">
        <v>124.29034487246</v>
      </c>
      <c r="H2551" s="0" t="n">
        <v>135.363365915852</v>
      </c>
      <c r="I2551" s="0" t="n">
        <v>11.0730210433916</v>
      </c>
    </row>
    <row r="2552" customFormat="false" ht="13.8" hidden="false" customHeight="false" outlineLevel="0" collapsed="false">
      <c r="A2552" s="2" t="n">
        <v>43040</v>
      </c>
      <c r="B2552" s="0" t="n">
        <v>2579.36</v>
      </c>
      <c r="C2552" s="0" t="n">
        <v>338.76</v>
      </c>
      <c r="D2552" s="3" t="n">
        <f aca="false">B2552*100/B$2</f>
        <v>178.235993255756</v>
      </c>
      <c r="E2552" s="3" t="n">
        <f aca="false">C2552*100/C$2</f>
        <v>143.969400764981</v>
      </c>
      <c r="F2552" s="0" t="n">
        <v>173.321540119959</v>
      </c>
      <c r="G2552" s="0" t="n">
        <v>124.327045993268</v>
      </c>
      <c r="H2552" s="0" t="n">
        <v>135.350616234594</v>
      </c>
      <c r="I2552" s="0" t="n">
        <v>11.023570241326</v>
      </c>
    </row>
    <row r="2553" customFormat="false" ht="13.8" hidden="false" customHeight="false" outlineLevel="0" collapsed="false">
      <c r="A2553" s="2" t="n">
        <v>43041</v>
      </c>
      <c r="B2553" s="0" t="n">
        <v>2579.85</v>
      </c>
      <c r="C2553" s="0" t="n">
        <v>337.53</v>
      </c>
      <c r="D2553" s="3" t="n">
        <f aca="false">B2553*100/B$2</f>
        <v>178.269852676967</v>
      </c>
      <c r="E2553" s="3" t="n">
        <f aca="false">C2553*100/C$2</f>
        <v>143.446663833404</v>
      </c>
      <c r="F2553" s="0" t="n">
        <v>172.793609552503</v>
      </c>
      <c r="G2553" s="0" t="n">
        <v>124.150695953664</v>
      </c>
      <c r="H2553" s="0" t="n">
        <v>135.252868678283</v>
      </c>
      <c r="I2553" s="0" t="n">
        <v>11.1021727246191</v>
      </c>
    </row>
    <row r="2554" customFormat="false" ht="13.8" hidden="false" customHeight="false" outlineLevel="0" collapsed="false">
      <c r="A2554" s="2" t="n">
        <v>43042</v>
      </c>
      <c r="B2554" s="0" t="n">
        <v>2587.84</v>
      </c>
      <c r="C2554" s="0" t="n">
        <v>338.83</v>
      </c>
      <c r="D2554" s="3" t="n">
        <f aca="false">B2554*100/B$2</f>
        <v>178.821968545289</v>
      </c>
      <c r="E2554" s="3" t="n">
        <f aca="false">C2554*100/C$2</f>
        <v>143.999150021249</v>
      </c>
      <c r="F2554" s="0" t="n">
        <v>172.905552945079</v>
      </c>
      <c r="G2554" s="0" t="n">
        <v>124.188089548449</v>
      </c>
      <c r="H2554" s="0" t="n">
        <v>134.598385040374</v>
      </c>
      <c r="I2554" s="0" t="n">
        <v>10.4102954919249</v>
      </c>
    </row>
    <row r="2555" customFormat="false" ht="13.8" hidden="false" customHeight="false" outlineLevel="0" collapsed="false">
      <c r="A2555" s="2" t="n">
        <v>43045</v>
      </c>
      <c r="B2555" s="0" t="n">
        <v>2591.13</v>
      </c>
      <c r="C2555" s="0" t="n">
        <v>337.4</v>
      </c>
      <c r="D2555" s="3" t="n">
        <f aca="false">B2555*100/B$2</f>
        <v>179.049310373421</v>
      </c>
      <c r="E2555" s="3" t="n">
        <f aca="false">C2555*100/C$2</f>
        <v>143.39141521462</v>
      </c>
      <c r="F2555" s="0" t="n">
        <v>172.521352165621</v>
      </c>
      <c r="G2555" s="0" t="n">
        <v>124.059751037952</v>
      </c>
      <c r="H2555" s="0" t="n">
        <v>134.466638334042</v>
      </c>
      <c r="I2555" s="0" t="n">
        <v>10.4068872960898</v>
      </c>
    </row>
    <row r="2556" customFormat="false" ht="13.8" hidden="false" customHeight="false" outlineLevel="0" collapsed="false">
      <c r="A2556" s="2" t="n">
        <v>43046</v>
      </c>
      <c r="B2556" s="0" t="n">
        <v>2590.64</v>
      </c>
      <c r="C2556" s="0" t="n">
        <v>336.76</v>
      </c>
      <c r="D2556" s="3" t="n">
        <f aca="false">B2556*100/B$2</f>
        <v>179.01545095221</v>
      </c>
      <c r="E2556" s="3" t="n">
        <f aca="false">C2556*100/C$2</f>
        <v>143.11942201445</v>
      </c>
      <c r="F2556" s="0" t="n">
        <v>172.533790320352</v>
      </c>
      <c r="G2556" s="0" t="n">
        <v>124.063905881817</v>
      </c>
      <c r="H2556" s="0" t="n">
        <v>133.569910752231</v>
      </c>
      <c r="I2556" s="0" t="n">
        <v>9.50600487041439</v>
      </c>
    </row>
    <row r="2557" customFormat="false" ht="13.8" hidden="false" customHeight="false" outlineLevel="0" collapsed="false">
      <c r="A2557" s="2" t="n">
        <v>43047</v>
      </c>
      <c r="B2557" s="0" t="n">
        <v>2594.38</v>
      </c>
      <c r="C2557" s="0" t="n">
        <v>337.8</v>
      </c>
      <c r="D2557" s="3" t="n">
        <f aca="false">B2557*100/B$2</f>
        <v>179.273888167169</v>
      </c>
      <c r="E2557" s="3" t="n">
        <f aca="false">C2557*100/C$2</f>
        <v>143.561410964726</v>
      </c>
      <c r="F2557" s="0" t="n">
        <v>173.238619088421</v>
      </c>
      <c r="G2557" s="0" t="n">
        <v>124.299347034168</v>
      </c>
      <c r="H2557" s="0" t="n">
        <v>133.370165745856</v>
      </c>
      <c r="I2557" s="0" t="n">
        <v>9.07081871168836</v>
      </c>
    </row>
    <row r="2558" customFormat="false" ht="13.8" hidden="false" customHeight="false" outlineLevel="0" collapsed="false">
      <c r="A2558" s="2" t="n">
        <v>43048</v>
      </c>
      <c r="B2558" s="0" t="n">
        <v>2584.62</v>
      </c>
      <c r="C2558" s="0" t="n">
        <v>337.14</v>
      </c>
      <c r="D2558" s="3" t="n">
        <f aca="false">B2558*100/B$2</f>
        <v>178.599463777329</v>
      </c>
      <c r="E2558" s="3" t="n">
        <f aca="false">C2558*100/C$2</f>
        <v>143.280917977051</v>
      </c>
      <c r="F2558" s="0" t="n">
        <v>173.447303684458</v>
      </c>
      <c r="G2558" s="0" t="n">
        <v>124.369056081237</v>
      </c>
      <c r="H2558" s="0" t="n">
        <v>133.382915427114</v>
      </c>
      <c r="I2558" s="0" t="n">
        <v>9.01385934587766</v>
      </c>
    </row>
    <row r="2559" customFormat="false" ht="13.8" hidden="false" customHeight="false" outlineLevel="0" collapsed="false">
      <c r="A2559" s="2" t="n">
        <v>43049</v>
      </c>
      <c r="B2559" s="0" t="n">
        <v>2582.3</v>
      </c>
      <c r="C2559" s="0" t="n">
        <v>335.96</v>
      </c>
      <c r="D2559" s="3" t="n">
        <f aca="false">B2559*100/B$2</f>
        <v>178.439149783023</v>
      </c>
      <c r="E2559" s="3" t="n">
        <f aca="false">C2559*100/C$2</f>
        <v>142.779430514237</v>
      </c>
      <c r="F2559" s="0" t="n">
        <v>174.089941678874</v>
      </c>
      <c r="G2559" s="0" t="n">
        <v>124.583723014263</v>
      </c>
      <c r="H2559" s="0" t="n">
        <v>134.411389715257</v>
      </c>
      <c r="I2559" s="0" t="n">
        <v>9.82766670099437</v>
      </c>
    </row>
    <row r="2560" customFormat="false" ht="13.8" hidden="false" customHeight="false" outlineLevel="0" collapsed="false">
      <c r="A2560" s="2" t="n">
        <v>43052</v>
      </c>
      <c r="B2560" s="0" t="n">
        <v>2584.84</v>
      </c>
      <c r="C2560" s="0" t="n">
        <v>334.33</v>
      </c>
      <c r="D2560" s="3" t="n">
        <f aca="false">B2560*100/B$2</f>
        <v>178.614665966445</v>
      </c>
      <c r="E2560" s="3" t="n">
        <f aca="false">C2560*100/C$2</f>
        <v>142.086697832554</v>
      </c>
      <c r="F2560" s="0" t="n">
        <v>174.764366068714</v>
      </c>
      <c r="G2560" s="0" t="n">
        <v>124.809007881611</v>
      </c>
      <c r="H2560" s="0" t="n">
        <v>134.411389715257</v>
      </c>
      <c r="I2560" s="0" t="n">
        <v>9.6023818336466</v>
      </c>
    </row>
    <row r="2561" customFormat="false" ht="13.8" hidden="false" customHeight="false" outlineLevel="0" collapsed="false">
      <c r="A2561" s="2" t="n">
        <v>43053</v>
      </c>
      <c r="B2561" s="0" t="n">
        <v>2578.87</v>
      </c>
      <c r="C2561" s="0" t="n">
        <v>333.62</v>
      </c>
      <c r="D2561" s="3" t="n">
        <f aca="false">B2561*100/B$2</f>
        <v>178.202133834545</v>
      </c>
      <c r="E2561" s="3" t="n">
        <f aca="false">C2561*100/C$2</f>
        <v>141.784955376116</v>
      </c>
      <c r="F2561" s="0" t="n">
        <v>175.14165676221</v>
      </c>
      <c r="G2561" s="0" t="n">
        <v>124.935038145516</v>
      </c>
      <c r="H2561" s="0" t="n">
        <v>134.411389715257</v>
      </c>
      <c r="I2561" s="0" t="n">
        <v>9.47635156974096</v>
      </c>
    </row>
    <row r="2562" customFormat="false" ht="13.8" hidden="false" customHeight="false" outlineLevel="0" collapsed="false">
      <c r="A2562" s="2" t="n">
        <v>43054</v>
      </c>
      <c r="B2562" s="0" t="n">
        <v>2564.62</v>
      </c>
      <c r="C2562" s="0" t="n">
        <v>332.17</v>
      </c>
      <c r="D2562" s="3" t="n">
        <f aca="false">B2562*100/B$2</f>
        <v>177.217446585036</v>
      </c>
      <c r="E2562" s="3" t="n">
        <f aca="false">C2562*100/C$2</f>
        <v>141.16872078198</v>
      </c>
      <c r="F2562" s="0" t="n">
        <v>175.360015478593</v>
      </c>
      <c r="G2562" s="0" t="n">
        <v>125.007978737813</v>
      </c>
      <c r="H2562" s="0" t="n">
        <v>134.411389715257</v>
      </c>
      <c r="I2562" s="0" t="n">
        <v>9.40341097744394</v>
      </c>
    </row>
    <row r="2563" customFormat="false" ht="13.8" hidden="false" customHeight="false" outlineLevel="0" collapsed="false">
      <c r="A2563" s="2" t="n">
        <v>43055</v>
      </c>
      <c r="B2563" s="0" t="n">
        <v>2585.64</v>
      </c>
      <c r="C2563" s="0" t="n">
        <v>334.36</v>
      </c>
      <c r="D2563" s="3" t="n">
        <f aca="false">B2563*100/B$2</f>
        <v>178.669946654136</v>
      </c>
      <c r="E2563" s="3" t="n">
        <f aca="false">C2563*100/C$2</f>
        <v>142.099447513812</v>
      </c>
      <c r="F2563" s="0" t="n">
        <v>176.350230796871</v>
      </c>
      <c r="G2563" s="0" t="n">
        <v>125.338750474401</v>
      </c>
      <c r="H2563" s="0" t="n">
        <v>134.411389715257</v>
      </c>
      <c r="I2563" s="0" t="n">
        <v>9.07263924085646</v>
      </c>
    </row>
    <row r="2564" customFormat="false" ht="13.8" hidden="false" customHeight="false" outlineLevel="0" collapsed="false">
      <c r="A2564" s="2" t="n">
        <v>43056</v>
      </c>
      <c r="B2564" s="0" t="n">
        <v>2578.85</v>
      </c>
      <c r="C2564" s="0" t="n">
        <v>334.18</v>
      </c>
      <c r="D2564" s="3" t="n">
        <f aca="false">B2564*100/B$2</f>
        <v>178.200751817353</v>
      </c>
      <c r="E2564" s="3" t="n">
        <f aca="false">C2564*100/C$2</f>
        <v>142.022949426264</v>
      </c>
      <c r="F2564" s="0" t="n">
        <v>176.160894441527</v>
      </c>
      <c r="G2564" s="0" t="n">
        <v>125.275504517789</v>
      </c>
      <c r="H2564" s="0" t="n">
        <v>134.411389715257</v>
      </c>
      <c r="I2564" s="0" t="n">
        <v>9.13588519746844</v>
      </c>
    </row>
    <row r="2565" customFormat="false" ht="13.8" hidden="false" customHeight="false" outlineLevel="0" collapsed="false">
      <c r="A2565" s="2" t="n">
        <v>43059</v>
      </c>
      <c r="B2565" s="0" t="n">
        <v>2582.14</v>
      </c>
      <c r="C2565" s="0" t="n">
        <v>332.92</v>
      </c>
      <c r="D2565" s="3" t="n">
        <f aca="false">B2565*100/B$2</f>
        <v>178.428093645485</v>
      </c>
      <c r="E2565" s="3" t="n">
        <f aca="false">C2565*100/C$2</f>
        <v>141.48746281343</v>
      </c>
      <c r="F2565" s="0" t="n">
        <v>175.843030487299</v>
      </c>
      <c r="G2565" s="0" t="n">
        <v>125.169325174571</v>
      </c>
      <c r="H2565" s="0" t="n">
        <v>134.411389715257</v>
      </c>
      <c r="I2565" s="0" t="n">
        <v>9.24206454068565</v>
      </c>
    </row>
    <row r="2566" customFormat="false" ht="13.8" hidden="false" customHeight="false" outlineLevel="0" collapsed="false">
      <c r="A2566" s="2" t="n">
        <v>43060</v>
      </c>
      <c r="B2566" s="0" t="n">
        <v>2599.03</v>
      </c>
      <c r="C2566" s="0" t="n">
        <v>333.51</v>
      </c>
      <c r="D2566" s="3" t="n">
        <f aca="false">B2566*100/B$2</f>
        <v>179.595207164377</v>
      </c>
      <c r="E2566" s="3" t="n">
        <f aca="false">C2566*100/C$2</f>
        <v>141.738206544836</v>
      </c>
      <c r="F2566" s="0" t="n">
        <v>176.251416567622</v>
      </c>
      <c r="G2566" s="0" t="n">
        <v>125.30574254814</v>
      </c>
      <c r="H2566" s="0" t="n">
        <v>137.054823629409</v>
      </c>
      <c r="I2566" s="0" t="n">
        <v>11.7490810812696</v>
      </c>
    </row>
    <row r="2567" customFormat="false" ht="13.8" hidden="false" customHeight="false" outlineLevel="0" collapsed="false">
      <c r="A2567" s="2" t="n">
        <v>43061</v>
      </c>
      <c r="B2567" s="0" t="n">
        <v>2597.08</v>
      </c>
      <c r="C2567" s="0" t="n">
        <v>335.49</v>
      </c>
      <c r="D2567" s="3" t="n">
        <f aca="false">B2567*100/B$2</f>
        <v>179.460460488128</v>
      </c>
      <c r="E2567" s="3" t="n">
        <f aca="false">C2567*100/C$2</f>
        <v>142.579685507862</v>
      </c>
      <c r="F2567" s="0" t="n">
        <v>176.56928052185</v>
      </c>
      <c r="G2567" s="0" t="n">
        <v>125.411921891357</v>
      </c>
      <c r="H2567" s="0" t="n">
        <v>138.597535061623</v>
      </c>
      <c r="I2567" s="0" t="n">
        <v>13.1856131702666</v>
      </c>
    </row>
    <row r="2568" customFormat="false" ht="13.8" hidden="false" customHeight="false" outlineLevel="0" collapsed="false">
      <c r="A2568" s="2" t="n">
        <v>43062</v>
      </c>
      <c r="B2568" s="0" t="n">
        <v>2597.08</v>
      </c>
      <c r="C2568" s="0" t="n">
        <v>334.51</v>
      </c>
      <c r="D2568" s="3" t="n">
        <f aca="false">B2568*100/B$2</f>
        <v>179.460460488128</v>
      </c>
      <c r="E2568" s="3" t="n">
        <f aca="false">C2568*100/C$2</f>
        <v>142.163195920102</v>
      </c>
      <c r="F2568" s="0" t="n">
        <v>176.27145581691</v>
      </c>
      <c r="G2568" s="0" t="n">
        <v>125.312436463256</v>
      </c>
      <c r="H2568" s="0" t="n">
        <v>139.443263918402</v>
      </c>
      <c r="I2568" s="0" t="n">
        <v>14.1308274551465</v>
      </c>
    </row>
    <row r="2569" customFormat="false" ht="13.8" hidden="false" customHeight="false" outlineLevel="0" collapsed="false">
      <c r="A2569" s="2" t="n">
        <v>43063</v>
      </c>
      <c r="B2569" s="0" t="n">
        <v>2602.42</v>
      </c>
      <c r="C2569" s="0" t="n">
        <v>335.44</v>
      </c>
      <c r="D2569" s="3" t="n">
        <f aca="false">B2569*100/B$2</f>
        <v>179.829459078471</v>
      </c>
      <c r="E2569" s="3" t="n">
        <f aca="false">C2569*100/C$2</f>
        <v>142.558436039099</v>
      </c>
      <c r="F2569" s="0" t="n">
        <v>176.426241742447</v>
      </c>
      <c r="G2569" s="0" t="n">
        <v>125.364141186909</v>
      </c>
      <c r="H2569" s="0" t="n">
        <v>139.1202719932</v>
      </c>
      <c r="I2569" s="0" t="n">
        <v>13.7561308062911</v>
      </c>
    </row>
    <row r="2570" customFormat="false" ht="13.8" hidden="false" customHeight="false" outlineLevel="0" collapsed="false">
      <c r="A2570" s="2" t="n">
        <v>43066</v>
      </c>
      <c r="B2570" s="0" t="n">
        <v>2601.42</v>
      </c>
      <c r="C2570" s="0" t="n">
        <v>329.53</v>
      </c>
      <c r="D2570" s="3" t="n">
        <f aca="false">B2570*100/B$2</f>
        <v>179.760358218856</v>
      </c>
      <c r="E2570" s="3" t="n">
        <f aca="false">C2570*100/C$2</f>
        <v>140.046748831279</v>
      </c>
      <c r="F2570" s="0" t="n">
        <v>176.735122584925</v>
      </c>
      <c r="G2570" s="0" t="n">
        <v>125.467319809557</v>
      </c>
      <c r="H2570" s="0" t="n">
        <v>139.320016999575</v>
      </c>
      <c r="I2570" s="0" t="n">
        <v>13.8526971900179</v>
      </c>
    </row>
    <row r="2571" customFormat="false" ht="13.8" hidden="false" customHeight="false" outlineLevel="0" collapsed="false">
      <c r="A2571" s="2" t="n">
        <v>43067</v>
      </c>
      <c r="B2571" s="0" t="n">
        <v>2627.04</v>
      </c>
      <c r="C2571" s="0" t="n">
        <v>330.99</v>
      </c>
      <c r="D2571" s="3" t="n">
        <f aca="false">B2571*100/B$2</f>
        <v>181.530722242185</v>
      </c>
      <c r="E2571" s="3" t="n">
        <f aca="false">C2571*100/C$2</f>
        <v>140.667233319167</v>
      </c>
      <c r="F2571" s="0" t="n">
        <v>176.853976063462</v>
      </c>
      <c r="G2571" s="0" t="n">
        <v>125.507021650934</v>
      </c>
      <c r="H2571" s="0" t="n">
        <v>139.613259668508</v>
      </c>
      <c r="I2571" s="0" t="n">
        <v>14.1062380175743</v>
      </c>
    </row>
    <row r="2572" customFormat="false" ht="13.8" hidden="false" customHeight="false" outlineLevel="0" collapsed="false">
      <c r="A2572" s="2" t="n">
        <v>43068</v>
      </c>
      <c r="B2572" s="0" t="n">
        <v>2626.07</v>
      </c>
      <c r="C2572" s="0" t="n">
        <v>330.68</v>
      </c>
      <c r="D2572" s="3" t="n">
        <f aca="false">B2572*100/B$2</f>
        <v>181.463694408358</v>
      </c>
      <c r="E2572" s="3" t="n">
        <f aca="false">C2572*100/C$2</f>
        <v>140.535486612835</v>
      </c>
      <c r="F2572" s="0" t="n">
        <v>176.98526769673</v>
      </c>
      <c r="G2572" s="0" t="n">
        <v>125.550878336176</v>
      </c>
      <c r="H2572" s="0" t="n">
        <v>139.566510837229</v>
      </c>
      <c r="I2572" s="0" t="n">
        <v>14.0156325010532</v>
      </c>
    </row>
    <row r="2573" customFormat="false" ht="13.8" hidden="false" customHeight="false" outlineLevel="0" collapsed="false">
      <c r="A2573" s="2" t="n">
        <v>43069</v>
      </c>
      <c r="B2573" s="0" t="n">
        <v>2647.58</v>
      </c>
      <c r="C2573" s="0" t="n">
        <v>325.25</v>
      </c>
      <c r="D2573" s="3" t="n">
        <f aca="false">B2573*100/B$2</f>
        <v>182.950053898671</v>
      </c>
      <c r="E2573" s="3" t="n">
        <f aca="false">C2573*100/C$2</f>
        <v>138.227794305142</v>
      </c>
      <c r="F2573" s="0" t="n">
        <v>177.043312418807</v>
      </c>
      <c r="G2573" s="0" t="n">
        <v>125.570267607546</v>
      </c>
      <c r="H2573" s="0" t="n">
        <v>138.746281342966</v>
      </c>
      <c r="I2573" s="0" t="n">
        <v>13.1760137354205</v>
      </c>
    </row>
    <row r="2574" customFormat="false" ht="13.8" hidden="false" customHeight="false" outlineLevel="0" collapsed="false">
      <c r="A2574" s="2" t="n">
        <v>43070</v>
      </c>
      <c r="B2574" s="0" t="n">
        <v>2642.22</v>
      </c>
      <c r="C2574" s="0" t="n">
        <v>324.78</v>
      </c>
      <c r="D2574" s="3" t="n">
        <f aca="false">B2574*100/B$2</f>
        <v>182.579673291136</v>
      </c>
      <c r="E2574" s="3" t="n">
        <f aca="false">C2574*100/C$2</f>
        <v>138.028049298768</v>
      </c>
      <c r="F2574" s="0" t="n">
        <v>177.949224688355</v>
      </c>
      <c r="G2574" s="0" t="n">
        <v>125.872878735715</v>
      </c>
      <c r="H2574" s="0" t="n">
        <v>139.774755631109</v>
      </c>
      <c r="I2574" s="0" t="n">
        <v>13.9018768953943</v>
      </c>
    </row>
    <row r="2575" customFormat="false" ht="13.8" hidden="false" customHeight="false" outlineLevel="0" collapsed="false">
      <c r="A2575" s="2" t="n">
        <v>43073</v>
      </c>
      <c r="B2575" s="0" t="n">
        <v>2639.44</v>
      </c>
      <c r="C2575" s="0" t="n">
        <v>328.77</v>
      </c>
      <c r="D2575" s="3" t="n">
        <f aca="false">B2575*100/B$2</f>
        <v>182.387572901407</v>
      </c>
      <c r="E2575" s="3" t="n">
        <f aca="false">C2575*100/C$2</f>
        <v>139.723756906077</v>
      </c>
      <c r="F2575" s="0" t="n">
        <v>177.242322894497</v>
      </c>
      <c r="G2575" s="0" t="n">
        <v>125.636745109386</v>
      </c>
      <c r="H2575" s="0" t="n">
        <v>140.012749681258</v>
      </c>
      <c r="I2575" s="0" t="n">
        <v>14.3760045718717</v>
      </c>
    </row>
    <row r="2576" customFormat="false" ht="13.8" hidden="false" customHeight="false" outlineLevel="0" collapsed="false">
      <c r="A2576" s="2" t="n">
        <v>43074</v>
      </c>
      <c r="B2576" s="0" t="n">
        <v>2629.57</v>
      </c>
      <c r="C2576" s="0" t="n">
        <v>329.61</v>
      </c>
      <c r="D2576" s="3" t="n">
        <f aca="false">B2576*100/B$2</f>
        <v>181.70554741701</v>
      </c>
      <c r="E2576" s="3" t="n">
        <f aca="false">C2576*100/C$2</f>
        <v>140.0807479813</v>
      </c>
      <c r="F2576" s="0" t="n">
        <v>177.529091461898</v>
      </c>
      <c r="G2576" s="0" t="n">
        <v>125.732537342941</v>
      </c>
      <c r="H2576" s="0" t="n">
        <v>139.804504887378</v>
      </c>
      <c r="I2576" s="0" t="n">
        <v>14.0719675444369</v>
      </c>
    </row>
    <row r="2577" customFormat="false" ht="13.8" hidden="false" customHeight="false" outlineLevel="0" collapsed="false">
      <c r="A2577" s="2" t="n">
        <v>43075</v>
      </c>
      <c r="B2577" s="0" t="n">
        <v>2629.27</v>
      </c>
      <c r="C2577" s="0" t="n">
        <v>324.52</v>
      </c>
      <c r="D2577" s="3" t="n">
        <f aca="false">B2577*100/B$2</f>
        <v>181.684817159125</v>
      </c>
      <c r="E2577" s="3" t="n">
        <f aca="false">C2577*100/C$2</f>
        <v>137.917552061198</v>
      </c>
      <c r="F2577" s="0" t="n">
        <v>176.701263163714</v>
      </c>
      <c r="G2577" s="0" t="n">
        <v>125.456009401258</v>
      </c>
      <c r="H2577" s="0" t="n">
        <v>139.953251168721</v>
      </c>
      <c r="I2577" s="0" t="n">
        <v>14.4972417674629</v>
      </c>
    </row>
    <row r="2578" customFormat="false" ht="13.8" hidden="false" customHeight="false" outlineLevel="0" collapsed="false">
      <c r="A2578" s="2" t="n">
        <v>43076</v>
      </c>
      <c r="B2578" s="0" t="n">
        <v>2636.98</v>
      </c>
      <c r="C2578" s="0" t="n">
        <v>323.59</v>
      </c>
      <c r="D2578" s="3" t="n">
        <f aca="false">B2578*100/B$2</f>
        <v>182.217584786755</v>
      </c>
      <c r="E2578" s="3" t="n">
        <f aca="false">C2578*100/C$2</f>
        <v>137.522311942201</v>
      </c>
      <c r="F2578" s="0" t="n">
        <v>176.925840957462</v>
      </c>
      <c r="G2578" s="0" t="n">
        <v>125.531027415487</v>
      </c>
      <c r="H2578" s="0" t="n">
        <v>138.967275818105</v>
      </c>
      <c r="I2578" s="0" t="n">
        <v>13.4362484026171</v>
      </c>
    </row>
    <row r="2579" customFormat="false" ht="13.8" hidden="false" customHeight="false" outlineLevel="0" collapsed="false">
      <c r="A2579" s="2" t="n">
        <v>43077</v>
      </c>
      <c r="B2579" s="0" t="n">
        <v>2651.5</v>
      </c>
      <c r="C2579" s="0" t="n">
        <v>324.68</v>
      </c>
      <c r="D2579" s="3" t="n">
        <f aca="false">B2579*100/B$2</f>
        <v>183.22092926836</v>
      </c>
      <c r="E2579" s="3" t="n">
        <f aca="false">C2579*100/C$2</f>
        <v>137.985550361241</v>
      </c>
      <c r="F2579" s="0" t="n">
        <v>178.354155725697</v>
      </c>
      <c r="G2579" s="0" t="n">
        <v>126.008141985987</v>
      </c>
      <c r="H2579" s="0" t="n">
        <v>139.9192520187</v>
      </c>
      <c r="I2579" s="0" t="n">
        <v>13.9111100327122</v>
      </c>
    </row>
    <row r="2580" customFormat="false" ht="13.8" hidden="false" customHeight="false" outlineLevel="0" collapsed="false">
      <c r="A2580" s="2" t="n">
        <v>43080</v>
      </c>
      <c r="B2580" s="0" t="n">
        <v>2659.99</v>
      </c>
      <c r="C2580" s="0" t="n">
        <v>325.09</v>
      </c>
      <c r="D2580" s="3" t="n">
        <f aca="false">B2580*100/B$2</f>
        <v>183.807595566489</v>
      </c>
      <c r="E2580" s="3" t="n">
        <f aca="false">C2580*100/C$2</f>
        <v>138.1597960051</v>
      </c>
      <c r="F2580" s="0" t="n">
        <v>177.784764642472</v>
      </c>
      <c r="G2580" s="0" t="n">
        <v>125.817942466833</v>
      </c>
      <c r="H2580" s="0" t="n">
        <v>140.407989800255</v>
      </c>
      <c r="I2580" s="0" t="n">
        <v>14.590047333422</v>
      </c>
    </row>
    <row r="2581" customFormat="false" ht="13.8" hidden="false" customHeight="false" outlineLevel="0" collapsed="false">
      <c r="A2581" s="2" t="n">
        <v>43081</v>
      </c>
      <c r="B2581" s="0" t="n">
        <v>2664.11</v>
      </c>
      <c r="C2581" s="0" t="n">
        <v>324.07</v>
      </c>
      <c r="D2581" s="3" t="n">
        <f aca="false">B2581*100/B$2</f>
        <v>184.092291108101</v>
      </c>
      <c r="E2581" s="3" t="n">
        <f aca="false">C2581*100/C$2</f>
        <v>137.726306842329</v>
      </c>
      <c r="F2581" s="0" t="n">
        <v>177.952679731336</v>
      </c>
      <c r="G2581" s="0" t="n">
        <v>125.874032859011</v>
      </c>
      <c r="H2581" s="0" t="n">
        <v>141.763705907352</v>
      </c>
      <c r="I2581" s="0" t="n">
        <v>15.8896730483415</v>
      </c>
    </row>
    <row r="2582" customFormat="false" ht="13.8" hidden="false" customHeight="false" outlineLevel="0" collapsed="false">
      <c r="A2582" s="2" t="n">
        <v>43082</v>
      </c>
      <c r="B2582" s="0" t="n">
        <v>2662.85</v>
      </c>
      <c r="C2582" s="0" t="n">
        <v>326.18</v>
      </c>
      <c r="D2582" s="3" t="n">
        <f aca="false">B2582*100/B$2</f>
        <v>184.005224024987</v>
      </c>
      <c r="E2582" s="3" t="n">
        <f aca="false">C2582*100/C$2</f>
        <v>138.623034424139</v>
      </c>
      <c r="F2582" s="0" t="n">
        <v>178.235993255756</v>
      </c>
      <c r="G2582" s="0" t="n">
        <v>125.96867096927</v>
      </c>
      <c r="H2582" s="0" t="n">
        <v>143.969400764981</v>
      </c>
      <c r="I2582" s="0" t="n">
        <v>18.0007297957113</v>
      </c>
    </row>
    <row r="2583" customFormat="false" ht="13.8" hidden="false" customHeight="false" outlineLevel="0" collapsed="false">
      <c r="A2583" s="2" t="n">
        <v>43083</v>
      </c>
      <c r="B2583" s="0" t="n">
        <v>2652.01</v>
      </c>
      <c r="C2583" s="0" t="n">
        <v>324.74</v>
      </c>
      <c r="D2583" s="3" t="n">
        <f aca="false">B2583*100/B$2</f>
        <v>183.256170706764</v>
      </c>
      <c r="E2583" s="3" t="n">
        <f aca="false">C2583*100/C$2</f>
        <v>138.011049723757</v>
      </c>
      <c r="F2583" s="0" t="n">
        <v>178.269852676967</v>
      </c>
      <c r="G2583" s="0" t="n">
        <v>125.979981377569</v>
      </c>
      <c r="H2583" s="0" t="n">
        <v>143.446663833404</v>
      </c>
      <c r="I2583" s="0" t="n">
        <v>17.4666824558353</v>
      </c>
    </row>
    <row r="2584" customFormat="false" ht="13.8" hidden="false" customHeight="false" outlineLevel="0" collapsed="false">
      <c r="A2584" s="2" t="n">
        <v>43084</v>
      </c>
      <c r="B2584" s="0" t="n">
        <v>2675.81</v>
      </c>
      <c r="C2584" s="0" t="n">
        <v>326.23</v>
      </c>
      <c r="D2584" s="3" t="n">
        <f aca="false">B2584*100/B$2</f>
        <v>184.900771165593</v>
      </c>
      <c r="E2584" s="3" t="n">
        <f aca="false">C2584*100/C$2</f>
        <v>138.644283892903</v>
      </c>
      <c r="F2584" s="0" t="n">
        <v>178.821968545289</v>
      </c>
      <c r="G2584" s="0" t="n">
        <v>126.164410280244</v>
      </c>
      <c r="H2584" s="0" t="n">
        <v>143.999150021249</v>
      </c>
      <c r="I2584" s="0" t="n">
        <v>17.8347397410055</v>
      </c>
    </row>
    <row r="2585" customFormat="false" ht="13.8" hidden="false" customHeight="false" outlineLevel="0" collapsed="false">
      <c r="A2585" s="2" t="n">
        <v>43087</v>
      </c>
      <c r="B2585" s="0" t="n">
        <v>2690.16</v>
      </c>
      <c r="C2585" s="0" t="n">
        <v>326.6</v>
      </c>
      <c r="D2585" s="3" t="n">
        <f aca="false">B2585*100/B$2</f>
        <v>185.892368501064</v>
      </c>
      <c r="E2585" s="3" t="n">
        <f aca="false">C2585*100/C$2</f>
        <v>138.801529961751</v>
      </c>
      <c r="F2585" s="0" t="n">
        <v>179.049310373421</v>
      </c>
      <c r="G2585" s="0" t="n">
        <v>126.24035159311</v>
      </c>
      <c r="H2585" s="0" t="n">
        <v>143.39141521462</v>
      </c>
      <c r="I2585" s="0" t="n">
        <v>17.1510636215095</v>
      </c>
    </row>
    <row r="2586" customFormat="false" ht="13.8" hidden="false" customHeight="false" outlineLevel="0" collapsed="false">
      <c r="A2586" s="2" t="n">
        <v>43088</v>
      </c>
      <c r="B2586" s="0" t="n">
        <v>2681.47</v>
      </c>
      <c r="C2586" s="0" t="n">
        <v>326.76</v>
      </c>
      <c r="D2586" s="3" t="n">
        <f aca="false">B2586*100/B$2</f>
        <v>185.291882031012</v>
      </c>
      <c r="E2586" s="3" t="n">
        <f aca="false">C2586*100/C$2</f>
        <v>138.869528261793</v>
      </c>
      <c r="F2586" s="0" t="n">
        <v>179.01545095221</v>
      </c>
      <c r="G2586" s="0" t="n">
        <v>126.229041184811</v>
      </c>
      <c r="H2586" s="0" t="n">
        <v>143.11942201445</v>
      </c>
      <c r="I2586" s="0" t="n">
        <v>16.8903808296387</v>
      </c>
    </row>
    <row r="2587" customFormat="false" ht="13.8" hidden="false" customHeight="false" outlineLevel="0" collapsed="false">
      <c r="A2587" s="2" t="n">
        <v>43089</v>
      </c>
      <c r="B2587" s="0" t="n">
        <v>2679.25</v>
      </c>
      <c r="C2587" s="0" t="n">
        <v>325.79</v>
      </c>
      <c r="D2587" s="3" t="n">
        <f aca="false">B2587*100/B$2</f>
        <v>185.138478122668</v>
      </c>
      <c r="E2587" s="3" t="n">
        <f aca="false">C2587*100/C$2</f>
        <v>138.457288567786</v>
      </c>
      <c r="F2587" s="0" t="n">
        <v>179.273888167169</v>
      </c>
      <c r="G2587" s="0" t="n">
        <v>126.31536960734</v>
      </c>
      <c r="H2587" s="0" t="n">
        <v>143.561410964726</v>
      </c>
      <c r="I2587" s="0" t="n">
        <v>17.2460413573862</v>
      </c>
    </row>
    <row r="2588" customFormat="false" ht="13.8" hidden="false" customHeight="false" outlineLevel="0" collapsed="false">
      <c r="A2588" s="2" t="n">
        <v>43090</v>
      </c>
      <c r="B2588" s="0" t="n">
        <v>2684.57</v>
      </c>
      <c r="C2588" s="0" t="n">
        <v>319.72</v>
      </c>
      <c r="D2588" s="3" t="n">
        <f aca="false">B2588*100/B$2</f>
        <v>185.506094695818</v>
      </c>
      <c r="E2588" s="3" t="n">
        <f aca="false">C2588*100/C$2</f>
        <v>135.877603059924</v>
      </c>
      <c r="F2588" s="0" t="n">
        <v>178.599463777329</v>
      </c>
      <c r="G2588" s="0" t="n">
        <v>126.090084739992</v>
      </c>
      <c r="H2588" s="0" t="n">
        <v>143.280917977051</v>
      </c>
      <c r="I2588" s="0" t="n">
        <v>17.1908332370587</v>
      </c>
    </row>
    <row r="2589" customFormat="false" ht="13.8" hidden="false" customHeight="false" outlineLevel="0" collapsed="false">
      <c r="A2589" s="2" t="n">
        <v>43091</v>
      </c>
      <c r="B2589" s="0" t="n">
        <v>2683.34</v>
      </c>
      <c r="C2589" s="0" t="n">
        <v>321.21</v>
      </c>
      <c r="D2589" s="3" t="n">
        <f aca="false">B2589*100/B$2</f>
        <v>185.421100638492</v>
      </c>
      <c r="E2589" s="3" t="n">
        <f aca="false">C2589*100/C$2</f>
        <v>136.510837229069</v>
      </c>
      <c r="F2589" s="0" t="n">
        <v>178.439149783023</v>
      </c>
      <c r="G2589" s="0" t="n">
        <v>126.036533419065</v>
      </c>
      <c r="H2589" s="0" t="n">
        <v>142.779430514237</v>
      </c>
      <c r="I2589" s="0" t="n">
        <v>16.7428970951722</v>
      </c>
    </row>
    <row r="2590" customFormat="false" ht="13.8" hidden="false" customHeight="false" outlineLevel="0" collapsed="false">
      <c r="A2590" s="2" t="n">
        <v>43095</v>
      </c>
      <c r="B2590" s="0" t="n">
        <v>2680.5</v>
      </c>
      <c r="C2590" s="0" t="n">
        <v>318.89</v>
      </c>
      <c r="D2590" s="3" t="n">
        <f aca="false">B2590*100/B$2</f>
        <v>185.224854197186</v>
      </c>
      <c r="E2590" s="3" t="n">
        <f aca="false">C2590*100/C$2</f>
        <v>135.524861878453</v>
      </c>
      <c r="F2590" s="0" t="n">
        <v>178.614665966445</v>
      </c>
      <c r="G2590" s="0" t="n">
        <v>126.095162882494</v>
      </c>
      <c r="H2590" s="0" t="n">
        <v>142.086697832554</v>
      </c>
      <c r="I2590" s="0" t="n">
        <v>15.9915349500606</v>
      </c>
    </row>
    <row r="2591" customFormat="false" ht="13.8" hidden="false" customHeight="false" outlineLevel="0" collapsed="false">
      <c r="A2591" s="2" t="n">
        <v>43096</v>
      </c>
      <c r="B2591" s="0" t="n">
        <v>2682.62</v>
      </c>
      <c r="C2591" s="0" t="n">
        <v>320.25</v>
      </c>
      <c r="D2591" s="3" t="n">
        <f aca="false">B2591*100/B$2</f>
        <v>185.371348019569</v>
      </c>
      <c r="E2591" s="3" t="n">
        <f aca="false">C2591*100/C$2</f>
        <v>136.102847428814</v>
      </c>
      <c r="F2591" s="0" t="n">
        <v>178.202133834545</v>
      </c>
      <c r="G2591" s="0" t="n">
        <v>125.95736056097</v>
      </c>
      <c r="H2591" s="0" t="n">
        <v>141.784955376116</v>
      </c>
      <c r="I2591" s="0" t="n">
        <v>15.8275948151452</v>
      </c>
    </row>
    <row r="2592" customFormat="false" ht="13.8" hidden="false" customHeight="false" outlineLevel="0" collapsed="false">
      <c r="A2592" s="2" t="n">
        <v>43097</v>
      </c>
      <c r="B2592" s="0" t="n">
        <v>2687.54</v>
      </c>
      <c r="C2592" s="0" t="n">
        <v>324.74</v>
      </c>
      <c r="D2592" s="3" t="n">
        <f aca="false">B2592*100/B$2</f>
        <v>185.711324248874</v>
      </c>
      <c r="E2592" s="3" t="n">
        <f aca="false">C2592*100/C$2</f>
        <v>138.011049723757</v>
      </c>
      <c r="F2592" s="0" t="n">
        <v>177.217446585036</v>
      </c>
      <c r="G2592" s="0" t="n">
        <v>125.628435421656</v>
      </c>
      <c r="H2592" s="0" t="n">
        <v>141.16872078198</v>
      </c>
      <c r="I2592" s="0" t="n">
        <v>15.5402853603242</v>
      </c>
    </row>
    <row r="2593" customFormat="false" ht="13.8" hidden="false" customHeight="false" outlineLevel="0" collapsed="false">
      <c r="A2593" s="2" t="n">
        <v>43098</v>
      </c>
      <c r="B2593" s="0" t="n">
        <v>2673.61</v>
      </c>
      <c r="C2593" s="0" t="n">
        <v>324.74</v>
      </c>
      <c r="D2593" s="3" t="n">
        <f aca="false">B2593*100/B$2</f>
        <v>184.748749274441</v>
      </c>
      <c r="E2593" s="3" t="n">
        <f aca="false">C2593*100/C$2</f>
        <v>138.011049723757</v>
      </c>
      <c r="F2593" s="0" t="n">
        <v>178.669946654136</v>
      </c>
      <c r="G2593" s="0" t="n">
        <v>126.113628855227</v>
      </c>
      <c r="H2593" s="0" t="n">
        <v>142.099447513812</v>
      </c>
      <c r="I2593" s="0" t="n">
        <v>15.9858186585851</v>
      </c>
    </row>
    <row r="2594" customFormat="false" ht="16.5" hidden="false" customHeight="false" outlineLevel="0" collapsed="false">
      <c r="F2594" s="0" t="n">
        <v>178.200751817353</v>
      </c>
      <c r="G2594" s="0" t="n">
        <v>125.956898911652</v>
      </c>
      <c r="H2594" s="0" t="n">
        <v>142.022949426264</v>
      </c>
      <c r="I2594" s="0" t="n">
        <v>16.0660505146123</v>
      </c>
    </row>
    <row r="2595" customFormat="false" ht="16.5" hidden="false" customHeight="false" outlineLevel="0" collapsed="false">
      <c r="F2595" s="0" t="n">
        <v>178.428093645485</v>
      </c>
      <c r="G2595" s="0" t="n">
        <v>126.032840224518</v>
      </c>
      <c r="H2595" s="0" t="n">
        <v>141.48746281343</v>
      </c>
      <c r="I2595" s="0" t="n">
        <v>15.4546225889114</v>
      </c>
    </row>
    <row r="2596" customFormat="false" ht="16.5" hidden="false" customHeight="false" outlineLevel="0" collapsed="false">
      <c r="F2596" s="0" t="n">
        <v>179.595207164377</v>
      </c>
      <c r="G2596" s="0" t="n">
        <v>126.422703073853</v>
      </c>
      <c r="H2596" s="0" t="n">
        <v>141.738206544836</v>
      </c>
      <c r="I2596" s="0" t="n">
        <v>15.3155034709837</v>
      </c>
    </row>
    <row r="2597" customFormat="false" ht="16.5" hidden="false" customHeight="false" outlineLevel="0" collapsed="false">
      <c r="F2597" s="0" t="n">
        <v>179.460460488128</v>
      </c>
      <c r="G2597" s="0" t="n">
        <v>126.377692265315</v>
      </c>
      <c r="H2597" s="0" t="n">
        <v>142.579685507862</v>
      </c>
      <c r="I2597" s="0" t="n">
        <v>16.2019932425473</v>
      </c>
    </row>
    <row r="2598" customFormat="false" ht="16.5" hidden="false" customHeight="false" outlineLevel="0" collapsed="false">
      <c r="F2598" s="0" t="n">
        <v>179.460460488128</v>
      </c>
      <c r="G2598" s="0" t="n">
        <v>126.377692265315</v>
      </c>
      <c r="H2598" s="0" t="n">
        <v>142.163195920102</v>
      </c>
      <c r="I2598" s="0" t="n">
        <v>15.785503654787</v>
      </c>
    </row>
    <row r="2599" customFormat="false" ht="16.5" hidden="false" customHeight="false" outlineLevel="0" collapsed="false">
      <c r="F2599" s="0" t="n">
        <v>179.829459078471</v>
      </c>
      <c r="G2599" s="0" t="n">
        <v>126.500952633311</v>
      </c>
      <c r="H2599" s="0" t="n">
        <v>142.558436039099</v>
      </c>
      <c r="I2599" s="0" t="n">
        <v>16.0574834057884</v>
      </c>
    </row>
    <row r="2600" customFormat="false" ht="16.5" hidden="false" customHeight="false" outlineLevel="0" collapsed="false">
      <c r="F2600" s="0" t="n">
        <v>179.760358218856</v>
      </c>
      <c r="G2600" s="0" t="n">
        <v>126.477870167394</v>
      </c>
      <c r="H2600" s="0" t="n">
        <v>140.046748831279</v>
      </c>
      <c r="I2600" s="0" t="n">
        <v>13.5688786638854</v>
      </c>
    </row>
    <row r="2601" customFormat="false" ht="16.5" hidden="false" customHeight="false" outlineLevel="0" collapsed="false">
      <c r="F2601" s="0" t="n">
        <v>181.530722242185</v>
      </c>
      <c r="G2601" s="0" t="n">
        <v>127.069242944182</v>
      </c>
      <c r="H2601" s="0" t="n">
        <v>140.667233319167</v>
      </c>
      <c r="I2601" s="0" t="n">
        <v>13.5979903749853</v>
      </c>
    </row>
    <row r="2602" customFormat="false" ht="16.5" hidden="false" customHeight="false" outlineLevel="0" collapsed="false">
      <c r="F2602" s="0" t="n">
        <v>181.463694408358</v>
      </c>
      <c r="G2602" s="0" t="n">
        <v>127.046852952242</v>
      </c>
      <c r="H2602" s="0" t="n">
        <v>140.535486612835</v>
      </c>
      <c r="I2602" s="0" t="n">
        <v>13.4886336605922</v>
      </c>
    </row>
    <row r="2603" customFormat="false" ht="16.5" hidden="false" customHeight="false" outlineLevel="0" collapsed="false">
      <c r="F2603" s="0" t="n">
        <v>182.950053898671</v>
      </c>
      <c r="G2603" s="0" t="n">
        <v>127.543356794112</v>
      </c>
      <c r="H2603" s="0" t="n">
        <v>138.227794305142</v>
      </c>
      <c r="I2603" s="0" t="n">
        <v>10.6844375110299</v>
      </c>
    </row>
    <row r="2604" customFormat="false" ht="16.5" hidden="false" customHeight="false" outlineLevel="0" collapsed="false">
      <c r="F2604" s="0" t="n">
        <v>182.579673291136</v>
      </c>
      <c r="G2604" s="0" t="n">
        <v>127.419634776798</v>
      </c>
      <c r="H2604" s="0" t="n">
        <v>138.028049298768</v>
      </c>
      <c r="I2604" s="0" t="n">
        <v>10.608414521969</v>
      </c>
    </row>
    <row r="2605" customFormat="false" ht="16.5" hidden="false" customHeight="false" outlineLevel="0" collapsed="false">
      <c r="F2605" s="0" t="n">
        <v>182.387572901407</v>
      </c>
      <c r="G2605" s="0" t="n">
        <v>127.35546552155</v>
      </c>
      <c r="H2605" s="0" t="n">
        <v>139.723756906077</v>
      </c>
      <c r="I2605" s="0" t="n">
        <v>12.3682913845275</v>
      </c>
    </row>
    <row r="2606" customFormat="false" ht="16.5" hidden="false" customHeight="false" outlineLevel="0" collapsed="false">
      <c r="F2606" s="0" t="n">
        <v>181.70554741701</v>
      </c>
      <c r="G2606" s="0" t="n">
        <v>127.127641582951</v>
      </c>
      <c r="H2606" s="0" t="n">
        <v>140.0807479813</v>
      </c>
      <c r="I2606" s="0" t="n">
        <v>12.9531063983493</v>
      </c>
    </row>
    <row r="2607" customFormat="false" ht="16.5" hidden="false" customHeight="false" outlineLevel="0" collapsed="false">
      <c r="F2607" s="0" t="n">
        <v>181.684817159125</v>
      </c>
      <c r="G2607" s="0" t="n">
        <v>127.120716843176</v>
      </c>
      <c r="H2607" s="0" t="n">
        <v>137.917552061198</v>
      </c>
      <c r="I2607" s="0" t="n">
        <v>10.7968352180223</v>
      </c>
    </row>
    <row r="2608" customFormat="false" ht="16.5" hidden="false" customHeight="false" outlineLevel="0" collapsed="false">
      <c r="F2608" s="0" t="n">
        <v>182.217584786755</v>
      </c>
      <c r="G2608" s="0" t="n">
        <v>127.298682655395</v>
      </c>
      <c r="H2608" s="0" t="n">
        <v>137.522311942201</v>
      </c>
      <c r="I2608" s="0" t="n">
        <v>10.2236292868069</v>
      </c>
    </row>
    <row r="2609" customFormat="false" ht="16.5" hidden="false" customHeight="false" outlineLevel="0" collapsed="false">
      <c r="F2609" s="0" t="n">
        <v>183.22092926836</v>
      </c>
      <c r="G2609" s="0" t="n">
        <v>127.633840060506</v>
      </c>
      <c r="H2609" s="0" t="n">
        <v>137.985550361241</v>
      </c>
      <c r="I2609" s="0" t="n">
        <v>10.3517103007348</v>
      </c>
    </row>
    <row r="2610" customFormat="false" ht="16.5" hidden="false" customHeight="false" outlineLevel="0" collapsed="false">
      <c r="F2610" s="0" t="n">
        <v>183.807595566489</v>
      </c>
      <c r="G2610" s="0" t="n">
        <v>127.82981019614</v>
      </c>
      <c r="H2610" s="0" t="n">
        <v>138.1597960051</v>
      </c>
      <c r="I2610" s="0" t="n">
        <v>10.3299858089602</v>
      </c>
    </row>
    <row r="2611" customFormat="false" ht="16.5" hidden="false" customHeight="false" outlineLevel="0" collapsed="false">
      <c r="F2611" s="0" t="n">
        <v>184.092291108101</v>
      </c>
      <c r="G2611" s="0" t="n">
        <v>127.924909955717</v>
      </c>
      <c r="H2611" s="0" t="n">
        <v>137.726306842329</v>
      </c>
      <c r="I2611" s="0" t="n">
        <v>9.80139688661212</v>
      </c>
    </row>
    <row r="2612" customFormat="false" ht="16.5" hidden="false" customHeight="false" outlineLevel="0" collapsed="false">
      <c r="F2612" s="0" t="n">
        <v>184.005224024987</v>
      </c>
      <c r="G2612" s="0" t="n">
        <v>127.895826048662</v>
      </c>
      <c r="H2612" s="0" t="n">
        <v>138.623034424139</v>
      </c>
      <c r="I2612" s="0" t="n">
        <v>10.7272083754777</v>
      </c>
    </row>
    <row r="2613" customFormat="false" ht="16.5" hidden="false" customHeight="false" outlineLevel="0" collapsed="false">
      <c r="F2613" s="0" t="n">
        <v>183.256170706764</v>
      </c>
      <c r="G2613" s="0" t="n">
        <v>127.645612118124</v>
      </c>
      <c r="H2613" s="0" t="n">
        <v>138.011049723757</v>
      </c>
      <c r="I2613" s="0" t="n">
        <v>10.3654376056331</v>
      </c>
    </row>
    <row r="2614" customFormat="false" ht="16.5" hidden="false" customHeight="false" outlineLevel="0" collapsed="false">
      <c r="F2614" s="0" t="n">
        <v>184.900771165593</v>
      </c>
      <c r="G2614" s="0" t="n">
        <v>128.194974806943</v>
      </c>
      <c r="H2614" s="0" t="n">
        <v>138.644283892903</v>
      </c>
      <c r="I2614" s="0" t="n">
        <v>10.4493090859595</v>
      </c>
    </row>
    <row r="2615" customFormat="false" ht="16.5" hidden="false" customHeight="false" outlineLevel="0" collapsed="false">
      <c r="F2615" s="0" t="n">
        <v>185.892368501064</v>
      </c>
      <c r="G2615" s="0" t="n">
        <v>128.526208192849</v>
      </c>
      <c r="H2615" s="0" t="n">
        <v>138.801529961751</v>
      </c>
      <c r="I2615" s="0" t="n">
        <v>10.275321768902</v>
      </c>
    </row>
    <row r="2616" customFormat="false" ht="16.5" hidden="false" customHeight="false" outlineLevel="0" collapsed="false">
      <c r="F2616" s="0" t="n">
        <v>185.291882031012</v>
      </c>
      <c r="G2616" s="0" t="n">
        <v>128.325621564032</v>
      </c>
      <c r="H2616" s="0" t="n">
        <v>138.869528261793</v>
      </c>
      <c r="I2616" s="0" t="n">
        <v>10.5439066977613</v>
      </c>
    </row>
    <row r="2617" customFormat="false" ht="16.5" hidden="false" customHeight="false" outlineLevel="0" collapsed="false">
      <c r="F2617" s="0" t="n">
        <v>185.138478122668</v>
      </c>
      <c r="G2617" s="0" t="n">
        <v>128.274378489697</v>
      </c>
      <c r="H2617" s="0" t="n">
        <v>138.457288567786</v>
      </c>
      <c r="I2617" s="0" t="n">
        <v>10.1829100780889</v>
      </c>
    </row>
    <row r="2618" customFormat="false" ht="16.5" hidden="false" customHeight="false" outlineLevel="0" collapsed="false">
      <c r="F2618" s="0" t="n">
        <v>185.506094695818</v>
      </c>
      <c r="G2618" s="0" t="n">
        <v>128.397177208374</v>
      </c>
      <c r="H2618" s="0" t="n">
        <v>135.877603059924</v>
      </c>
      <c r="I2618" s="0" t="n">
        <v>7.48042585154934</v>
      </c>
    </row>
    <row r="2619" customFormat="false" ht="16.5" hidden="false" customHeight="false" outlineLevel="0" collapsed="false">
      <c r="F2619" s="0" t="n">
        <v>185.421100638492</v>
      </c>
      <c r="G2619" s="0" t="n">
        <v>128.368785775297</v>
      </c>
      <c r="H2619" s="0" t="n">
        <v>136.510837229069</v>
      </c>
      <c r="I2619" s="0" t="n">
        <v>8.14205145377272</v>
      </c>
    </row>
    <row r="2620" customFormat="false" ht="16.5" hidden="false" customHeight="false" outlineLevel="0" collapsed="false">
      <c r="F2620" s="0" t="n">
        <v>185.224854197186</v>
      </c>
      <c r="G2620" s="0" t="n">
        <v>128.303231572093</v>
      </c>
      <c r="H2620" s="0" t="n">
        <v>135.524861878453</v>
      </c>
      <c r="I2620" s="0" t="n">
        <v>7.22163030636017</v>
      </c>
    </row>
    <row r="2621" customFormat="false" ht="16.5" hidden="false" customHeight="false" outlineLevel="0" collapsed="false">
      <c r="F2621" s="0" t="n">
        <v>185.371348019569</v>
      </c>
      <c r="G2621" s="0" t="n">
        <v>128.352166399836</v>
      </c>
      <c r="H2621" s="0" t="n">
        <v>136.102847428814</v>
      </c>
      <c r="I2621" s="0" t="n">
        <v>7.75068102897782</v>
      </c>
    </row>
    <row r="2622" customFormat="false" ht="16.5" hidden="false" customHeight="false" outlineLevel="0" collapsed="false">
      <c r="F2622" s="0" t="n">
        <v>185.711324248874</v>
      </c>
      <c r="G2622" s="0" t="n">
        <v>128.465732132147</v>
      </c>
      <c r="H2622" s="0" t="n">
        <v>138.011049723757</v>
      </c>
      <c r="I2622" s="0" t="n">
        <v>9.54531759160992</v>
      </c>
    </row>
    <row r="2623" customFormat="false" ht="16.5" hidden="false" customHeight="false" outlineLevel="0" collapsed="false">
      <c r="F2623" s="0" t="n">
        <v>184.748749274441</v>
      </c>
      <c r="G2623" s="0" t="n">
        <v>128.144193381926</v>
      </c>
      <c r="H2623" s="0" t="n">
        <v>138.011049723757</v>
      </c>
      <c r="I2623" s="0" t="n">
        <v>9.86685634183067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8203125" defaultRowHeight="12.8" zeroHeight="false" outlineLevelRow="0" outlineLevelCol="0"/>
  <sheetData>
    <row r="1" customFormat="false" ht="16.4" hidden="false" customHeight="fals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 customFormat="false" ht="13.8" hidden="false" customHeight="false" outlineLevel="0" collapsed="false">
      <c r="A2" s="5" t="s">
        <v>33</v>
      </c>
      <c r="B2" s="6" t="n">
        <v>10000000</v>
      </c>
      <c r="C2" s="6" t="n">
        <v>5000000</v>
      </c>
      <c r="D2" s="6" t="n">
        <v>20000000</v>
      </c>
      <c r="E2" s="6" t="n">
        <v>1000000</v>
      </c>
      <c r="F2" s="6" t="n">
        <v>1000000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203125" defaultRowHeight="13.8" zeroHeight="false" outlineLevelRow="0" outlineLevelCol="0"/>
  <cols>
    <col collapsed="false" customWidth="false" hidden="false" outlineLevel="0" max="6" min="2" style="7" width="10.6"/>
  </cols>
  <sheetData>
    <row r="1" customFormat="false" ht="16.4" hidden="false" customHeight="false" outlineLevel="0" collapsed="false">
      <c r="A1" s="4" t="s">
        <v>34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</row>
    <row r="2" customFormat="false" ht="13.8" hidden="false" customHeight="false" outlineLevel="0" collapsed="false">
      <c r="A2" s="0" t="n">
        <v>1</v>
      </c>
      <c r="B2" s="7" t="n">
        <v>10000</v>
      </c>
      <c r="C2" s="7" t="n">
        <v>20000</v>
      </c>
      <c r="D2" s="7" t="n">
        <v>30000</v>
      </c>
      <c r="E2" s="7" t="n">
        <v>100000</v>
      </c>
      <c r="F2" s="7" t="n">
        <v>1000000</v>
      </c>
    </row>
    <row r="3" customFormat="false" ht="13.8" hidden="false" customHeight="false" outlineLevel="0" collapsed="false">
      <c r="A3" s="0" t="n">
        <v>2</v>
      </c>
      <c r="B3" s="7" t="n">
        <f aca="false">RANDBETWEEN(B2*0.97,B2*1.033)</f>
        <v>9945</v>
      </c>
      <c r="C3" s="7" t="n">
        <f aca="false">RANDBETWEEN(C2*0.97,C2*1.033)</f>
        <v>19486</v>
      </c>
      <c r="D3" s="7" t="n">
        <f aca="false">RANDBETWEEN(D2*0.97,D2*1.033)</f>
        <v>29650</v>
      </c>
      <c r="E3" s="7" t="n">
        <f aca="false">RANDBETWEEN(E2*0.97,E2*1.033)</f>
        <v>99269</v>
      </c>
      <c r="F3" s="7" t="n">
        <f aca="false">RANDBETWEEN(F2*0.97,F2*1.033)</f>
        <v>1002417</v>
      </c>
    </row>
    <row r="4" customFormat="false" ht="13.8" hidden="false" customHeight="false" outlineLevel="0" collapsed="false">
      <c r="A4" s="0" t="n">
        <v>3</v>
      </c>
      <c r="B4" s="7" t="n">
        <f aca="false">RANDBETWEEN(B3*0.97,B3*1.033)</f>
        <v>10112</v>
      </c>
      <c r="C4" s="7" t="n">
        <f aca="false">RANDBETWEEN(C3*0.97,C3*1.033)</f>
        <v>19818</v>
      </c>
      <c r="D4" s="7" t="n">
        <f aca="false">RANDBETWEEN(D3*0.97,D3*1.033)</f>
        <v>29756</v>
      </c>
      <c r="E4" s="7" t="n">
        <f aca="false">RANDBETWEEN(E3*0.97,E3*1.033)</f>
        <v>100443</v>
      </c>
      <c r="F4" s="7" t="n">
        <f aca="false">RANDBETWEEN(F3*0.97,F3*1.033)</f>
        <v>982924</v>
      </c>
    </row>
    <row r="5" customFormat="false" ht="13.8" hidden="false" customHeight="false" outlineLevel="0" collapsed="false">
      <c r="A5" s="0" t="n">
        <v>4</v>
      </c>
      <c r="B5" s="7" t="n">
        <f aca="false">RANDBETWEEN(B4*0.97,B4*1.033)</f>
        <v>9885</v>
      </c>
      <c r="C5" s="7" t="n">
        <f aca="false">RANDBETWEEN(C4*0.97,C4*1.033)</f>
        <v>20246</v>
      </c>
      <c r="D5" s="7" t="n">
        <f aca="false">RANDBETWEEN(D4*0.97,D4*1.033)</f>
        <v>30292</v>
      </c>
      <c r="E5" s="7" t="n">
        <f aca="false">RANDBETWEEN(E4*0.97,E4*1.033)</f>
        <v>100388</v>
      </c>
      <c r="F5" s="7" t="n">
        <f aca="false">RANDBETWEEN(F4*0.97,F4*1.033)</f>
        <v>1012472</v>
      </c>
    </row>
    <row r="6" customFormat="false" ht="13.8" hidden="false" customHeight="false" outlineLevel="0" collapsed="false">
      <c r="A6" s="0" t="n">
        <v>5</v>
      </c>
      <c r="B6" s="7" t="n">
        <f aca="false">RANDBETWEEN(B5*0.97,B5*1.033)</f>
        <v>9823</v>
      </c>
      <c r="C6" s="7" t="n">
        <f aca="false">RANDBETWEEN(C5*0.97,C5*1.033)</f>
        <v>20634</v>
      </c>
      <c r="D6" s="7" t="n">
        <f aca="false">RANDBETWEEN(D5*0.97,D5*1.033)</f>
        <v>30171</v>
      </c>
      <c r="E6" s="7" t="n">
        <f aca="false">RANDBETWEEN(E5*0.97,E5*1.033)</f>
        <v>101056</v>
      </c>
      <c r="F6" s="7" t="n">
        <f aca="false">RANDBETWEEN(F5*0.97,F5*1.033)</f>
        <v>994912</v>
      </c>
    </row>
    <row r="7" customFormat="false" ht="13.8" hidden="false" customHeight="false" outlineLevel="0" collapsed="false">
      <c r="A7" s="0" t="n">
        <v>6</v>
      </c>
      <c r="B7" s="7" t="n">
        <f aca="false">RANDBETWEEN(B6*0.97,B6*1.033)</f>
        <v>9822</v>
      </c>
      <c r="C7" s="7" t="n">
        <f aca="false">RANDBETWEEN(C6*0.97,C6*1.033)</f>
        <v>21114</v>
      </c>
      <c r="D7" s="7" t="n">
        <f aca="false">RANDBETWEEN(D6*0.97,D6*1.033)</f>
        <v>31036</v>
      </c>
      <c r="E7" s="7" t="n">
        <f aca="false">RANDBETWEEN(E6*0.97,E6*1.033)</f>
        <v>103996</v>
      </c>
      <c r="F7" s="7" t="n">
        <f aca="false">RANDBETWEEN(F6*0.97,F6*1.033)</f>
        <v>985374</v>
      </c>
    </row>
    <row r="8" customFormat="false" ht="13.8" hidden="false" customHeight="false" outlineLevel="0" collapsed="false">
      <c r="A8" s="0" t="n">
        <v>7</v>
      </c>
      <c r="B8" s="7" t="n">
        <f aca="false">RANDBETWEEN(B7*0.97,B7*1.033)</f>
        <v>9596</v>
      </c>
      <c r="C8" s="7" t="n">
        <f aca="false">RANDBETWEEN(C7*0.97,C7*1.033)</f>
        <v>21415</v>
      </c>
      <c r="D8" s="7" t="n">
        <f aca="false">RANDBETWEEN(D7*0.97,D7*1.033)</f>
        <v>30370</v>
      </c>
      <c r="E8" s="7" t="n">
        <f aca="false">RANDBETWEEN(E7*0.97,E7*1.033)</f>
        <v>106378</v>
      </c>
      <c r="F8" s="7" t="n">
        <f aca="false">RANDBETWEEN(F7*0.97,F7*1.033)</f>
        <v>1007167</v>
      </c>
    </row>
    <row r="9" customFormat="false" ht="13.8" hidden="false" customHeight="false" outlineLevel="0" collapsed="false">
      <c r="A9" s="0" t="n">
        <v>8</v>
      </c>
      <c r="B9" s="7" t="n">
        <f aca="false">RANDBETWEEN(B8*0.97,B8*1.033)</f>
        <v>9477</v>
      </c>
      <c r="C9" s="7" t="n">
        <f aca="false">RANDBETWEEN(C8*0.97,C8*1.033)</f>
        <v>21502</v>
      </c>
      <c r="D9" s="7" t="n">
        <f aca="false">RANDBETWEEN(D8*0.97,D8*1.033)</f>
        <v>29702</v>
      </c>
      <c r="E9" s="7" t="n">
        <f aca="false">RANDBETWEEN(E8*0.97,E8*1.033)</f>
        <v>104658</v>
      </c>
      <c r="F9" s="7" t="n">
        <f aca="false">RANDBETWEEN(F8*0.97,F8*1.033)</f>
        <v>1034284</v>
      </c>
    </row>
    <row r="10" customFormat="false" ht="13.8" hidden="false" customHeight="false" outlineLevel="0" collapsed="false">
      <c r="A10" s="0" t="n">
        <v>9</v>
      </c>
      <c r="B10" s="7" t="n">
        <f aca="false">RANDBETWEEN(B9*0.97,B9*1.033)</f>
        <v>9697</v>
      </c>
      <c r="C10" s="7" t="n">
        <f aca="false">RANDBETWEEN(C9*0.97,C9*1.033)</f>
        <v>21082</v>
      </c>
      <c r="D10" s="7" t="n">
        <f aca="false">RANDBETWEEN(D9*0.97,D9*1.033)</f>
        <v>29250</v>
      </c>
      <c r="E10" s="7" t="n">
        <f aca="false">RANDBETWEEN(E9*0.97,E9*1.033)</f>
        <v>105395</v>
      </c>
      <c r="F10" s="7" t="n">
        <f aca="false">RANDBETWEEN(F9*0.97,F9*1.033)</f>
        <v>1046768</v>
      </c>
    </row>
    <row r="11" customFormat="false" ht="13.8" hidden="false" customHeight="false" outlineLevel="0" collapsed="false">
      <c r="A11" s="0" t="n">
        <v>10</v>
      </c>
      <c r="B11" s="7" t="n">
        <f aca="false">RANDBETWEEN(B10*0.97,B10*1.033)</f>
        <v>9694</v>
      </c>
      <c r="C11" s="7" t="n">
        <f aca="false">RANDBETWEEN(C10*0.97,C10*1.033)</f>
        <v>21043</v>
      </c>
      <c r="D11" s="7" t="n">
        <f aca="false">RANDBETWEEN(D10*0.97,D10*1.033)</f>
        <v>29156</v>
      </c>
      <c r="E11" s="7" t="n">
        <f aca="false">RANDBETWEEN(E10*0.97,E10*1.033)</f>
        <v>107106</v>
      </c>
      <c r="F11" s="7" t="n">
        <f aca="false">RANDBETWEEN(F10*0.97,F10*1.033)</f>
        <v>1061015</v>
      </c>
    </row>
    <row r="12" customFormat="false" ht="13.8" hidden="false" customHeight="false" outlineLevel="0" collapsed="false">
      <c r="A12" s="0" t="n">
        <v>11</v>
      </c>
      <c r="B12" s="7" t="n">
        <f aca="false">RANDBETWEEN(B11*0.97,B11*1.033)</f>
        <v>9910</v>
      </c>
      <c r="C12" s="7" t="n">
        <f aca="false">RANDBETWEEN(C11*0.97,C11*1.033)</f>
        <v>21246</v>
      </c>
      <c r="D12" s="7" t="n">
        <f aca="false">RANDBETWEEN(D11*0.97,D11*1.033)</f>
        <v>29110</v>
      </c>
      <c r="E12" s="7" t="n">
        <f aca="false">RANDBETWEEN(E11*0.97,E11*1.033)</f>
        <v>109881</v>
      </c>
      <c r="F12" s="7" t="n">
        <f aca="false">RANDBETWEEN(F11*0.97,F11*1.033)</f>
        <v>1074420</v>
      </c>
    </row>
    <row r="13" customFormat="false" ht="13.8" hidden="false" customHeight="false" outlineLevel="0" collapsed="false">
      <c r="A13" s="0" t="n">
        <v>12</v>
      </c>
      <c r="B13" s="7" t="n">
        <f aca="false">RANDBETWEEN(B12*0.97,B12*1.033)</f>
        <v>9887</v>
      </c>
      <c r="C13" s="7" t="n">
        <f aca="false">RANDBETWEEN(C12*0.97,C12*1.033)</f>
        <v>21218</v>
      </c>
      <c r="D13" s="7" t="n">
        <f aca="false">RANDBETWEEN(D12*0.97,D12*1.033)</f>
        <v>28699</v>
      </c>
      <c r="E13" s="7" t="n">
        <f aca="false">RANDBETWEEN(E12*0.97,E12*1.033)</f>
        <v>109750</v>
      </c>
      <c r="F13" s="7" t="n">
        <f aca="false">RANDBETWEEN(F12*0.97,F12*1.033)</f>
        <v>1065459</v>
      </c>
    </row>
    <row r="14" customFormat="false" ht="13.8" hidden="false" customHeight="false" outlineLevel="0" collapsed="false">
      <c r="A14" s="0" t="n">
        <v>13</v>
      </c>
      <c r="B14" s="7" t="n">
        <f aca="false">RANDBETWEEN(B13*0.97,B13*1.033)</f>
        <v>10008</v>
      </c>
      <c r="C14" s="7" t="n">
        <f aca="false">RANDBETWEEN(C13*0.97,C13*1.033)</f>
        <v>21012</v>
      </c>
      <c r="D14" s="7" t="n">
        <f aca="false">RANDBETWEEN(D13*0.97,D13*1.033)</f>
        <v>29646</v>
      </c>
      <c r="E14" s="7" t="n">
        <f aca="false">RANDBETWEEN(E13*0.97,E13*1.033)</f>
        <v>107235</v>
      </c>
      <c r="F14" s="7" t="n">
        <f aca="false">RANDBETWEEN(F13*0.97,F13*1.033)</f>
        <v>1081999</v>
      </c>
    </row>
    <row r="15" customFormat="false" ht="13.8" hidden="false" customHeight="false" outlineLevel="0" collapsed="false">
      <c r="A15" s="0" t="n">
        <v>14</v>
      </c>
      <c r="B15" s="7" t="n">
        <f aca="false">RANDBETWEEN(B14*0.97,B14*1.033)</f>
        <v>10230</v>
      </c>
      <c r="C15" s="7" t="n">
        <f aca="false">RANDBETWEEN(C14*0.97,C14*1.033)</f>
        <v>21288</v>
      </c>
      <c r="D15" s="7" t="n">
        <f aca="false">RANDBETWEEN(D14*0.97,D14*1.033)</f>
        <v>29977</v>
      </c>
      <c r="E15" s="7" t="n">
        <f aca="false">RANDBETWEEN(E14*0.97,E14*1.033)</f>
        <v>109303</v>
      </c>
      <c r="F15" s="7" t="n">
        <f aca="false">RANDBETWEEN(F14*0.97,F14*1.033)</f>
        <v>1111514</v>
      </c>
    </row>
    <row r="16" customFormat="false" ht="13.8" hidden="false" customHeight="false" outlineLevel="0" collapsed="false">
      <c r="A16" s="0" t="n">
        <v>15</v>
      </c>
      <c r="B16" s="7" t="n">
        <f aca="false">RANDBETWEEN(B15*0.97,B15*1.033)</f>
        <v>9939</v>
      </c>
      <c r="C16" s="7" t="n">
        <f aca="false">RANDBETWEEN(C15*0.97,C15*1.033)</f>
        <v>21182</v>
      </c>
      <c r="D16" s="7" t="n">
        <f aca="false">RANDBETWEEN(D15*0.97,D15*1.033)</f>
        <v>29659</v>
      </c>
      <c r="E16" s="7" t="n">
        <f aca="false">RANDBETWEEN(E15*0.97,E15*1.033)</f>
        <v>109599</v>
      </c>
      <c r="F16" s="7" t="n">
        <f aca="false">RANDBETWEEN(F15*0.97,F15*1.033)</f>
        <v>1101077</v>
      </c>
    </row>
    <row r="17" customFormat="false" ht="13.8" hidden="false" customHeight="false" outlineLevel="0" collapsed="false">
      <c r="A17" s="0" t="n">
        <v>16</v>
      </c>
      <c r="B17" s="7" t="n">
        <f aca="false">RANDBETWEEN(B16*0.97,B16*1.033)</f>
        <v>9995</v>
      </c>
      <c r="C17" s="7" t="n">
        <f aca="false">RANDBETWEEN(C16*0.97,C16*1.033)</f>
        <v>21625</v>
      </c>
      <c r="D17" s="7" t="n">
        <f aca="false">RANDBETWEEN(D16*0.97,D16*1.033)</f>
        <v>29518</v>
      </c>
      <c r="E17" s="7" t="n">
        <f aca="false">RANDBETWEEN(E16*0.97,E16*1.033)</f>
        <v>106417</v>
      </c>
      <c r="F17" s="7" t="n">
        <f aca="false">RANDBETWEEN(F16*0.97,F16*1.033)</f>
        <v>1106723</v>
      </c>
    </row>
    <row r="18" customFormat="false" ht="13.8" hidden="false" customHeight="false" outlineLevel="0" collapsed="false">
      <c r="A18" s="0" t="n">
        <v>17</v>
      </c>
      <c r="B18" s="7" t="n">
        <f aca="false">RANDBETWEEN(B17*0.97,B17*1.033)</f>
        <v>10105</v>
      </c>
      <c r="C18" s="7" t="n">
        <f aca="false">RANDBETWEEN(C17*0.97,C17*1.033)</f>
        <v>22030</v>
      </c>
      <c r="D18" s="7" t="n">
        <f aca="false">RANDBETWEEN(D17*0.97,D17*1.033)</f>
        <v>28772</v>
      </c>
      <c r="E18" s="7" t="n">
        <f aca="false">RANDBETWEEN(E17*0.97,E17*1.033)</f>
        <v>108766</v>
      </c>
      <c r="F18" s="7" t="n">
        <f aca="false">RANDBETWEEN(F17*0.97,F17*1.033)</f>
        <v>1118916</v>
      </c>
    </row>
    <row r="19" customFormat="false" ht="13.8" hidden="false" customHeight="false" outlineLevel="0" collapsed="false">
      <c r="A19" s="0" t="n">
        <v>18</v>
      </c>
      <c r="B19" s="7" t="n">
        <f aca="false">RANDBETWEEN(B18*0.97,B18*1.033)</f>
        <v>9889</v>
      </c>
      <c r="C19" s="7" t="n">
        <f aca="false">RANDBETWEEN(C18*0.97,C18*1.033)</f>
        <v>22633</v>
      </c>
      <c r="D19" s="7" t="n">
        <f aca="false">RANDBETWEEN(D18*0.97,D18*1.033)</f>
        <v>29174</v>
      </c>
      <c r="E19" s="7" t="n">
        <f aca="false">RANDBETWEEN(E18*0.97,E18*1.033)</f>
        <v>108874</v>
      </c>
      <c r="F19" s="7" t="n">
        <f aca="false">RANDBETWEEN(F18*0.97,F18*1.033)</f>
        <v>1151540</v>
      </c>
    </row>
    <row r="20" customFormat="false" ht="13.8" hidden="false" customHeight="false" outlineLevel="0" collapsed="false">
      <c r="A20" s="0" t="n">
        <v>19</v>
      </c>
      <c r="B20" s="7" t="n">
        <f aca="false">RANDBETWEEN(B19*0.97,B19*1.033)</f>
        <v>10134</v>
      </c>
      <c r="C20" s="7" t="n">
        <f aca="false">RANDBETWEEN(C19*0.97,C19*1.033)</f>
        <v>22637</v>
      </c>
      <c r="D20" s="7" t="n">
        <f aca="false">RANDBETWEEN(D19*0.97,D19*1.033)</f>
        <v>29319</v>
      </c>
      <c r="E20" s="7" t="n">
        <f aca="false">RANDBETWEEN(E19*0.97,E19*1.033)</f>
        <v>111424</v>
      </c>
      <c r="F20" s="7" t="n">
        <f aca="false">RANDBETWEEN(F19*0.97,F19*1.033)</f>
        <v>1137599</v>
      </c>
    </row>
    <row r="21" customFormat="false" ht="13.8" hidden="false" customHeight="false" outlineLevel="0" collapsed="false">
      <c r="A21" s="0" t="n">
        <v>20</v>
      </c>
      <c r="B21" s="7" t="n">
        <f aca="false">RANDBETWEEN(B20*0.97,B20*1.033)</f>
        <v>10433</v>
      </c>
      <c r="C21" s="7" t="n">
        <f aca="false">RANDBETWEEN(C20*0.97,C20*1.033)</f>
        <v>22284</v>
      </c>
      <c r="D21" s="7" t="n">
        <f aca="false">RANDBETWEEN(D20*0.97,D20*1.033)</f>
        <v>29918</v>
      </c>
      <c r="E21" s="7" t="n">
        <f aca="false">RANDBETWEEN(E20*0.97,E20*1.033)</f>
        <v>112241</v>
      </c>
      <c r="F21" s="7" t="n">
        <f aca="false">RANDBETWEEN(F20*0.97,F20*1.033)</f>
        <v>1132463</v>
      </c>
    </row>
    <row r="22" customFormat="false" ht="13.8" hidden="false" customHeight="false" outlineLevel="0" collapsed="false">
      <c r="A22" s="0" t="n">
        <v>21</v>
      </c>
      <c r="B22" s="7" t="n">
        <f aca="false">RANDBETWEEN(B21*0.97,B21*1.033)</f>
        <v>10387</v>
      </c>
      <c r="C22" s="7" t="n">
        <f aca="false">RANDBETWEEN(C21*0.97,C21*1.033)</f>
        <v>22255</v>
      </c>
      <c r="D22" s="7" t="n">
        <f aca="false">RANDBETWEEN(D21*0.97,D21*1.033)</f>
        <v>30174</v>
      </c>
      <c r="E22" s="7" t="n">
        <f aca="false">RANDBETWEEN(E21*0.97,E21*1.033)</f>
        <v>111032</v>
      </c>
      <c r="F22" s="7" t="n">
        <f aca="false">RANDBETWEEN(F21*0.97,F21*1.033)</f>
        <v>1115856</v>
      </c>
    </row>
    <row r="23" customFormat="false" ht="13.8" hidden="false" customHeight="false" outlineLevel="0" collapsed="false">
      <c r="A23" s="0" t="n">
        <v>22</v>
      </c>
      <c r="B23" s="7" t="n">
        <f aca="false">RANDBETWEEN(B22*0.97,B22*1.033)</f>
        <v>10656</v>
      </c>
      <c r="C23" s="7" t="n">
        <f aca="false">RANDBETWEEN(C22*0.97,C22*1.033)</f>
        <v>22061</v>
      </c>
      <c r="D23" s="7" t="n">
        <f aca="false">RANDBETWEEN(D22*0.97,D22*1.033)</f>
        <v>29891</v>
      </c>
      <c r="E23" s="7" t="n">
        <f aca="false">RANDBETWEEN(E22*0.97,E22*1.033)</f>
        <v>108280</v>
      </c>
      <c r="F23" s="7" t="n">
        <f aca="false">RANDBETWEEN(F22*0.97,F22*1.033)</f>
        <v>1143190</v>
      </c>
    </row>
    <row r="24" customFormat="false" ht="13.8" hidden="false" customHeight="false" outlineLevel="0" collapsed="false">
      <c r="A24" s="0" t="n">
        <v>23</v>
      </c>
      <c r="B24" s="7" t="n">
        <f aca="false">RANDBETWEEN(B23*0.97,B23*1.033)</f>
        <v>10679</v>
      </c>
      <c r="C24" s="7" t="n">
        <f aca="false">RANDBETWEEN(C23*0.97,C23*1.033)</f>
        <v>22719</v>
      </c>
      <c r="D24" s="7" t="n">
        <f aca="false">RANDBETWEEN(D23*0.97,D23*1.033)</f>
        <v>30288</v>
      </c>
      <c r="E24" s="7" t="n">
        <f aca="false">RANDBETWEEN(E23*0.97,E23*1.033)</f>
        <v>106169</v>
      </c>
      <c r="F24" s="7" t="n">
        <f aca="false">RANDBETWEEN(F23*0.97,F23*1.033)</f>
        <v>1117669</v>
      </c>
    </row>
    <row r="25" customFormat="false" ht="13.8" hidden="false" customHeight="false" outlineLevel="0" collapsed="false">
      <c r="A25" s="0" t="n">
        <v>24</v>
      </c>
      <c r="B25" s="7" t="n">
        <f aca="false">RANDBETWEEN(B24*0.97,B24*1.033)</f>
        <v>10925</v>
      </c>
      <c r="C25" s="7" t="n">
        <f aca="false">RANDBETWEEN(C24*0.97,C24*1.033)</f>
        <v>23125</v>
      </c>
      <c r="D25" s="7" t="n">
        <f aca="false">RANDBETWEEN(D24*0.97,D24*1.033)</f>
        <v>30772</v>
      </c>
      <c r="E25" s="7" t="n">
        <f aca="false">RANDBETWEEN(E24*0.97,E24*1.033)</f>
        <v>103510</v>
      </c>
      <c r="F25" s="7" t="n">
        <f aca="false">RANDBETWEEN(F24*0.97,F24*1.033)</f>
        <v>1150702</v>
      </c>
    </row>
    <row r="26" customFormat="false" ht="13.8" hidden="false" customHeight="false" outlineLevel="0" collapsed="false">
      <c r="A26" s="0" t="n">
        <v>25</v>
      </c>
      <c r="B26" s="7" t="n">
        <f aca="false">RANDBETWEEN(B25*0.97,B25*1.033)</f>
        <v>10957</v>
      </c>
      <c r="C26" s="7" t="n">
        <f aca="false">RANDBETWEEN(C25*0.97,C25*1.033)</f>
        <v>23159</v>
      </c>
      <c r="D26" s="7" t="n">
        <f aca="false">RANDBETWEEN(D25*0.97,D25*1.033)</f>
        <v>30594</v>
      </c>
      <c r="E26" s="7" t="n">
        <f aca="false">RANDBETWEEN(E25*0.97,E25*1.033)</f>
        <v>103649</v>
      </c>
      <c r="F26" s="7" t="n">
        <f aca="false">RANDBETWEEN(F25*0.97,F25*1.033)</f>
        <v>1124079</v>
      </c>
    </row>
    <row r="27" customFormat="false" ht="13.8" hidden="false" customHeight="false" outlineLevel="0" collapsed="false">
      <c r="A27" s="0" t="n">
        <v>26</v>
      </c>
      <c r="B27" s="7" t="n">
        <f aca="false">RANDBETWEEN(B26*0.97,B26*1.033)</f>
        <v>11142</v>
      </c>
      <c r="C27" s="7" t="n">
        <f aca="false">RANDBETWEEN(C26*0.97,C26*1.033)</f>
        <v>22679</v>
      </c>
      <c r="D27" s="7" t="n">
        <f aca="false">RANDBETWEEN(D26*0.97,D26*1.033)</f>
        <v>31170</v>
      </c>
      <c r="E27" s="7" t="n">
        <f aca="false">RANDBETWEEN(E26*0.97,E26*1.033)</f>
        <v>104967</v>
      </c>
      <c r="F27" s="7" t="n">
        <f aca="false">RANDBETWEEN(F26*0.97,F26*1.033)</f>
        <v>1095487</v>
      </c>
    </row>
    <row r="28" customFormat="false" ht="13.8" hidden="false" customHeight="false" outlineLevel="0" collapsed="false">
      <c r="A28" s="0" t="n">
        <v>27</v>
      </c>
      <c r="B28" s="7" t="n">
        <f aca="false">RANDBETWEEN(B27*0.97,B27*1.033)</f>
        <v>10887</v>
      </c>
      <c r="C28" s="7" t="n">
        <f aca="false">RANDBETWEEN(C27*0.97,C27*1.033)</f>
        <v>22145</v>
      </c>
      <c r="D28" s="7" t="n">
        <f aca="false">RANDBETWEEN(D27*0.97,D27*1.033)</f>
        <v>32052</v>
      </c>
      <c r="E28" s="7" t="n">
        <f aca="false">RANDBETWEEN(E27*0.97,E27*1.033)</f>
        <v>104200</v>
      </c>
      <c r="F28" s="7" t="n">
        <f aca="false">RANDBETWEEN(F27*0.97,F27*1.033)</f>
        <v>1084883</v>
      </c>
    </row>
    <row r="29" customFormat="false" ht="13.8" hidden="false" customHeight="false" outlineLevel="0" collapsed="false">
      <c r="A29" s="0" t="n">
        <v>28</v>
      </c>
      <c r="B29" s="7" t="n">
        <f aca="false">RANDBETWEEN(B28*0.97,B28*1.033)</f>
        <v>10636</v>
      </c>
      <c r="C29" s="7" t="n">
        <f aca="false">RANDBETWEEN(C28*0.97,C28*1.033)</f>
        <v>22716</v>
      </c>
      <c r="D29" s="7" t="n">
        <f aca="false">RANDBETWEEN(D28*0.97,D28*1.033)</f>
        <v>31762</v>
      </c>
      <c r="E29" s="7" t="n">
        <f aca="false">RANDBETWEEN(E28*0.97,E28*1.033)</f>
        <v>101642</v>
      </c>
      <c r="F29" s="7" t="n">
        <f aca="false">RANDBETWEEN(F28*0.97,F28*1.033)</f>
        <v>1078430</v>
      </c>
    </row>
    <row r="30" customFormat="false" ht="13.8" hidden="false" customHeight="false" outlineLevel="0" collapsed="false">
      <c r="A30" s="0" t="n">
        <v>29</v>
      </c>
      <c r="B30" s="7" t="n">
        <f aca="false">RANDBETWEEN(B29*0.97,B29*1.033)</f>
        <v>10415</v>
      </c>
      <c r="C30" s="7" t="n">
        <f aca="false">RANDBETWEEN(C29*0.97,C29*1.033)</f>
        <v>23463</v>
      </c>
      <c r="D30" s="7" t="n">
        <f aca="false">RANDBETWEEN(D29*0.97,D29*1.033)</f>
        <v>31768</v>
      </c>
      <c r="E30" s="7" t="n">
        <f aca="false">RANDBETWEEN(E29*0.97,E29*1.033)</f>
        <v>102893</v>
      </c>
      <c r="F30" s="7" t="n">
        <f aca="false">RANDBETWEEN(F29*0.97,F29*1.033)</f>
        <v>1091214</v>
      </c>
    </row>
    <row r="31" customFormat="false" ht="13.8" hidden="false" customHeight="false" outlineLevel="0" collapsed="false">
      <c r="A31" s="0" t="n">
        <v>30</v>
      </c>
      <c r="B31" s="7" t="n">
        <f aca="false">RANDBETWEEN(B30*0.97,B30*1.033)</f>
        <v>10466</v>
      </c>
      <c r="C31" s="7" t="n">
        <f aca="false">RANDBETWEEN(C30*0.97,C30*1.033)</f>
        <v>23678</v>
      </c>
      <c r="D31" s="7" t="n">
        <f aca="false">RANDBETWEEN(D30*0.97,D30*1.033)</f>
        <v>31928</v>
      </c>
      <c r="E31" s="7" t="n">
        <f aca="false">RANDBETWEEN(E30*0.97,E30*1.033)</f>
        <v>102154</v>
      </c>
      <c r="F31" s="7" t="n">
        <f aca="false">RANDBETWEEN(F30*0.97,F30*1.033)</f>
        <v>1116351</v>
      </c>
    </row>
    <row r="32" customFormat="false" ht="13.8" hidden="false" customHeight="false" outlineLevel="0" collapsed="false">
      <c r="A32" s="0" t="n">
        <v>31</v>
      </c>
      <c r="B32" s="7" t="n">
        <f aca="false">RANDBETWEEN(B31*0.97,B31*1.033)</f>
        <v>10540</v>
      </c>
      <c r="C32" s="7" t="n">
        <f aca="false">RANDBETWEEN(C31*0.97,C31*1.033)</f>
        <v>24454</v>
      </c>
      <c r="D32" s="7" t="n">
        <f aca="false">RANDBETWEEN(D31*0.97,D31*1.033)</f>
        <v>32746</v>
      </c>
      <c r="E32" s="7" t="n">
        <f aca="false">RANDBETWEEN(E31*0.97,E31*1.033)</f>
        <v>102192</v>
      </c>
      <c r="F32" s="7" t="n">
        <f aca="false">RANDBETWEEN(F31*0.97,F31*1.033)</f>
        <v>1144855</v>
      </c>
    </row>
    <row r="33" customFormat="false" ht="13.8" hidden="false" customHeight="false" outlineLevel="0" collapsed="false">
      <c r="A33" s="0" t="n">
        <v>32</v>
      </c>
      <c r="B33" s="7" t="n">
        <f aca="false">RANDBETWEEN(B32*0.97,B32*1.033)</f>
        <v>10831</v>
      </c>
      <c r="C33" s="7" t="n">
        <f aca="false">RANDBETWEEN(C32*0.97,C32*1.033)</f>
        <v>24277</v>
      </c>
      <c r="D33" s="7" t="n">
        <f aca="false">RANDBETWEEN(D32*0.97,D32*1.033)</f>
        <v>32303</v>
      </c>
      <c r="E33" s="7" t="n">
        <f aca="false">RANDBETWEEN(E32*0.97,E32*1.033)</f>
        <v>105238</v>
      </c>
      <c r="F33" s="7" t="n">
        <f aca="false">RANDBETWEEN(F32*0.97,F32*1.033)</f>
        <v>1120095</v>
      </c>
    </row>
    <row r="34" customFormat="false" ht="13.8" hidden="false" customHeight="false" outlineLevel="0" collapsed="false">
      <c r="A34" s="0" t="n">
        <v>33</v>
      </c>
      <c r="B34" s="7" t="n">
        <f aca="false">RANDBETWEEN(B33*0.97,B33*1.033)</f>
        <v>11011</v>
      </c>
      <c r="C34" s="7" t="n">
        <f aca="false">RANDBETWEEN(C33*0.97,C33*1.033)</f>
        <v>24932</v>
      </c>
      <c r="D34" s="7" t="n">
        <f aca="false">RANDBETWEEN(D33*0.97,D33*1.033)</f>
        <v>32007</v>
      </c>
      <c r="E34" s="7" t="n">
        <f aca="false">RANDBETWEEN(E33*0.97,E33*1.033)</f>
        <v>106025</v>
      </c>
      <c r="F34" s="7" t="n">
        <f aca="false">RANDBETWEEN(F33*0.97,F33*1.033)</f>
        <v>1088153</v>
      </c>
    </row>
    <row r="35" customFormat="false" ht="13.8" hidden="false" customHeight="false" outlineLevel="0" collapsed="false">
      <c r="A35" s="0" t="n">
        <v>34</v>
      </c>
      <c r="B35" s="7" t="n">
        <f aca="false">RANDBETWEEN(B34*0.97,B34*1.033)</f>
        <v>11354</v>
      </c>
      <c r="C35" s="7" t="n">
        <f aca="false">RANDBETWEEN(C34*0.97,C34*1.033)</f>
        <v>24231</v>
      </c>
      <c r="D35" s="7" t="n">
        <f aca="false">RANDBETWEEN(D34*0.97,D34*1.033)</f>
        <v>32055</v>
      </c>
      <c r="E35" s="7" t="n">
        <f aca="false">RANDBETWEEN(E34*0.97,E34*1.033)</f>
        <v>104786</v>
      </c>
      <c r="F35" s="7" t="n">
        <f aca="false">RANDBETWEEN(F34*0.97,F34*1.033)</f>
        <v>1089685</v>
      </c>
    </row>
    <row r="36" customFormat="false" ht="13.8" hidden="false" customHeight="false" outlineLevel="0" collapsed="false">
      <c r="A36" s="0" t="n">
        <v>35</v>
      </c>
      <c r="B36" s="7" t="n">
        <f aca="false">RANDBETWEEN(B35*0.97,B35*1.033)</f>
        <v>11166</v>
      </c>
      <c r="C36" s="7" t="n">
        <f aca="false">RANDBETWEEN(C35*0.97,C35*1.033)</f>
        <v>24281</v>
      </c>
      <c r="D36" s="7" t="n">
        <f aca="false">RANDBETWEEN(D35*0.97,D35*1.033)</f>
        <v>31892</v>
      </c>
      <c r="E36" s="7" t="n">
        <f aca="false">RANDBETWEEN(E35*0.97,E35*1.033)</f>
        <v>106430</v>
      </c>
      <c r="F36" s="7" t="n">
        <f aca="false">RANDBETWEEN(F35*0.97,F35*1.033)</f>
        <v>1093366</v>
      </c>
    </row>
    <row r="37" customFormat="false" ht="13.8" hidden="false" customHeight="false" outlineLevel="0" collapsed="false">
      <c r="A37" s="0" t="n">
        <v>36</v>
      </c>
      <c r="B37" s="7" t="n">
        <f aca="false">RANDBETWEEN(B36*0.97,B36*1.033)</f>
        <v>11534</v>
      </c>
      <c r="C37" s="7" t="n">
        <f aca="false">RANDBETWEEN(C36*0.97,C36*1.033)</f>
        <v>23662</v>
      </c>
      <c r="D37" s="7" t="n">
        <f aca="false">RANDBETWEEN(D36*0.97,D36*1.033)</f>
        <v>31948</v>
      </c>
      <c r="E37" s="7" t="n">
        <f aca="false">RANDBETWEEN(E36*0.97,E36*1.033)</f>
        <v>105445</v>
      </c>
      <c r="F37" s="7" t="n">
        <f aca="false">RANDBETWEEN(F36*0.97,F36*1.033)</f>
        <v>1124846</v>
      </c>
    </row>
    <row r="38" customFormat="false" ht="13.8" hidden="false" customHeight="false" outlineLevel="0" collapsed="false">
      <c r="A38" s="0" t="n">
        <v>37</v>
      </c>
      <c r="B38" s="7" t="n">
        <f aca="false">RANDBETWEEN(B37*0.97,B37*1.033)</f>
        <v>11564</v>
      </c>
      <c r="C38" s="7" t="n">
        <f aca="false">RANDBETWEEN(C37*0.97,C37*1.033)</f>
        <v>23745</v>
      </c>
      <c r="D38" s="7" t="n">
        <f aca="false">RANDBETWEEN(D37*0.97,D37*1.033)</f>
        <v>32408</v>
      </c>
      <c r="E38" s="7" t="n">
        <f aca="false">RANDBETWEEN(E37*0.97,E37*1.033)</f>
        <v>104443</v>
      </c>
      <c r="F38" s="7" t="n">
        <f aca="false">RANDBETWEEN(F37*0.97,F37*1.033)</f>
        <v>1136179</v>
      </c>
    </row>
    <row r="39" customFormat="false" ht="13.8" hidden="false" customHeight="false" outlineLevel="0" collapsed="false">
      <c r="A39" s="0" t="n">
        <v>38</v>
      </c>
      <c r="B39" s="7" t="n">
        <f aca="false">RANDBETWEEN(B38*0.97,B38*1.033)</f>
        <v>11874</v>
      </c>
      <c r="C39" s="7" t="n">
        <f aca="false">RANDBETWEEN(C38*0.97,C38*1.033)</f>
        <v>24421</v>
      </c>
      <c r="D39" s="7" t="n">
        <f aca="false">RANDBETWEEN(D38*0.97,D38*1.033)</f>
        <v>31849</v>
      </c>
      <c r="E39" s="7" t="n">
        <f aca="false">RANDBETWEEN(E38*0.97,E38*1.033)</f>
        <v>102790</v>
      </c>
      <c r="F39" s="7" t="n">
        <f aca="false">RANDBETWEEN(F38*0.97,F38*1.033)</f>
        <v>1118597</v>
      </c>
    </row>
    <row r="40" customFormat="false" ht="13.8" hidden="false" customHeight="false" outlineLevel="0" collapsed="false">
      <c r="A40" s="0" t="n">
        <v>39</v>
      </c>
      <c r="B40" s="7" t="n">
        <f aca="false">RANDBETWEEN(B39*0.97,B39*1.033)</f>
        <v>11737</v>
      </c>
      <c r="C40" s="7" t="n">
        <f aca="false">RANDBETWEEN(C39*0.97,C39*1.033)</f>
        <v>24655</v>
      </c>
      <c r="D40" s="7" t="n">
        <f aca="false">RANDBETWEEN(D39*0.97,D39*1.033)</f>
        <v>32894</v>
      </c>
      <c r="E40" s="7" t="n">
        <f aca="false">RANDBETWEEN(E39*0.97,E39*1.033)</f>
        <v>104751</v>
      </c>
      <c r="F40" s="7" t="n">
        <f aca="false">RANDBETWEEN(F39*0.97,F39*1.033)</f>
        <v>1130427</v>
      </c>
    </row>
    <row r="41" customFormat="false" ht="13.8" hidden="false" customHeight="false" outlineLevel="0" collapsed="false">
      <c r="A41" s="0" t="n">
        <v>40</v>
      </c>
      <c r="B41" s="7" t="n">
        <f aca="false">RANDBETWEEN(B40*0.97,B40*1.033)</f>
        <v>11620</v>
      </c>
      <c r="C41" s="7" t="n">
        <f aca="false">RANDBETWEEN(C40*0.97,C40*1.033)</f>
        <v>25425</v>
      </c>
      <c r="D41" s="7" t="n">
        <f aca="false">RANDBETWEEN(D40*0.97,D40*1.033)</f>
        <v>31916</v>
      </c>
      <c r="E41" s="7" t="n">
        <f aca="false">RANDBETWEEN(E40*0.97,E40*1.033)</f>
        <v>104008</v>
      </c>
      <c r="F41" s="7" t="n">
        <f aca="false">RANDBETWEEN(F40*0.97,F40*1.033)</f>
        <v>1159663</v>
      </c>
    </row>
    <row r="42" customFormat="false" ht="13.8" hidden="false" customHeight="false" outlineLevel="0" collapsed="false">
      <c r="A42" s="0" t="n">
        <v>41</v>
      </c>
      <c r="B42" s="7" t="n">
        <f aca="false">RANDBETWEEN(B41*0.97,B41*1.033)</f>
        <v>11819</v>
      </c>
      <c r="C42" s="7" t="n">
        <f aca="false">RANDBETWEEN(C41*0.97,C41*1.033)</f>
        <v>25263</v>
      </c>
      <c r="D42" s="7" t="n">
        <f aca="false">RANDBETWEEN(D41*0.97,D41*1.033)</f>
        <v>31103</v>
      </c>
      <c r="E42" s="7" t="n">
        <f aca="false">RANDBETWEEN(E41*0.97,E41*1.033)</f>
        <v>103503</v>
      </c>
      <c r="F42" s="7" t="n">
        <f aca="false">RANDBETWEEN(F41*0.97,F41*1.033)</f>
        <v>1188708</v>
      </c>
    </row>
    <row r="43" customFormat="false" ht="13.8" hidden="false" customHeight="false" outlineLevel="0" collapsed="false">
      <c r="A43" s="0" t="n">
        <v>42</v>
      </c>
      <c r="B43" s="7" t="n">
        <f aca="false">RANDBETWEEN(B42*0.97,B42*1.033)</f>
        <v>11761</v>
      </c>
      <c r="C43" s="7" t="n">
        <f aca="false">RANDBETWEEN(C42*0.97,C42*1.033)</f>
        <v>25116</v>
      </c>
      <c r="D43" s="7" t="n">
        <f aca="false">RANDBETWEEN(D42*0.97,D42*1.033)</f>
        <v>30363</v>
      </c>
      <c r="E43" s="7" t="n">
        <f aca="false">RANDBETWEEN(E42*0.97,E42*1.033)</f>
        <v>103614</v>
      </c>
      <c r="F43" s="7" t="n">
        <f aca="false">RANDBETWEEN(F42*0.97,F42*1.033)</f>
        <v>1218966</v>
      </c>
    </row>
    <row r="44" customFormat="false" ht="13.8" hidden="false" customHeight="false" outlineLevel="0" collapsed="false">
      <c r="A44" s="0" t="n">
        <v>43</v>
      </c>
      <c r="B44" s="7" t="n">
        <f aca="false">RANDBETWEEN(B43*0.97,B43*1.033)</f>
        <v>11998</v>
      </c>
      <c r="C44" s="7" t="n">
        <f aca="false">RANDBETWEEN(C43*0.97,C43*1.033)</f>
        <v>25085</v>
      </c>
      <c r="D44" s="7" t="n">
        <f aca="false">RANDBETWEEN(D43*0.97,D43*1.033)</f>
        <v>31055</v>
      </c>
      <c r="E44" s="7" t="n">
        <f aca="false">RANDBETWEEN(E43*0.97,E43*1.033)</f>
        <v>104446</v>
      </c>
      <c r="F44" s="7" t="n">
        <f aca="false">RANDBETWEEN(F43*0.97,F43*1.033)</f>
        <v>1215683</v>
      </c>
    </row>
    <row r="45" customFormat="false" ht="13.8" hidden="false" customHeight="false" outlineLevel="0" collapsed="false">
      <c r="A45" s="0" t="n">
        <v>44</v>
      </c>
      <c r="B45" s="7" t="n">
        <f aca="false">RANDBETWEEN(B44*0.97,B44*1.033)</f>
        <v>12338</v>
      </c>
      <c r="C45" s="7" t="n">
        <f aca="false">RANDBETWEEN(C44*0.97,C44*1.033)</f>
        <v>25730</v>
      </c>
      <c r="D45" s="7" t="n">
        <f aca="false">RANDBETWEEN(D44*0.97,D44*1.033)</f>
        <v>30728</v>
      </c>
      <c r="E45" s="7" t="n">
        <f aca="false">RANDBETWEEN(E44*0.97,E44*1.033)</f>
        <v>104561</v>
      </c>
      <c r="F45" s="7" t="n">
        <f aca="false">RANDBETWEEN(F44*0.97,F44*1.033)</f>
        <v>1244184</v>
      </c>
    </row>
    <row r="46" customFormat="false" ht="13.8" hidden="false" customHeight="false" outlineLevel="0" collapsed="false">
      <c r="A46" s="0" t="n">
        <v>45</v>
      </c>
      <c r="B46" s="7" t="n">
        <f aca="false">RANDBETWEEN(B45*0.97,B45*1.033)</f>
        <v>12595</v>
      </c>
      <c r="C46" s="7" t="n">
        <f aca="false">RANDBETWEEN(C45*0.97,C45*1.033)</f>
        <v>25018</v>
      </c>
      <c r="D46" s="7" t="n">
        <f aca="false">RANDBETWEEN(D45*0.97,D45*1.033)</f>
        <v>30089</v>
      </c>
      <c r="E46" s="7" t="n">
        <f aca="false">RANDBETWEEN(E45*0.97,E45*1.033)</f>
        <v>103418</v>
      </c>
      <c r="F46" s="7" t="n">
        <f aca="false">RANDBETWEEN(F45*0.97,F45*1.033)</f>
        <v>1250934</v>
      </c>
    </row>
    <row r="47" customFormat="false" ht="13.8" hidden="false" customHeight="false" outlineLevel="0" collapsed="false">
      <c r="A47" s="0" t="n">
        <v>46</v>
      </c>
      <c r="B47" s="7" t="n">
        <f aca="false">RANDBETWEEN(B46*0.97,B46*1.033)</f>
        <v>12542</v>
      </c>
      <c r="C47" s="7" t="n">
        <f aca="false">RANDBETWEEN(C46*0.97,C46*1.033)</f>
        <v>25686</v>
      </c>
      <c r="D47" s="7" t="n">
        <f aca="false">RANDBETWEEN(D46*0.97,D46*1.033)</f>
        <v>29502</v>
      </c>
      <c r="E47" s="7" t="n">
        <f aca="false">RANDBETWEEN(E46*0.97,E46*1.033)</f>
        <v>103461</v>
      </c>
      <c r="F47" s="7" t="n">
        <f aca="false">RANDBETWEEN(F46*0.97,F46*1.033)</f>
        <v>1255778</v>
      </c>
    </row>
    <row r="48" customFormat="false" ht="13.8" hidden="false" customHeight="false" outlineLevel="0" collapsed="false">
      <c r="A48" s="0" t="n">
        <v>47</v>
      </c>
      <c r="B48" s="7" t="n">
        <f aca="false">RANDBETWEEN(B47*0.97,B47*1.033)</f>
        <v>12901</v>
      </c>
      <c r="C48" s="7" t="n">
        <f aca="false">RANDBETWEEN(C47*0.97,C47*1.033)</f>
        <v>25694</v>
      </c>
      <c r="D48" s="7" t="n">
        <f aca="false">RANDBETWEEN(D47*0.97,D47*1.033)</f>
        <v>30098</v>
      </c>
      <c r="E48" s="7" t="n">
        <f aca="false">RANDBETWEEN(E47*0.97,E47*1.033)</f>
        <v>106216</v>
      </c>
      <c r="F48" s="7" t="n">
        <f aca="false">RANDBETWEEN(F47*0.97,F47*1.033)</f>
        <v>1286191</v>
      </c>
    </row>
    <row r="49" customFormat="false" ht="13.8" hidden="false" customHeight="false" outlineLevel="0" collapsed="false">
      <c r="A49" s="0" t="n">
        <v>48</v>
      </c>
      <c r="B49" s="7" t="n">
        <f aca="false">RANDBETWEEN(B48*0.97,B48*1.033)</f>
        <v>13196</v>
      </c>
      <c r="C49" s="7" t="n">
        <f aca="false">RANDBETWEEN(C48*0.97,C48*1.033)</f>
        <v>26127</v>
      </c>
      <c r="D49" s="7" t="n">
        <f aca="false">RANDBETWEEN(D48*0.97,D48*1.033)</f>
        <v>30948</v>
      </c>
      <c r="E49" s="7" t="n">
        <f aca="false">RANDBETWEEN(E48*0.97,E48*1.033)</f>
        <v>103836</v>
      </c>
      <c r="F49" s="7" t="n">
        <f aca="false">RANDBETWEEN(F48*0.97,F48*1.033)</f>
        <v>1287273</v>
      </c>
    </row>
    <row r="50" customFormat="false" ht="13.8" hidden="false" customHeight="false" outlineLevel="0" collapsed="false">
      <c r="A50" s="0" t="n">
        <v>49</v>
      </c>
      <c r="B50" s="7" t="n">
        <f aca="false">RANDBETWEEN(B49*0.97,B49*1.033)</f>
        <v>12993</v>
      </c>
      <c r="C50" s="7" t="n">
        <f aca="false">RANDBETWEEN(C49*0.97,C49*1.033)</f>
        <v>26593</v>
      </c>
      <c r="D50" s="7" t="n">
        <f aca="false">RANDBETWEEN(D49*0.97,D49*1.033)</f>
        <v>31465</v>
      </c>
      <c r="E50" s="7" t="n">
        <f aca="false">RANDBETWEEN(E49*0.97,E49*1.033)</f>
        <v>105185</v>
      </c>
      <c r="F50" s="7" t="n">
        <f aca="false">RANDBETWEEN(F49*0.97,F49*1.033)</f>
        <v>1303288</v>
      </c>
    </row>
    <row r="51" customFormat="false" ht="13.8" hidden="false" customHeight="false" outlineLevel="0" collapsed="false">
      <c r="A51" s="0" t="n">
        <v>50</v>
      </c>
      <c r="B51" s="7" t="n">
        <f aca="false">RANDBETWEEN(B50*0.97,B50*1.033)</f>
        <v>13212</v>
      </c>
      <c r="C51" s="7" t="n">
        <f aca="false">RANDBETWEEN(C50*0.97,C50*1.033)</f>
        <v>27018</v>
      </c>
      <c r="D51" s="7" t="n">
        <f aca="false">RANDBETWEEN(D50*0.97,D50*1.033)</f>
        <v>31854</v>
      </c>
      <c r="E51" s="7" t="n">
        <f aca="false">RANDBETWEEN(E50*0.97,E50*1.033)</f>
        <v>106486</v>
      </c>
      <c r="F51" s="7" t="n">
        <f aca="false">RANDBETWEEN(F50*0.97,F50*1.033)</f>
        <v>1286164</v>
      </c>
    </row>
    <row r="52" customFormat="false" ht="13.8" hidden="false" customHeight="false" outlineLevel="0" collapsed="false">
      <c r="A52" s="0" t="n">
        <v>51</v>
      </c>
      <c r="B52" s="7" t="n">
        <f aca="false">RANDBETWEEN(B51*0.97,B51*1.033)</f>
        <v>13096</v>
      </c>
      <c r="C52" s="7" t="n">
        <f aca="false">RANDBETWEEN(C51*0.97,C51*1.033)</f>
        <v>27510</v>
      </c>
      <c r="D52" s="7" t="n">
        <f aca="false">RANDBETWEEN(D51*0.97,D51*1.033)</f>
        <v>31639</v>
      </c>
      <c r="E52" s="7" t="n">
        <f aca="false">RANDBETWEEN(E51*0.97,E51*1.033)</f>
        <v>105981</v>
      </c>
      <c r="F52" s="7" t="n">
        <f aca="false">RANDBETWEEN(F51*0.97,F51*1.033)</f>
        <v>1321855</v>
      </c>
    </row>
    <row r="53" customFormat="false" ht="13.8" hidden="false" customHeight="false" outlineLevel="0" collapsed="false">
      <c r="A53" s="0" t="n">
        <v>52</v>
      </c>
      <c r="B53" s="7" t="n">
        <f aca="false">RANDBETWEEN(B52*0.97,B52*1.033)</f>
        <v>12979</v>
      </c>
      <c r="C53" s="7" t="n">
        <f aca="false">RANDBETWEEN(C52*0.97,C52*1.033)</f>
        <v>26736</v>
      </c>
      <c r="D53" s="7" t="n">
        <f aca="false">RANDBETWEEN(D52*0.97,D52*1.033)</f>
        <v>31774</v>
      </c>
      <c r="E53" s="7" t="n">
        <f aca="false">RANDBETWEEN(E52*0.97,E52*1.033)</f>
        <v>106413</v>
      </c>
      <c r="F53" s="7" t="n">
        <f aca="false">RANDBETWEEN(F52*0.97,F52*1.033)</f>
        <v>1342478</v>
      </c>
    </row>
    <row r="54" customFormat="false" ht="13.8" hidden="false" customHeight="false" outlineLevel="0" collapsed="false">
      <c r="A54" s="0" t="n">
        <v>53</v>
      </c>
      <c r="B54" s="7" t="n">
        <f aca="false">RANDBETWEEN(B53*0.97,B53*1.033)</f>
        <v>12711</v>
      </c>
      <c r="C54" s="7" t="n">
        <f aca="false">RANDBETWEEN(C53*0.97,C53*1.033)</f>
        <v>26947</v>
      </c>
      <c r="D54" s="7" t="n">
        <f aca="false">RANDBETWEEN(D53*0.97,D53*1.033)</f>
        <v>31833</v>
      </c>
      <c r="E54" s="7" t="n">
        <f aca="false">RANDBETWEEN(E53*0.97,E53*1.033)</f>
        <v>108807</v>
      </c>
      <c r="F54" s="7" t="n">
        <f aca="false">RANDBETWEEN(F53*0.97,F53*1.033)</f>
        <v>1386360</v>
      </c>
    </row>
    <row r="55" customFormat="false" ht="13.8" hidden="false" customHeight="false" outlineLevel="0" collapsed="false">
      <c r="A55" s="0" t="n">
        <v>54</v>
      </c>
      <c r="B55" s="7" t="n">
        <f aca="false">RANDBETWEEN(B54*0.97,B54*1.033)</f>
        <v>12351</v>
      </c>
      <c r="C55" s="7" t="n">
        <f aca="false">RANDBETWEEN(C54*0.97,C54*1.033)</f>
        <v>26479</v>
      </c>
      <c r="D55" s="7" t="n">
        <f aca="false">RANDBETWEEN(D54*0.97,D54*1.033)</f>
        <v>32449</v>
      </c>
      <c r="E55" s="7" t="n">
        <f aca="false">RANDBETWEEN(E54*0.97,E54*1.033)</f>
        <v>112390</v>
      </c>
      <c r="F55" s="7" t="n">
        <f aca="false">RANDBETWEEN(F54*0.97,F54*1.033)</f>
        <v>1371700</v>
      </c>
    </row>
    <row r="56" customFormat="false" ht="13.8" hidden="false" customHeight="false" outlineLevel="0" collapsed="false">
      <c r="A56" s="0" t="n">
        <v>55</v>
      </c>
      <c r="B56" s="7" t="n">
        <f aca="false">RANDBETWEEN(B55*0.97,B55*1.033)</f>
        <v>12310</v>
      </c>
      <c r="C56" s="7" t="n">
        <f aca="false">RANDBETWEEN(C55*0.97,C55*1.033)</f>
        <v>27052</v>
      </c>
      <c r="D56" s="7" t="n">
        <f aca="false">RANDBETWEEN(D55*0.97,D55*1.033)</f>
        <v>32131</v>
      </c>
      <c r="E56" s="7" t="n">
        <f aca="false">RANDBETWEEN(E55*0.97,E55*1.033)</f>
        <v>111688</v>
      </c>
      <c r="F56" s="7" t="n">
        <f aca="false">RANDBETWEEN(F55*0.97,F55*1.033)</f>
        <v>1390271</v>
      </c>
    </row>
    <row r="57" customFormat="false" ht="13.8" hidden="false" customHeight="false" outlineLevel="0" collapsed="false">
      <c r="A57" s="0" t="n">
        <v>56</v>
      </c>
      <c r="B57" s="7" t="n">
        <f aca="false">RANDBETWEEN(B56*0.97,B56*1.033)</f>
        <v>12222</v>
      </c>
      <c r="C57" s="7" t="n">
        <f aca="false">RANDBETWEEN(C56*0.97,C56*1.033)</f>
        <v>26930</v>
      </c>
      <c r="D57" s="7" t="n">
        <f aca="false">RANDBETWEEN(D56*0.97,D56*1.033)</f>
        <v>31700</v>
      </c>
      <c r="E57" s="7" t="n">
        <f aca="false">RANDBETWEEN(E56*0.97,E56*1.033)</f>
        <v>110048</v>
      </c>
      <c r="F57" s="7" t="n">
        <f aca="false">RANDBETWEEN(F56*0.97,F56*1.033)</f>
        <v>1432224</v>
      </c>
    </row>
    <row r="58" customFormat="false" ht="13.8" hidden="false" customHeight="false" outlineLevel="0" collapsed="false">
      <c r="A58" s="0" t="n">
        <v>57</v>
      </c>
      <c r="B58" s="7" t="n">
        <f aca="false">RANDBETWEEN(B57*0.97,B57*1.033)</f>
        <v>12607</v>
      </c>
      <c r="C58" s="7" t="n">
        <f aca="false">RANDBETWEEN(C57*0.97,C57*1.033)</f>
        <v>26853</v>
      </c>
      <c r="D58" s="7" t="n">
        <f aca="false">RANDBETWEEN(D57*0.97,D57*1.033)</f>
        <v>31372</v>
      </c>
      <c r="E58" s="7" t="n">
        <f aca="false">RANDBETWEEN(E57*0.97,E57*1.033)</f>
        <v>112348</v>
      </c>
      <c r="F58" s="7" t="n">
        <f aca="false">RANDBETWEEN(F57*0.97,F57*1.033)</f>
        <v>1433727</v>
      </c>
    </row>
    <row r="59" customFormat="false" ht="13.8" hidden="false" customHeight="false" outlineLevel="0" collapsed="false">
      <c r="A59" s="0" t="n">
        <v>58</v>
      </c>
      <c r="B59" s="7" t="n">
        <f aca="false">RANDBETWEEN(B58*0.97,B58*1.033)</f>
        <v>12332</v>
      </c>
      <c r="C59" s="7" t="n">
        <f aca="false">RANDBETWEEN(C58*0.97,C58*1.033)</f>
        <v>27604</v>
      </c>
      <c r="D59" s="7" t="n">
        <f aca="false">RANDBETWEEN(D58*0.97,D58*1.033)</f>
        <v>31201</v>
      </c>
      <c r="E59" s="7" t="n">
        <f aca="false">RANDBETWEEN(E58*0.97,E58*1.033)</f>
        <v>112464</v>
      </c>
      <c r="F59" s="7" t="n">
        <f aca="false">RANDBETWEEN(F58*0.97,F58*1.033)</f>
        <v>1398907</v>
      </c>
    </row>
    <row r="60" customFormat="false" ht="13.8" hidden="false" customHeight="false" outlineLevel="0" collapsed="false">
      <c r="A60" s="0" t="n">
        <v>59</v>
      </c>
      <c r="B60" s="7" t="n">
        <f aca="false">RANDBETWEEN(B59*0.97,B59*1.033)</f>
        <v>12427</v>
      </c>
      <c r="C60" s="7" t="n">
        <f aca="false">RANDBETWEEN(C59*0.97,C59*1.033)</f>
        <v>26957</v>
      </c>
      <c r="D60" s="7" t="n">
        <f aca="false">RANDBETWEEN(D59*0.97,D59*1.033)</f>
        <v>31207</v>
      </c>
      <c r="E60" s="7" t="n">
        <f aca="false">RANDBETWEEN(E59*0.97,E59*1.033)</f>
        <v>114494</v>
      </c>
      <c r="F60" s="7" t="n">
        <f aca="false">RANDBETWEEN(F59*0.97,F59*1.033)</f>
        <v>1362127</v>
      </c>
    </row>
    <row r="61" customFormat="false" ht="13.8" hidden="false" customHeight="false" outlineLevel="0" collapsed="false">
      <c r="A61" s="0" t="n">
        <v>60</v>
      </c>
      <c r="B61" s="7" t="n">
        <f aca="false">RANDBETWEEN(B60*0.97,B60*1.033)</f>
        <v>12784</v>
      </c>
      <c r="C61" s="7" t="n">
        <f aca="false">RANDBETWEEN(C60*0.97,C60*1.033)</f>
        <v>27377</v>
      </c>
      <c r="D61" s="7" t="n">
        <f aca="false">RANDBETWEEN(D60*0.97,D60*1.033)</f>
        <v>30458</v>
      </c>
      <c r="E61" s="7" t="n">
        <f aca="false">RANDBETWEEN(E60*0.97,E60*1.033)</f>
        <v>112713</v>
      </c>
      <c r="F61" s="7" t="n">
        <f aca="false">RANDBETWEEN(F60*0.97,F60*1.033)</f>
        <v>1379617</v>
      </c>
    </row>
    <row r="62" customFormat="false" ht="13.8" hidden="false" customHeight="false" outlineLevel="0" collapsed="false">
      <c r="A62" s="0" t="n">
        <v>61</v>
      </c>
      <c r="B62" s="7" t="n">
        <f aca="false">RANDBETWEEN(B61*0.97,B61*1.033)</f>
        <v>12947</v>
      </c>
      <c r="C62" s="7" t="n">
        <f aca="false">RANDBETWEEN(C61*0.97,C61*1.033)</f>
        <v>26984</v>
      </c>
      <c r="D62" s="7" t="n">
        <f aca="false">RANDBETWEEN(D61*0.97,D61*1.033)</f>
        <v>30233</v>
      </c>
      <c r="E62" s="7" t="n">
        <f aca="false">RANDBETWEEN(E61*0.97,E61*1.033)</f>
        <v>110205</v>
      </c>
      <c r="F62" s="7" t="n">
        <f aca="false">RANDBETWEEN(F61*0.97,F61*1.033)</f>
        <v>1403841</v>
      </c>
    </row>
    <row r="63" customFormat="false" ht="13.8" hidden="false" customHeight="false" outlineLevel="0" collapsed="false">
      <c r="A63" s="0" t="n">
        <v>62</v>
      </c>
      <c r="B63" s="7" t="n">
        <f aca="false">RANDBETWEEN(B62*0.97,B62*1.033)</f>
        <v>12709</v>
      </c>
      <c r="C63" s="7" t="n">
        <f aca="false">RANDBETWEEN(C62*0.97,C62*1.033)</f>
        <v>27393</v>
      </c>
      <c r="D63" s="7" t="n">
        <f aca="false">RANDBETWEEN(D62*0.97,D62*1.033)</f>
        <v>30054</v>
      </c>
      <c r="E63" s="7" t="n">
        <f aca="false">RANDBETWEEN(E62*0.97,E62*1.033)</f>
        <v>108118</v>
      </c>
      <c r="F63" s="7" t="n">
        <f aca="false">RANDBETWEEN(F62*0.97,F62*1.033)</f>
        <v>1384894</v>
      </c>
    </row>
    <row r="64" customFormat="false" ht="13.8" hidden="false" customHeight="false" outlineLevel="0" collapsed="false">
      <c r="A64" s="0" t="n">
        <v>63</v>
      </c>
      <c r="B64" s="7" t="n">
        <f aca="false">RANDBETWEEN(B63*0.97,B63*1.033)</f>
        <v>13122</v>
      </c>
      <c r="C64" s="7" t="n">
        <f aca="false">RANDBETWEEN(C63*0.97,C63*1.033)</f>
        <v>26843</v>
      </c>
      <c r="D64" s="7" t="n">
        <f aca="false">RANDBETWEEN(D63*0.97,D63*1.033)</f>
        <v>30871</v>
      </c>
      <c r="E64" s="7" t="n">
        <f aca="false">RANDBETWEEN(E63*0.97,E63*1.033)</f>
        <v>106485</v>
      </c>
      <c r="F64" s="7" t="n">
        <f aca="false">RANDBETWEEN(F63*0.97,F63*1.033)</f>
        <v>1416564</v>
      </c>
    </row>
    <row r="65" customFormat="false" ht="13.8" hidden="false" customHeight="false" outlineLevel="0" collapsed="false">
      <c r="A65" s="0" t="n">
        <v>64</v>
      </c>
      <c r="B65" s="7" t="n">
        <f aca="false">RANDBETWEEN(B64*0.97,B64*1.033)</f>
        <v>13381</v>
      </c>
      <c r="C65" s="7" t="n">
        <f aca="false">RANDBETWEEN(C64*0.97,C64*1.033)</f>
        <v>26414</v>
      </c>
      <c r="D65" s="7" t="n">
        <f aca="false">RANDBETWEEN(D64*0.97,D64*1.033)</f>
        <v>30212</v>
      </c>
      <c r="E65" s="7" t="n">
        <f aca="false">RANDBETWEEN(E64*0.97,E64*1.033)</f>
        <v>107867</v>
      </c>
      <c r="F65" s="7" t="n">
        <f aca="false">RANDBETWEEN(F64*0.97,F64*1.033)</f>
        <v>1415061</v>
      </c>
    </row>
    <row r="66" customFormat="false" ht="13.8" hidden="false" customHeight="false" outlineLevel="0" collapsed="false">
      <c r="A66" s="0" t="n">
        <v>65</v>
      </c>
      <c r="B66" s="7" t="n">
        <f aca="false">RANDBETWEEN(B65*0.97,B65*1.033)</f>
        <v>13007</v>
      </c>
      <c r="C66" s="7" t="n">
        <f aca="false">RANDBETWEEN(C65*0.97,C65*1.033)</f>
        <v>25801</v>
      </c>
      <c r="D66" s="7" t="n">
        <f aca="false">RANDBETWEEN(D65*0.97,D65*1.033)</f>
        <v>29454</v>
      </c>
      <c r="E66" s="7" t="n">
        <f aca="false">RANDBETWEEN(E65*0.97,E65*1.033)</f>
        <v>105527</v>
      </c>
      <c r="F66" s="7" t="n">
        <f aca="false">RANDBETWEEN(F65*0.97,F65*1.033)</f>
        <v>1398503</v>
      </c>
    </row>
    <row r="67" customFormat="false" ht="13.8" hidden="false" customHeight="false" outlineLevel="0" collapsed="false">
      <c r="A67" s="0" t="n">
        <v>66</v>
      </c>
      <c r="B67" s="7" t="n">
        <f aca="false">RANDBETWEEN(B66*0.97,B66*1.033)</f>
        <v>13151</v>
      </c>
      <c r="C67" s="7" t="n">
        <f aca="false">RANDBETWEEN(C66*0.97,C66*1.033)</f>
        <v>25872</v>
      </c>
      <c r="D67" s="7" t="n">
        <f aca="false">RANDBETWEEN(D66*0.97,D66*1.033)</f>
        <v>28799</v>
      </c>
      <c r="E67" s="7" t="n">
        <f aca="false">RANDBETWEEN(E66*0.97,E66*1.033)</f>
        <v>103921</v>
      </c>
      <c r="F67" s="7" t="n">
        <f aca="false">RANDBETWEEN(F66*0.97,F66*1.033)</f>
        <v>1437111</v>
      </c>
    </row>
    <row r="68" customFormat="false" ht="13.8" hidden="false" customHeight="false" outlineLevel="0" collapsed="false">
      <c r="A68" s="0" t="n">
        <v>67</v>
      </c>
      <c r="B68" s="7" t="n">
        <f aca="false">RANDBETWEEN(B67*0.97,B67*1.033)</f>
        <v>13496</v>
      </c>
      <c r="C68" s="7" t="n">
        <f aca="false">RANDBETWEEN(C67*0.97,C67*1.033)</f>
        <v>26151</v>
      </c>
      <c r="D68" s="7" t="n">
        <f aca="false">RANDBETWEEN(D67*0.97,D67*1.033)</f>
        <v>29499</v>
      </c>
      <c r="E68" s="7" t="n">
        <f aca="false">RANDBETWEEN(E67*0.97,E67*1.033)</f>
        <v>105990</v>
      </c>
      <c r="F68" s="7" t="n">
        <f aca="false">RANDBETWEEN(F67*0.97,F67*1.033)</f>
        <v>1429852</v>
      </c>
    </row>
    <row r="69" customFormat="false" ht="13.8" hidden="false" customHeight="false" outlineLevel="0" collapsed="false">
      <c r="A69" s="0" t="n">
        <v>68</v>
      </c>
      <c r="B69" s="7" t="n">
        <f aca="false">RANDBETWEEN(B68*0.97,B68*1.033)</f>
        <v>13572</v>
      </c>
      <c r="C69" s="7" t="n">
        <f aca="false">RANDBETWEEN(C68*0.97,C68*1.033)</f>
        <v>25949</v>
      </c>
      <c r="D69" s="7" t="n">
        <f aca="false">RANDBETWEEN(D68*0.97,D68*1.033)</f>
        <v>29213</v>
      </c>
      <c r="E69" s="7" t="n">
        <f aca="false">RANDBETWEEN(E68*0.97,E68*1.033)</f>
        <v>107106</v>
      </c>
      <c r="F69" s="7" t="n">
        <f aca="false">RANDBETWEEN(F68*0.97,F68*1.033)</f>
        <v>1416491</v>
      </c>
    </row>
    <row r="70" customFormat="false" ht="13.8" hidden="false" customHeight="false" outlineLevel="0" collapsed="false">
      <c r="A70" s="0" t="n">
        <v>69</v>
      </c>
      <c r="B70" s="7" t="n">
        <f aca="false">RANDBETWEEN(B69*0.97,B69*1.033)</f>
        <v>13941</v>
      </c>
      <c r="C70" s="7" t="n">
        <f aca="false">RANDBETWEEN(C69*0.97,C69*1.033)</f>
        <v>26257</v>
      </c>
      <c r="D70" s="7" t="n">
        <f aca="false">RANDBETWEEN(D69*0.97,D69*1.033)</f>
        <v>28958</v>
      </c>
      <c r="E70" s="7" t="n">
        <f aca="false">RANDBETWEEN(E69*0.97,E69*1.033)</f>
        <v>108729</v>
      </c>
      <c r="F70" s="7" t="n">
        <f aca="false">RANDBETWEEN(F69*0.97,F69*1.033)</f>
        <v>1416747</v>
      </c>
    </row>
    <row r="71" customFormat="false" ht="13.8" hidden="false" customHeight="false" outlineLevel="0" collapsed="false">
      <c r="A71" s="0" t="n">
        <v>70</v>
      </c>
      <c r="B71" s="7" t="n">
        <f aca="false">RANDBETWEEN(B70*0.97,B70*1.033)</f>
        <v>13617</v>
      </c>
      <c r="C71" s="7" t="n">
        <f aca="false">RANDBETWEEN(C70*0.97,C70*1.033)</f>
        <v>26133</v>
      </c>
      <c r="D71" s="7" t="n">
        <f aca="false">RANDBETWEEN(D70*0.97,D70*1.033)</f>
        <v>29122</v>
      </c>
      <c r="E71" s="7" t="n">
        <f aca="false">RANDBETWEEN(E70*0.97,E70*1.033)</f>
        <v>108403</v>
      </c>
      <c r="F71" s="7" t="n">
        <f aca="false">RANDBETWEEN(F70*0.97,F70*1.033)</f>
        <v>1445065</v>
      </c>
    </row>
    <row r="72" customFormat="false" ht="13.8" hidden="false" customHeight="false" outlineLevel="0" collapsed="false">
      <c r="A72" s="0" t="n">
        <v>71</v>
      </c>
      <c r="B72" s="7" t="n">
        <f aca="false">RANDBETWEEN(B71*0.97,B71*1.033)</f>
        <v>13942</v>
      </c>
      <c r="C72" s="7" t="n">
        <f aca="false">RANDBETWEEN(C71*0.97,C71*1.033)</f>
        <v>26516</v>
      </c>
      <c r="D72" s="7" t="n">
        <f aca="false">RANDBETWEEN(D71*0.97,D71*1.033)</f>
        <v>29574</v>
      </c>
      <c r="E72" s="7" t="n">
        <f aca="false">RANDBETWEEN(E71*0.97,E71*1.033)</f>
        <v>108202</v>
      </c>
      <c r="F72" s="7" t="n">
        <f aca="false">RANDBETWEEN(F71*0.97,F71*1.033)</f>
        <v>1475578</v>
      </c>
    </row>
    <row r="73" customFormat="false" ht="13.8" hidden="false" customHeight="false" outlineLevel="0" collapsed="false">
      <c r="A73" s="0" t="n">
        <v>72</v>
      </c>
      <c r="B73" s="7" t="n">
        <f aca="false">RANDBETWEEN(B72*0.97,B72*1.033)</f>
        <v>13815</v>
      </c>
      <c r="C73" s="7" t="n">
        <f aca="false">RANDBETWEEN(C72*0.97,C72*1.033)</f>
        <v>26907</v>
      </c>
      <c r="D73" s="7" t="n">
        <f aca="false">RANDBETWEEN(D72*0.97,D72*1.033)</f>
        <v>29075</v>
      </c>
      <c r="E73" s="7" t="n">
        <f aca="false">RANDBETWEEN(E72*0.97,E72*1.033)</f>
        <v>110340</v>
      </c>
      <c r="F73" s="7" t="n">
        <f aca="false">RANDBETWEEN(F72*0.97,F72*1.033)</f>
        <v>1472355</v>
      </c>
    </row>
    <row r="74" customFormat="false" ht="13.8" hidden="false" customHeight="false" outlineLevel="0" collapsed="false">
      <c r="A74" s="0" t="n">
        <v>73</v>
      </c>
      <c r="B74" s="7" t="n">
        <f aca="false">RANDBETWEEN(B73*0.97,B73*1.033)</f>
        <v>13761</v>
      </c>
      <c r="C74" s="7" t="n">
        <f aca="false">RANDBETWEEN(C73*0.97,C73*1.033)</f>
        <v>26439</v>
      </c>
      <c r="D74" s="7" t="n">
        <f aca="false">RANDBETWEEN(D73*0.97,D73*1.033)</f>
        <v>28540</v>
      </c>
      <c r="E74" s="7" t="n">
        <f aca="false">RANDBETWEEN(E73*0.97,E73*1.033)</f>
        <v>111787</v>
      </c>
      <c r="F74" s="7" t="n">
        <f aca="false">RANDBETWEEN(F73*0.97,F73*1.033)</f>
        <v>1467062</v>
      </c>
    </row>
    <row r="75" customFormat="false" ht="13.8" hidden="false" customHeight="false" outlineLevel="0" collapsed="false">
      <c r="A75" s="0" t="n">
        <v>74</v>
      </c>
      <c r="B75" s="7" t="n">
        <f aca="false">RANDBETWEEN(B74*0.97,B74*1.033)</f>
        <v>13789</v>
      </c>
      <c r="C75" s="7" t="n">
        <f aca="false">RANDBETWEEN(C74*0.97,C74*1.033)</f>
        <v>25944</v>
      </c>
      <c r="D75" s="7" t="n">
        <f aca="false">RANDBETWEEN(D74*0.97,D74*1.033)</f>
        <v>28816</v>
      </c>
      <c r="E75" s="7" t="n">
        <f aca="false">RANDBETWEEN(E74*0.97,E74*1.033)</f>
        <v>110806</v>
      </c>
      <c r="F75" s="7" t="n">
        <f aca="false">RANDBETWEEN(F74*0.97,F74*1.033)</f>
        <v>1457130</v>
      </c>
    </row>
    <row r="76" customFormat="false" ht="13.8" hidden="false" customHeight="false" outlineLevel="0" collapsed="false">
      <c r="A76" s="0" t="n">
        <v>75</v>
      </c>
      <c r="B76" s="7" t="n">
        <f aca="false">RANDBETWEEN(B75*0.97,B75*1.033)</f>
        <v>13504</v>
      </c>
      <c r="C76" s="7" t="n">
        <f aca="false">RANDBETWEEN(C75*0.97,C75*1.033)</f>
        <v>25399</v>
      </c>
      <c r="D76" s="7" t="n">
        <f aca="false">RANDBETWEEN(D75*0.97,D75*1.033)</f>
        <v>29442</v>
      </c>
      <c r="E76" s="7" t="n">
        <f aca="false">RANDBETWEEN(E75*0.97,E75*1.033)</f>
        <v>107744</v>
      </c>
      <c r="F76" s="7" t="n">
        <f aca="false">RANDBETWEEN(F75*0.97,F75*1.033)</f>
        <v>1442939</v>
      </c>
    </row>
    <row r="77" customFormat="false" ht="13.8" hidden="false" customHeight="false" outlineLevel="0" collapsed="false">
      <c r="A77" s="0" t="n">
        <v>76</v>
      </c>
      <c r="B77" s="7" t="n">
        <f aca="false">RANDBETWEEN(B76*0.97,B76*1.033)</f>
        <v>13510</v>
      </c>
      <c r="C77" s="7" t="n">
        <f aca="false">RANDBETWEEN(C76*0.97,C76*1.033)</f>
        <v>26071</v>
      </c>
      <c r="D77" s="7" t="n">
        <f aca="false">RANDBETWEEN(D76*0.97,D76*1.033)</f>
        <v>30395</v>
      </c>
      <c r="E77" s="7" t="n">
        <f aca="false">RANDBETWEEN(E76*0.97,E76*1.033)</f>
        <v>107428</v>
      </c>
      <c r="F77" s="7" t="n">
        <f aca="false">RANDBETWEEN(F76*0.97,F76*1.033)</f>
        <v>1455064</v>
      </c>
    </row>
    <row r="78" customFormat="false" ht="13.8" hidden="false" customHeight="false" outlineLevel="0" collapsed="false">
      <c r="A78" s="0" t="n">
        <v>77</v>
      </c>
      <c r="B78" s="7" t="n">
        <f aca="false">RANDBETWEEN(B77*0.97,B77*1.033)</f>
        <v>13624</v>
      </c>
      <c r="C78" s="7" t="n">
        <f aca="false">RANDBETWEEN(C77*0.97,C77*1.033)</f>
        <v>26373</v>
      </c>
      <c r="D78" s="7" t="n">
        <f aca="false">RANDBETWEEN(D77*0.97,D77*1.033)</f>
        <v>30993</v>
      </c>
      <c r="E78" s="7" t="n">
        <f aca="false">RANDBETWEEN(E77*0.97,E77*1.033)</f>
        <v>104599</v>
      </c>
      <c r="F78" s="7" t="n">
        <f aca="false">RANDBETWEEN(F77*0.97,F77*1.033)</f>
        <v>1421994</v>
      </c>
    </row>
    <row r="79" customFormat="false" ht="13.8" hidden="false" customHeight="false" outlineLevel="0" collapsed="false">
      <c r="A79" s="0" t="n">
        <v>78</v>
      </c>
      <c r="B79" s="7" t="n">
        <f aca="false">RANDBETWEEN(B78*0.97,B78*1.033)</f>
        <v>13661</v>
      </c>
      <c r="C79" s="7" t="n">
        <f aca="false">RANDBETWEEN(C78*0.97,C78*1.033)</f>
        <v>26895</v>
      </c>
      <c r="D79" s="7" t="n">
        <f aca="false">RANDBETWEEN(D78*0.97,D78*1.033)</f>
        <v>31853</v>
      </c>
      <c r="E79" s="7" t="n">
        <f aca="false">RANDBETWEEN(E78*0.97,E78*1.033)</f>
        <v>101620</v>
      </c>
      <c r="F79" s="7" t="n">
        <f aca="false">RANDBETWEEN(F78*0.97,F78*1.033)</f>
        <v>1381621</v>
      </c>
    </row>
    <row r="80" customFormat="false" ht="13.8" hidden="false" customHeight="false" outlineLevel="0" collapsed="false">
      <c r="A80" s="0" t="n">
        <v>79</v>
      </c>
      <c r="B80" s="7" t="n">
        <f aca="false">RANDBETWEEN(B79*0.97,B79*1.033)</f>
        <v>13938</v>
      </c>
      <c r="C80" s="7" t="n">
        <f aca="false">RANDBETWEEN(C79*0.97,C79*1.033)</f>
        <v>27685</v>
      </c>
      <c r="D80" s="7" t="n">
        <f aca="false">RANDBETWEEN(D79*0.97,D79*1.033)</f>
        <v>32242</v>
      </c>
      <c r="E80" s="7" t="n">
        <f aca="false">RANDBETWEEN(E79*0.97,E79*1.033)</f>
        <v>99537</v>
      </c>
      <c r="F80" s="7" t="n">
        <f aca="false">RANDBETWEEN(F79*0.97,F79*1.033)</f>
        <v>1390791</v>
      </c>
    </row>
    <row r="81" customFormat="false" ht="13.8" hidden="false" customHeight="false" outlineLevel="0" collapsed="false">
      <c r="A81" s="0" t="n">
        <v>80</v>
      </c>
      <c r="B81" s="7" t="n">
        <f aca="false">RANDBETWEEN(B80*0.97,B80*1.033)</f>
        <v>14384</v>
      </c>
      <c r="C81" s="7" t="n">
        <f aca="false">RANDBETWEEN(C80*0.97,C80*1.033)</f>
        <v>27926</v>
      </c>
      <c r="D81" s="7" t="n">
        <f aca="false">RANDBETWEEN(D80*0.97,D80*1.033)</f>
        <v>32800</v>
      </c>
      <c r="E81" s="7" t="n">
        <f aca="false">RANDBETWEEN(E80*0.97,E80*1.033)</f>
        <v>98937</v>
      </c>
      <c r="F81" s="7" t="n">
        <f aca="false">RANDBETWEEN(F80*0.97,F80*1.033)</f>
        <v>1434176</v>
      </c>
    </row>
    <row r="82" customFormat="false" ht="13.8" hidden="false" customHeight="false" outlineLevel="0" collapsed="false">
      <c r="A82" s="0" t="n">
        <v>81</v>
      </c>
      <c r="B82" s="7" t="n">
        <f aca="false">RANDBETWEEN(B81*0.97,B81*1.033)</f>
        <v>14653</v>
      </c>
      <c r="C82" s="7" t="n">
        <f aca="false">RANDBETWEEN(C81*0.97,C81*1.033)</f>
        <v>28500</v>
      </c>
      <c r="D82" s="7" t="n">
        <f aca="false">RANDBETWEEN(D81*0.97,D81*1.033)</f>
        <v>33788</v>
      </c>
      <c r="E82" s="7" t="n">
        <f aca="false">RANDBETWEEN(E81*0.97,E81*1.033)</f>
        <v>100657</v>
      </c>
      <c r="F82" s="7" t="n">
        <f aca="false">RANDBETWEEN(F81*0.97,F81*1.033)</f>
        <v>1472932</v>
      </c>
    </row>
    <row r="83" customFormat="false" ht="13.8" hidden="false" customHeight="false" outlineLevel="0" collapsed="false">
      <c r="A83" s="0" t="n">
        <v>82</v>
      </c>
      <c r="B83" s="7" t="n">
        <f aca="false">RANDBETWEEN(B82*0.97,B82*1.033)</f>
        <v>14878</v>
      </c>
      <c r="C83" s="7" t="n">
        <f aca="false">RANDBETWEEN(C82*0.97,C82*1.033)</f>
        <v>28052</v>
      </c>
      <c r="D83" s="7" t="n">
        <f aca="false">RANDBETWEEN(D82*0.97,D82*1.033)</f>
        <v>34511</v>
      </c>
      <c r="E83" s="7" t="n">
        <f aca="false">RANDBETWEEN(E82*0.97,E82*1.033)</f>
        <v>99066</v>
      </c>
      <c r="F83" s="7" t="n">
        <f aca="false">RANDBETWEEN(F82*0.97,F82*1.033)</f>
        <v>1480481</v>
      </c>
    </row>
    <row r="84" customFormat="false" ht="13.8" hidden="false" customHeight="false" outlineLevel="0" collapsed="false">
      <c r="A84" s="0" t="n">
        <v>83</v>
      </c>
      <c r="B84" s="7" t="n">
        <f aca="false">RANDBETWEEN(B83*0.97,B83*1.033)</f>
        <v>14788</v>
      </c>
      <c r="C84" s="7" t="n">
        <f aca="false">RANDBETWEEN(C83*0.97,C83*1.033)</f>
        <v>27973</v>
      </c>
      <c r="D84" s="7" t="n">
        <f aca="false">RANDBETWEEN(D83*0.97,D83*1.033)</f>
        <v>34496</v>
      </c>
      <c r="E84" s="7" t="n">
        <f aca="false">RANDBETWEEN(E83*0.97,E83*1.033)</f>
        <v>97097</v>
      </c>
      <c r="F84" s="7" t="n">
        <f aca="false">RANDBETWEEN(F83*0.97,F83*1.033)</f>
        <v>1524653</v>
      </c>
    </row>
    <row r="85" customFormat="false" ht="13.8" hidden="false" customHeight="false" outlineLevel="0" collapsed="false">
      <c r="A85" s="0" t="n">
        <v>84</v>
      </c>
      <c r="B85" s="7" t="n">
        <f aca="false">RANDBETWEEN(B84*0.97,B84*1.033)</f>
        <v>14808</v>
      </c>
      <c r="C85" s="7" t="n">
        <f aca="false">RANDBETWEEN(C84*0.97,C84*1.033)</f>
        <v>28765</v>
      </c>
      <c r="D85" s="7" t="n">
        <f aca="false">RANDBETWEEN(D84*0.97,D84*1.033)</f>
        <v>35346</v>
      </c>
      <c r="E85" s="7" t="n">
        <f aca="false">RANDBETWEEN(E84*0.97,E84*1.033)</f>
        <v>96665</v>
      </c>
      <c r="F85" s="7" t="n">
        <f aca="false">RANDBETWEEN(F84*0.97,F84*1.033)</f>
        <v>1564947</v>
      </c>
    </row>
    <row r="86" customFormat="false" ht="13.8" hidden="false" customHeight="false" outlineLevel="0" collapsed="false">
      <c r="A86" s="0" t="n">
        <v>85</v>
      </c>
      <c r="B86" s="7" t="n">
        <f aca="false">RANDBETWEEN(B85*0.97,B85*1.033)</f>
        <v>14968</v>
      </c>
      <c r="C86" s="7" t="n">
        <f aca="false">RANDBETWEEN(C85*0.97,C85*1.033)</f>
        <v>29147</v>
      </c>
      <c r="D86" s="7" t="n">
        <f aca="false">RANDBETWEEN(D85*0.97,D85*1.033)</f>
        <v>34452</v>
      </c>
      <c r="E86" s="7" t="n">
        <f aca="false">RANDBETWEEN(E85*0.97,E85*1.033)</f>
        <v>94697</v>
      </c>
      <c r="F86" s="7" t="n">
        <f aca="false">RANDBETWEEN(F85*0.97,F85*1.033)</f>
        <v>1588825</v>
      </c>
    </row>
    <row r="87" customFormat="false" ht="13.8" hidden="false" customHeight="false" outlineLevel="0" collapsed="false">
      <c r="A87" s="0" t="n">
        <v>86</v>
      </c>
      <c r="B87" s="7" t="n">
        <f aca="false">RANDBETWEEN(B86*0.97,B86*1.033)</f>
        <v>15173</v>
      </c>
      <c r="C87" s="7" t="n">
        <f aca="false">RANDBETWEEN(C86*0.97,C86*1.033)</f>
        <v>28847</v>
      </c>
      <c r="D87" s="7" t="n">
        <f aca="false">RANDBETWEEN(D86*0.97,D86*1.033)</f>
        <v>33701</v>
      </c>
      <c r="E87" s="7" t="n">
        <f aca="false">RANDBETWEEN(E86*0.97,E86*1.033)</f>
        <v>91992</v>
      </c>
      <c r="F87" s="7" t="n">
        <f aca="false">RANDBETWEEN(F86*0.97,F86*1.033)</f>
        <v>1567832</v>
      </c>
    </row>
    <row r="88" customFormat="false" ht="13.8" hidden="false" customHeight="false" outlineLevel="0" collapsed="false">
      <c r="A88" s="0" t="n">
        <v>87</v>
      </c>
      <c r="B88" s="7" t="n">
        <f aca="false">RANDBETWEEN(B87*0.97,B87*1.033)</f>
        <v>15390</v>
      </c>
      <c r="C88" s="7" t="n">
        <f aca="false">RANDBETWEEN(C87*0.97,C87*1.033)</f>
        <v>29606</v>
      </c>
      <c r="D88" s="7" t="n">
        <f aca="false">RANDBETWEEN(D87*0.97,D87*1.033)</f>
        <v>33564</v>
      </c>
      <c r="E88" s="7" t="n">
        <f aca="false">RANDBETWEEN(E87*0.97,E87*1.033)</f>
        <v>94809</v>
      </c>
      <c r="F88" s="7" t="n">
        <f aca="false">RANDBETWEEN(F87*0.97,F87*1.033)</f>
        <v>1599379</v>
      </c>
    </row>
    <row r="89" customFormat="false" ht="13.8" hidden="false" customHeight="false" outlineLevel="0" collapsed="false">
      <c r="A89" s="0" t="n">
        <v>88</v>
      </c>
      <c r="B89" s="7" t="n">
        <f aca="false">RANDBETWEEN(B88*0.97,B88*1.033)</f>
        <v>15839</v>
      </c>
      <c r="C89" s="7" t="n">
        <f aca="false">RANDBETWEEN(C88*0.97,C88*1.033)</f>
        <v>29742</v>
      </c>
      <c r="D89" s="7" t="n">
        <f aca="false">RANDBETWEEN(D88*0.97,D88*1.033)</f>
        <v>34255</v>
      </c>
      <c r="E89" s="7" t="n">
        <f aca="false">RANDBETWEEN(E88*0.97,E88*1.033)</f>
        <v>93163</v>
      </c>
      <c r="F89" s="7" t="n">
        <f aca="false">RANDBETWEEN(F88*0.97,F88*1.033)</f>
        <v>1641958</v>
      </c>
    </row>
    <row r="90" customFormat="false" ht="13.8" hidden="false" customHeight="false" outlineLevel="0" collapsed="false">
      <c r="A90" s="0" t="n">
        <v>89</v>
      </c>
      <c r="B90" s="7" t="n">
        <f aca="false">RANDBETWEEN(B89*0.97,B89*1.033)</f>
        <v>16317</v>
      </c>
      <c r="C90" s="7" t="n">
        <f aca="false">RANDBETWEEN(C89*0.97,C89*1.033)</f>
        <v>29586</v>
      </c>
      <c r="D90" s="7" t="n">
        <f aca="false">RANDBETWEEN(D89*0.97,D89*1.033)</f>
        <v>33513</v>
      </c>
      <c r="E90" s="7" t="n">
        <f aca="false">RANDBETWEEN(E89*0.97,E89*1.033)</f>
        <v>95153</v>
      </c>
      <c r="F90" s="7" t="n">
        <f aca="false">RANDBETWEEN(F89*0.97,F89*1.033)</f>
        <v>1597044</v>
      </c>
    </row>
    <row r="91" customFormat="false" ht="13.8" hidden="false" customHeight="false" outlineLevel="0" collapsed="false">
      <c r="A91" s="0" t="n">
        <v>90</v>
      </c>
      <c r="B91" s="7" t="n">
        <f aca="false">RANDBETWEEN(B90*0.97,B90*1.033)</f>
        <v>16849</v>
      </c>
      <c r="C91" s="7" t="n">
        <f aca="false">RANDBETWEEN(C90*0.97,C90*1.033)</f>
        <v>29227</v>
      </c>
      <c r="D91" s="7" t="n">
        <f aca="false">RANDBETWEEN(D90*0.97,D90*1.033)</f>
        <v>33148</v>
      </c>
      <c r="E91" s="7" t="n">
        <f aca="false">RANDBETWEEN(E90*0.97,E90*1.033)</f>
        <v>96106</v>
      </c>
      <c r="F91" s="7" t="n">
        <f aca="false">RANDBETWEEN(F90*0.97,F90*1.033)</f>
        <v>1598292</v>
      </c>
    </row>
    <row r="92" customFormat="false" ht="13.8" hidden="false" customHeight="false" outlineLevel="0" collapsed="false">
      <c r="A92" s="0" t="n">
        <v>91</v>
      </c>
      <c r="B92" s="7" t="n">
        <f aca="false">RANDBETWEEN(B91*0.97,B91*1.033)</f>
        <v>16810</v>
      </c>
      <c r="C92" s="7" t="n">
        <f aca="false">RANDBETWEEN(C91*0.97,C91*1.033)</f>
        <v>29339</v>
      </c>
      <c r="D92" s="7" t="n">
        <f aca="false">RANDBETWEEN(D91*0.97,D91*1.033)</f>
        <v>33743</v>
      </c>
      <c r="E92" s="7" t="n">
        <f aca="false">RANDBETWEEN(E91*0.97,E91*1.033)</f>
        <v>95505</v>
      </c>
      <c r="F92" s="7" t="n">
        <f aca="false">RANDBETWEEN(F91*0.97,F91*1.033)</f>
        <v>1594451</v>
      </c>
    </row>
    <row r="93" customFormat="false" ht="13.8" hidden="false" customHeight="false" outlineLevel="0" collapsed="false">
      <c r="A93" s="0" t="n">
        <v>92</v>
      </c>
      <c r="B93" s="7" t="n">
        <f aca="false">RANDBETWEEN(B92*0.97,B92*1.033)</f>
        <v>16808</v>
      </c>
      <c r="C93" s="7" t="n">
        <f aca="false">RANDBETWEEN(C92*0.97,C92*1.033)</f>
        <v>29367</v>
      </c>
      <c r="D93" s="7" t="n">
        <f aca="false">RANDBETWEEN(D92*0.97,D92*1.033)</f>
        <v>34329</v>
      </c>
      <c r="E93" s="7" t="n">
        <f aca="false">RANDBETWEEN(E92*0.97,E92*1.033)</f>
        <v>93662</v>
      </c>
      <c r="F93" s="7" t="n">
        <f aca="false">RANDBETWEEN(F92*0.97,F92*1.033)</f>
        <v>1606402</v>
      </c>
    </row>
    <row r="94" customFormat="false" ht="13.8" hidden="false" customHeight="false" outlineLevel="0" collapsed="false">
      <c r="A94" s="0" t="n">
        <v>93</v>
      </c>
      <c r="B94" s="7" t="n">
        <f aca="false">RANDBETWEEN(B93*0.97,B93*1.033)</f>
        <v>17241</v>
      </c>
      <c r="C94" s="7" t="n">
        <f aca="false">RANDBETWEEN(C93*0.97,C93*1.033)</f>
        <v>29689</v>
      </c>
      <c r="D94" s="7" t="n">
        <f aca="false">RANDBETWEEN(D93*0.97,D93*1.033)</f>
        <v>34867</v>
      </c>
      <c r="E94" s="7" t="n">
        <f aca="false">RANDBETWEEN(E93*0.97,E93*1.033)</f>
        <v>93908</v>
      </c>
      <c r="F94" s="7" t="n">
        <f aca="false">RANDBETWEEN(F93*0.97,F93*1.033)</f>
        <v>1561028</v>
      </c>
    </row>
    <row r="95" customFormat="false" ht="13.8" hidden="false" customHeight="false" outlineLevel="0" collapsed="false">
      <c r="A95" s="0" t="n">
        <v>94</v>
      </c>
      <c r="B95" s="7" t="n">
        <f aca="false">RANDBETWEEN(B94*0.97,B94*1.033)</f>
        <v>17106</v>
      </c>
      <c r="C95" s="7" t="n">
        <f aca="false">RANDBETWEEN(C94*0.97,C94*1.033)</f>
        <v>28860</v>
      </c>
      <c r="D95" s="7" t="n">
        <f aca="false">RANDBETWEEN(D94*0.97,D94*1.033)</f>
        <v>35709</v>
      </c>
      <c r="E95" s="7" t="n">
        <f aca="false">RANDBETWEEN(E94*0.97,E94*1.033)</f>
        <v>95689</v>
      </c>
      <c r="F95" s="7" t="n">
        <f aca="false">RANDBETWEEN(F94*0.97,F94*1.033)</f>
        <v>1538569</v>
      </c>
    </row>
    <row r="96" customFormat="false" ht="13.8" hidden="false" customHeight="false" outlineLevel="0" collapsed="false">
      <c r="A96" s="0" t="n">
        <v>95</v>
      </c>
      <c r="B96" s="7" t="n">
        <f aca="false">RANDBETWEEN(B95*0.97,B95*1.033)</f>
        <v>17402</v>
      </c>
      <c r="C96" s="7" t="n">
        <f aca="false">RANDBETWEEN(C95*0.97,C95*1.033)</f>
        <v>28456</v>
      </c>
      <c r="D96" s="7" t="n">
        <f aca="false">RANDBETWEEN(D95*0.97,D95*1.033)</f>
        <v>36607</v>
      </c>
      <c r="E96" s="7" t="n">
        <f aca="false">RANDBETWEEN(E95*0.97,E95*1.033)</f>
        <v>96600</v>
      </c>
      <c r="F96" s="7" t="n">
        <f aca="false">RANDBETWEEN(F95*0.97,F95*1.033)</f>
        <v>1530911</v>
      </c>
    </row>
    <row r="97" customFormat="false" ht="13.8" hidden="false" customHeight="false" outlineLevel="0" collapsed="false">
      <c r="A97" s="0" t="n">
        <v>96</v>
      </c>
      <c r="B97" s="7" t="n">
        <f aca="false">RANDBETWEEN(B96*0.97,B96*1.033)</f>
        <v>17315</v>
      </c>
      <c r="C97" s="7" t="n">
        <f aca="false">RANDBETWEEN(C96*0.97,C96*1.033)</f>
        <v>27959</v>
      </c>
      <c r="D97" s="7" t="n">
        <f aca="false">RANDBETWEEN(D96*0.97,D96*1.033)</f>
        <v>36234</v>
      </c>
      <c r="E97" s="7" t="n">
        <f aca="false">RANDBETWEEN(E96*0.97,E96*1.033)</f>
        <v>99350</v>
      </c>
      <c r="F97" s="7" t="n">
        <f aca="false">RANDBETWEEN(F96*0.97,F96*1.033)</f>
        <v>1501090</v>
      </c>
    </row>
    <row r="98" customFormat="false" ht="13.8" hidden="false" customHeight="false" outlineLevel="0" collapsed="false">
      <c r="A98" s="0" t="n">
        <v>97</v>
      </c>
      <c r="B98" s="7" t="n">
        <f aca="false">RANDBETWEEN(B97*0.97,B97*1.033)</f>
        <v>17199</v>
      </c>
      <c r="C98" s="7" t="n">
        <f aca="false">RANDBETWEEN(C97*0.97,C97*1.033)</f>
        <v>28248</v>
      </c>
      <c r="D98" s="7" t="n">
        <f aca="false">RANDBETWEEN(D97*0.97,D97*1.033)</f>
        <v>37074</v>
      </c>
      <c r="E98" s="7" t="n">
        <f aca="false">RANDBETWEEN(E97*0.97,E97*1.033)</f>
        <v>98862</v>
      </c>
      <c r="F98" s="7" t="n">
        <f aca="false">RANDBETWEEN(F97*0.97,F97*1.033)</f>
        <v>1478147</v>
      </c>
    </row>
    <row r="99" customFormat="false" ht="13.8" hidden="false" customHeight="false" outlineLevel="0" collapsed="false">
      <c r="A99" s="0" t="n">
        <v>98</v>
      </c>
      <c r="B99" s="7" t="n">
        <f aca="false">RANDBETWEEN(B98*0.97,B98*1.033)</f>
        <v>17374</v>
      </c>
      <c r="C99" s="7" t="n">
        <f aca="false">RANDBETWEEN(C98*0.97,C98*1.033)</f>
        <v>28718</v>
      </c>
      <c r="D99" s="7" t="n">
        <f aca="false">RANDBETWEEN(D98*0.97,D98*1.033)</f>
        <v>37056</v>
      </c>
      <c r="E99" s="7" t="n">
        <f aca="false">RANDBETWEEN(E98*0.97,E98*1.033)</f>
        <v>99516</v>
      </c>
      <c r="F99" s="7" t="n">
        <f aca="false">RANDBETWEEN(F98*0.97,F98*1.033)</f>
        <v>1450170</v>
      </c>
    </row>
    <row r="100" customFormat="false" ht="13.8" hidden="false" customHeight="false" outlineLevel="0" collapsed="false">
      <c r="A100" s="0" t="n">
        <v>99</v>
      </c>
      <c r="B100" s="7" t="n">
        <f aca="false">RANDBETWEEN(B99*0.97,B99*1.033)</f>
        <v>17732</v>
      </c>
      <c r="C100" s="7" t="n">
        <f aca="false">RANDBETWEEN(C99*0.97,C99*1.033)</f>
        <v>28204</v>
      </c>
      <c r="D100" s="7" t="n">
        <f aca="false">RANDBETWEEN(D99*0.97,D99*1.033)</f>
        <v>37104</v>
      </c>
      <c r="E100" s="7" t="n">
        <f aca="false">RANDBETWEEN(E99*0.97,E99*1.033)</f>
        <v>98531</v>
      </c>
      <c r="F100" s="7" t="n">
        <f aca="false">RANDBETWEEN(F99*0.97,F99*1.033)</f>
        <v>1425478</v>
      </c>
    </row>
    <row r="101" customFormat="false" ht="13.8" hidden="false" customHeight="false" outlineLevel="0" collapsed="false">
      <c r="A101" s="0" t="n">
        <v>100</v>
      </c>
      <c r="B101" s="7" t="n">
        <f aca="false">RANDBETWEEN(B100*0.97,B100*1.033)</f>
        <v>17882</v>
      </c>
      <c r="C101" s="7" t="n">
        <f aca="false">RANDBETWEEN(C100*0.97,C100*1.033)</f>
        <v>28392</v>
      </c>
      <c r="D101" s="7" t="n">
        <f aca="false">RANDBETWEEN(D100*0.97,D100*1.033)</f>
        <v>37107</v>
      </c>
      <c r="E101" s="7" t="n">
        <f aca="false">RANDBETWEEN(E100*0.97,E100*1.033)</f>
        <v>98450</v>
      </c>
      <c r="F101" s="7" t="n">
        <f aca="false">RANDBETWEEN(F100*0.97,F100*1.033)</f>
        <v>1417759</v>
      </c>
    </row>
    <row r="102" customFormat="false" ht="13.8" hidden="false" customHeight="false" outlineLevel="0" collapsed="false">
      <c r="A102" s="0" t="n">
        <v>101</v>
      </c>
      <c r="B102" s="7" t="n">
        <f aca="false">RANDBETWEEN(B101*0.97,B101*1.033)</f>
        <v>18166</v>
      </c>
      <c r="C102" s="7" t="n">
        <f aca="false">RANDBETWEEN(C101*0.97,C101*1.033)</f>
        <v>28090</v>
      </c>
      <c r="D102" s="7" t="n">
        <f aca="false">RANDBETWEEN(D101*0.97,D101*1.033)</f>
        <v>36542</v>
      </c>
      <c r="E102" s="7" t="n">
        <f aca="false">RANDBETWEEN(E101*0.97,E101*1.033)</f>
        <v>97338</v>
      </c>
      <c r="F102" s="7" t="n">
        <f aca="false">RANDBETWEEN(F101*0.97,F101*1.033)</f>
        <v>1421674</v>
      </c>
    </row>
    <row r="103" customFormat="false" ht="13.8" hidden="false" customHeight="false" outlineLevel="0" collapsed="false">
      <c r="A103" s="0" t="n">
        <v>102</v>
      </c>
      <c r="B103" s="7" t="n">
        <f aca="false">RANDBETWEEN(B102*0.97,B102*1.033)</f>
        <v>17971</v>
      </c>
      <c r="C103" s="7" t="n">
        <f aca="false">RANDBETWEEN(C102*0.97,C102*1.033)</f>
        <v>27799</v>
      </c>
      <c r="D103" s="7" t="n">
        <f aca="false">RANDBETWEEN(D102*0.97,D102*1.033)</f>
        <v>36829</v>
      </c>
      <c r="E103" s="7" t="n">
        <f aca="false">RANDBETWEEN(E102*0.97,E102*1.033)</f>
        <v>99704</v>
      </c>
      <c r="F103" s="7" t="n">
        <f aca="false">RANDBETWEEN(F102*0.97,F102*1.033)</f>
        <v>1409213</v>
      </c>
    </row>
    <row r="104" customFormat="false" ht="13.8" hidden="false" customHeight="false" outlineLevel="0" collapsed="false">
      <c r="A104" s="0" t="n">
        <v>103</v>
      </c>
      <c r="B104" s="7" t="n">
        <f aca="false">RANDBETWEEN(B103*0.97,B103*1.033)</f>
        <v>17623</v>
      </c>
      <c r="C104" s="7" t="n">
        <f aca="false">RANDBETWEEN(C103*0.97,C103*1.033)</f>
        <v>28025</v>
      </c>
      <c r="D104" s="7" t="n">
        <f aca="false">RANDBETWEEN(D103*0.97,D103*1.033)</f>
        <v>37059</v>
      </c>
      <c r="E104" s="7" t="n">
        <f aca="false">RANDBETWEEN(E103*0.97,E103*1.033)</f>
        <v>99813</v>
      </c>
      <c r="F104" s="7" t="n">
        <f aca="false">RANDBETWEEN(F103*0.97,F103*1.033)</f>
        <v>1419476</v>
      </c>
    </row>
    <row r="105" customFormat="false" ht="13.8" hidden="false" customHeight="false" outlineLevel="0" collapsed="false">
      <c r="A105" s="0" t="n">
        <v>104</v>
      </c>
      <c r="B105" s="7" t="n">
        <f aca="false">RANDBETWEEN(B104*0.97,B104*1.033)</f>
        <v>17825</v>
      </c>
      <c r="C105" s="7" t="n">
        <f aca="false">RANDBETWEEN(C104*0.97,C104*1.033)</f>
        <v>28553</v>
      </c>
      <c r="D105" s="7" t="n">
        <f aca="false">RANDBETWEEN(D104*0.97,D104*1.033)</f>
        <v>36041</v>
      </c>
      <c r="E105" s="7" t="n">
        <f aca="false">RANDBETWEEN(E104*0.97,E104*1.033)</f>
        <v>103059</v>
      </c>
      <c r="F105" s="7" t="n">
        <f aca="false">RANDBETWEEN(F104*0.97,F104*1.033)</f>
        <v>1405323</v>
      </c>
    </row>
    <row r="106" customFormat="false" ht="13.8" hidden="false" customHeight="false" outlineLevel="0" collapsed="false">
      <c r="A106" s="0" t="n">
        <v>105</v>
      </c>
      <c r="B106" s="7" t="n">
        <f aca="false">RANDBETWEEN(B105*0.97,B105*1.033)</f>
        <v>17700</v>
      </c>
      <c r="C106" s="7" t="n">
        <f aca="false">RANDBETWEEN(C105*0.97,C105*1.033)</f>
        <v>28413</v>
      </c>
      <c r="D106" s="7" t="n">
        <f aca="false">RANDBETWEEN(D105*0.97,D105*1.033)</f>
        <v>35171</v>
      </c>
      <c r="E106" s="7" t="n">
        <f aca="false">RANDBETWEEN(E105*0.97,E105*1.033)</f>
        <v>105430</v>
      </c>
      <c r="F106" s="7" t="n">
        <f aca="false">RANDBETWEEN(F105*0.97,F105*1.033)</f>
        <v>1439607</v>
      </c>
    </row>
    <row r="107" customFormat="false" ht="13.8" hidden="false" customHeight="false" outlineLevel="0" collapsed="false">
      <c r="A107" s="0" t="n">
        <v>106</v>
      </c>
      <c r="B107" s="7" t="n">
        <f aca="false">RANDBETWEEN(B106*0.97,B106*1.033)</f>
        <v>17299</v>
      </c>
      <c r="C107" s="7" t="n">
        <f aca="false">RANDBETWEEN(C106*0.97,C106*1.033)</f>
        <v>27864</v>
      </c>
      <c r="D107" s="7" t="n">
        <f aca="false">RANDBETWEEN(D106*0.97,D106*1.033)</f>
        <v>34957</v>
      </c>
      <c r="E107" s="7" t="n">
        <f aca="false">RANDBETWEEN(E106*0.97,E106*1.033)</f>
        <v>104222</v>
      </c>
      <c r="F107" s="7" t="n">
        <f aca="false">RANDBETWEEN(F106*0.97,F106*1.033)</f>
        <v>1475715</v>
      </c>
    </row>
    <row r="108" customFormat="false" ht="13.8" hidden="false" customHeight="false" outlineLevel="0" collapsed="false">
      <c r="A108" s="0" t="n">
        <v>107</v>
      </c>
      <c r="B108" s="7" t="n">
        <f aca="false">RANDBETWEEN(B107*0.97,B107*1.033)</f>
        <v>16837</v>
      </c>
      <c r="C108" s="7" t="n">
        <f aca="false">RANDBETWEEN(C107*0.97,C107*1.033)</f>
        <v>28285</v>
      </c>
      <c r="D108" s="7" t="n">
        <f aca="false">RANDBETWEEN(D107*0.97,D107*1.033)</f>
        <v>35680</v>
      </c>
      <c r="E108" s="7" t="n">
        <f aca="false">RANDBETWEEN(E107*0.97,E107*1.033)</f>
        <v>101339</v>
      </c>
      <c r="F108" s="7" t="n">
        <f aca="false">RANDBETWEEN(F107*0.97,F107*1.033)</f>
        <v>1478004</v>
      </c>
    </row>
    <row r="109" customFormat="false" ht="13.8" hidden="false" customHeight="false" outlineLevel="0" collapsed="false">
      <c r="A109" s="0" t="n">
        <v>108</v>
      </c>
      <c r="B109" s="7" t="n">
        <f aca="false">RANDBETWEEN(B108*0.97,B108*1.033)</f>
        <v>17043</v>
      </c>
      <c r="C109" s="7" t="n">
        <f aca="false">RANDBETWEEN(C108*0.97,C108*1.033)</f>
        <v>27584</v>
      </c>
      <c r="D109" s="7" t="n">
        <f aca="false">RANDBETWEEN(D108*0.97,D108*1.033)</f>
        <v>34914</v>
      </c>
      <c r="E109" s="7" t="n">
        <f aca="false">RANDBETWEEN(E108*0.97,E108*1.033)</f>
        <v>98332</v>
      </c>
      <c r="F109" s="7" t="n">
        <f aca="false">RANDBETWEEN(F108*0.97,F108*1.033)</f>
        <v>1493291</v>
      </c>
    </row>
    <row r="110" customFormat="false" ht="13.8" hidden="false" customHeight="false" outlineLevel="0" collapsed="false">
      <c r="A110" s="0" t="n">
        <v>109</v>
      </c>
      <c r="B110" s="7" t="n">
        <f aca="false">RANDBETWEEN(B109*0.97,B109*1.033)</f>
        <v>16671</v>
      </c>
      <c r="C110" s="7" t="n">
        <f aca="false">RANDBETWEEN(C109*0.97,C109*1.033)</f>
        <v>27407</v>
      </c>
      <c r="D110" s="7" t="n">
        <f aca="false">RANDBETWEEN(D109*0.97,D109*1.033)</f>
        <v>34920</v>
      </c>
      <c r="E110" s="7" t="n">
        <f aca="false">RANDBETWEEN(E109*0.97,E109*1.033)</f>
        <v>98257</v>
      </c>
      <c r="F110" s="7" t="n">
        <f aca="false">RANDBETWEEN(F109*0.97,F109*1.033)</f>
        <v>1511840</v>
      </c>
    </row>
    <row r="111" customFormat="false" ht="13.8" hidden="false" customHeight="false" outlineLevel="0" collapsed="false">
      <c r="A111" s="0" t="n">
        <v>110</v>
      </c>
      <c r="B111" s="7" t="n">
        <f aca="false">RANDBETWEEN(B110*0.97,B110*1.033)</f>
        <v>16784</v>
      </c>
      <c r="C111" s="7" t="n">
        <f aca="false">RANDBETWEEN(C110*0.97,C110*1.033)</f>
        <v>27190</v>
      </c>
      <c r="D111" s="7" t="n">
        <f aca="false">RANDBETWEEN(D110*0.97,D110*1.033)</f>
        <v>34827</v>
      </c>
      <c r="E111" s="7" t="n">
        <f aca="false">RANDBETWEEN(E110*0.97,E110*1.033)</f>
        <v>96489</v>
      </c>
      <c r="F111" s="7" t="n">
        <f aca="false">RANDBETWEEN(F110*0.97,F110*1.033)</f>
        <v>1545214</v>
      </c>
    </row>
    <row r="112" customFormat="false" ht="13.8" hidden="false" customHeight="false" outlineLevel="0" collapsed="false">
      <c r="A112" s="0" t="n">
        <v>111</v>
      </c>
      <c r="B112" s="7" t="n">
        <f aca="false">RANDBETWEEN(B111*0.97,B111*1.033)</f>
        <v>17081</v>
      </c>
      <c r="C112" s="7" t="n">
        <f aca="false">RANDBETWEEN(C111*0.97,C111*1.033)</f>
        <v>27683</v>
      </c>
      <c r="D112" s="7" t="n">
        <f aca="false">RANDBETWEEN(D111*0.97,D111*1.033)</f>
        <v>35476</v>
      </c>
      <c r="E112" s="7" t="n">
        <f aca="false">RANDBETWEEN(E111*0.97,E111*1.033)</f>
        <v>97553</v>
      </c>
      <c r="F112" s="7" t="n">
        <f aca="false">RANDBETWEEN(F111*0.97,F111*1.033)</f>
        <v>1562736</v>
      </c>
    </row>
    <row r="113" customFormat="false" ht="13.8" hidden="false" customHeight="false" outlineLevel="0" collapsed="false">
      <c r="A113" s="0" t="n">
        <v>112</v>
      </c>
      <c r="B113" s="7" t="n">
        <f aca="false">RANDBETWEEN(B112*0.97,B112*1.033)</f>
        <v>17202</v>
      </c>
      <c r="C113" s="7" t="n">
        <f aca="false">RANDBETWEEN(C112*0.97,C112*1.033)</f>
        <v>27690</v>
      </c>
      <c r="D113" s="7" t="n">
        <f aca="false">RANDBETWEEN(D112*0.97,D112*1.033)</f>
        <v>36522</v>
      </c>
      <c r="E113" s="7" t="n">
        <f aca="false">RANDBETWEEN(E112*0.97,E112*1.033)</f>
        <v>96826</v>
      </c>
      <c r="F113" s="7" t="n">
        <f aca="false">RANDBETWEEN(F112*0.97,F112*1.033)</f>
        <v>1582200</v>
      </c>
    </row>
    <row r="114" customFormat="false" ht="13.8" hidden="false" customHeight="false" outlineLevel="0" collapsed="false">
      <c r="A114" s="0" t="n">
        <v>113</v>
      </c>
      <c r="B114" s="7" t="n">
        <f aca="false">RANDBETWEEN(B113*0.97,B113*1.033)</f>
        <v>16800</v>
      </c>
      <c r="C114" s="7" t="n">
        <f aca="false">RANDBETWEEN(C113*0.97,C113*1.033)</f>
        <v>27181</v>
      </c>
      <c r="D114" s="7" t="n">
        <f aca="false">RANDBETWEEN(D113*0.97,D113*1.033)</f>
        <v>36017</v>
      </c>
      <c r="E114" s="7" t="n">
        <f aca="false">RANDBETWEEN(E113*0.97,E113*1.033)</f>
        <v>99925</v>
      </c>
      <c r="F114" s="7" t="n">
        <f aca="false">RANDBETWEEN(F113*0.97,F113*1.033)</f>
        <v>1606175</v>
      </c>
    </row>
    <row r="115" customFormat="false" ht="13.8" hidden="false" customHeight="false" outlineLevel="0" collapsed="false">
      <c r="A115" s="0" t="n">
        <v>114</v>
      </c>
      <c r="B115" s="7" t="n">
        <f aca="false">RANDBETWEEN(B114*0.97,B114*1.033)</f>
        <v>17196</v>
      </c>
      <c r="C115" s="7" t="n">
        <f aca="false">RANDBETWEEN(C114*0.97,C114*1.033)</f>
        <v>26875</v>
      </c>
      <c r="D115" s="7" t="n">
        <f aca="false">RANDBETWEEN(D114*0.97,D114*1.033)</f>
        <v>35352</v>
      </c>
      <c r="E115" s="7" t="n">
        <f aca="false">RANDBETWEEN(E114*0.97,E114*1.033)</f>
        <v>98385</v>
      </c>
      <c r="F115" s="7" t="n">
        <f aca="false">RANDBETWEEN(F114*0.97,F114*1.033)</f>
        <v>1635883</v>
      </c>
    </row>
    <row r="116" customFormat="false" ht="13.8" hidden="false" customHeight="false" outlineLevel="0" collapsed="false">
      <c r="A116" s="0" t="n">
        <v>115</v>
      </c>
      <c r="B116" s="7" t="n">
        <f aca="false">RANDBETWEEN(B115*0.97,B115*1.033)</f>
        <v>17164</v>
      </c>
      <c r="C116" s="7" t="n">
        <f aca="false">RANDBETWEEN(C115*0.97,C115*1.033)</f>
        <v>26576</v>
      </c>
      <c r="D116" s="7" t="n">
        <f aca="false">RANDBETWEEN(D115*0.97,D115*1.033)</f>
        <v>36168</v>
      </c>
      <c r="E116" s="7" t="n">
        <f aca="false">RANDBETWEEN(E115*0.97,E115*1.033)</f>
        <v>99588</v>
      </c>
      <c r="F116" s="7" t="n">
        <f aca="false">RANDBETWEEN(F115*0.97,F115*1.033)</f>
        <v>1662040</v>
      </c>
    </row>
    <row r="117" customFormat="false" ht="13.8" hidden="false" customHeight="false" outlineLevel="0" collapsed="false">
      <c r="A117" s="0" t="n">
        <v>116</v>
      </c>
      <c r="B117" s="7" t="n">
        <f aca="false">RANDBETWEEN(B116*0.97,B116*1.033)</f>
        <v>17669</v>
      </c>
      <c r="C117" s="7" t="n">
        <f aca="false">RANDBETWEEN(C116*0.97,C116*1.033)</f>
        <v>26570</v>
      </c>
      <c r="D117" s="7" t="n">
        <f aca="false">RANDBETWEEN(D116*0.97,D116*1.033)</f>
        <v>36398</v>
      </c>
      <c r="E117" s="7" t="n">
        <f aca="false">RANDBETWEEN(E116*0.97,E116*1.033)</f>
        <v>100646</v>
      </c>
      <c r="F117" s="7" t="n">
        <f aca="false">RANDBETWEEN(F116*0.97,F116*1.033)</f>
        <v>1664233</v>
      </c>
    </row>
    <row r="118" customFormat="false" ht="13.8" hidden="false" customHeight="false" outlineLevel="0" collapsed="false">
      <c r="A118" s="0" t="n">
        <v>117</v>
      </c>
      <c r="B118" s="7" t="n">
        <f aca="false">RANDBETWEEN(B117*0.97,B117*1.033)</f>
        <v>17159</v>
      </c>
      <c r="C118" s="7" t="n">
        <f aca="false">RANDBETWEEN(C117*0.97,C117*1.033)</f>
        <v>26388</v>
      </c>
      <c r="D118" s="7" t="n">
        <f aca="false">RANDBETWEEN(D117*0.97,D117*1.033)</f>
        <v>36974</v>
      </c>
      <c r="E118" s="7" t="n">
        <f aca="false">RANDBETWEEN(E117*0.97,E117*1.033)</f>
        <v>101844</v>
      </c>
      <c r="F118" s="7" t="n">
        <f aca="false">RANDBETWEEN(F117*0.97,F117*1.033)</f>
        <v>1709770</v>
      </c>
    </row>
    <row r="119" customFormat="false" ht="13.8" hidden="false" customHeight="false" outlineLevel="0" collapsed="false">
      <c r="A119" s="0" t="n">
        <v>118</v>
      </c>
      <c r="B119" s="7" t="n">
        <f aca="false">RANDBETWEEN(B118*0.97,B118*1.033)</f>
        <v>16680</v>
      </c>
      <c r="C119" s="7" t="n">
        <f aca="false">RANDBETWEEN(C118*0.97,C118*1.033)</f>
        <v>25854</v>
      </c>
      <c r="D119" s="7" t="n">
        <f aca="false">RANDBETWEEN(D118*0.97,D118*1.033)</f>
        <v>36464</v>
      </c>
      <c r="E119" s="7" t="n">
        <f aca="false">RANDBETWEEN(E118*0.97,E118*1.033)</f>
        <v>99634</v>
      </c>
      <c r="F119" s="7" t="n">
        <f aca="false">RANDBETWEEN(F118*0.97,F118*1.033)</f>
        <v>1687844</v>
      </c>
    </row>
    <row r="120" customFormat="false" ht="13.8" hidden="false" customHeight="false" outlineLevel="0" collapsed="false">
      <c r="A120" s="0" t="n">
        <v>119</v>
      </c>
      <c r="B120" s="7" t="n">
        <f aca="false">RANDBETWEEN(B119*0.97,B119*1.033)</f>
        <v>16872</v>
      </c>
      <c r="C120" s="7" t="n">
        <f aca="false">RANDBETWEEN(C119*0.97,C119*1.033)</f>
        <v>26276</v>
      </c>
      <c r="D120" s="7" t="n">
        <f aca="false">RANDBETWEEN(D119*0.97,D119*1.033)</f>
        <v>36105</v>
      </c>
      <c r="E120" s="7" t="n">
        <f aca="false">RANDBETWEEN(E119*0.97,E119*1.033)</f>
        <v>99166</v>
      </c>
      <c r="F120" s="7" t="n">
        <f aca="false">RANDBETWEEN(F119*0.97,F119*1.033)</f>
        <v>1677918</v>
      </c>
    </row>
    <row r="121" customFormat="false" ht="13.8" hidden="false" customHeight="false" outlineLevel="0" collapsed="false">
      <c r="A121" s="0" t="n">
        <v>120</v>
      </c>
      <c r="B121" s="7" t="n">
        <f aca="false">RANDBETWEEN(B120*0.97,B120*1.033)</f>
        <v>16430</v>
      </c>
      <c r="C121" s="7" t="n">
        <f aca="false">RANDBETWEEN(C120*0.97,C120*1.033)</f>
        <v>26262</v>
      </c>
      <c r="D121" s="7" t="n">
        <f aca="false">RANDBETWEEN(D120*0.97,D120*1.033)</f>
        <v>36576</v>
      </c>
      <c r="E121" s="7" t="n">
        <f aca="false">RANDBETWEEN(E120*0.97,E120*1.033)</f>
        <v>101457</v>
      </c>
      <c r="F121" s="7" t="n">
        <f aca="false">RANDBETWEEN(F120*0.97,F120*1.033)</f>
        <v>1659625</v>
      </c>
    </row>
    <row r="122" customFormat="false" ht="13.8" hidden="false" customHeight="false" outlineLevel="0" collapsed="false">
      <c r="A122" s="0" t="n">
        <v>121</v>
      </c>
      <c r="B122" s="7" t="n">
        <f aca="false">RANDBETWEEN(B121*0.97,B121*1.033)</f>
        <v>16558</v>
      </c>
      <c r="C122" s="7" t="n">
        <f aca="false">RANDBETWEEN(C121*0.97,C121*1.033)</f>
        <v>26501</v>
      </c>
      <c r="D122" s="7" t="n">
        <f aca="false">RANDBETWEEN(D121*0.97,D121*1.033)</f>
        <v>37588</v>
      </c>
      <c r="E122" s="7" t="n">
        <f aca="false">RANDBETWEEN(E121*0.97,E121*1.033)</f>
        <v>101523</v>
      </c>
      <c r="F122" s="7" t="n">
        <f aca="false">RANDBETWEEN(F121*0.97,F121*1.033)</f>
        <v>1626975</v>
      </c>
    </row>
    <row r="123" customFormat="false" ht="13.8" hidden="false" customHeight="false" outlineLevel="0" collapsed="false">
      <c r="A123" s="0" t="n">
        <v>122</v>
      </c>
      <c r="B123" s="7" t="n">
        <f aca="false">RANDBETWEEN(B122*0.97,B122*1.033)</f>
        <v>16341</v>
      </c>
      <c r="C123" s="7" t="n">
        <f aca="false">RANDBETWEEN(C122*0.97,C122*1.033)</f>
        <v>26907</v>
      </c>
      <c r="D123" s="7" t="n">
        <f aca="false">RANDBETWEEN(D122*0.97,D122*1.033)</f>
        <v>37322</v>
      </c>
      <c r="E123" s="7" t="n">
        <f aca="false">RANDBETWEEN(E122*0.97,E122*1.033)</f>
        <v>100115</v>
      </c>
      <c r="F123" s="7" t="n">
        <f aca="false">RANDBETWEEN(F122*0.97,F122*1.033)</f>
        <v>1612580</v>
      </c>
    </row>
    <row r="124" customFormat="false" ht="13.8" hidden="false" customHeight="false" outlineLevel="0" collapsed="false">
      <c r="A124" s="0" t="n">
        <v>123</v>
      </c>
      <c r="B124" s="7" t="n">
        <f aca="false">RANDBETWEEN(B123*0.97,B123*1.033)</f>
        <v>15900</v>
      </c>
      <c r="C124" s="7" t="n">
        <f aca="false">RANDBETWEEN(C123*0.97,C123*1.033)</f>
        <v>26790</v>
      </c>
      <c r="D124" s="7" t="n">
        <f aca="false">RANDBETWEEN(D123*0.97,D123*1.033)</f>
        <v>37330</v>
      </c>
      <c r="E124" s="7" t="n">
        <f aca="false">RANDBETWEEN(E123*0.97,E123*1.033)</f>
        <v>101209</v>
      </c>
      <c r="F124" s="7" t="n">
        <f aca="false">RANDBETWEEN(F123*0.97,F123*1.033)</f>
        <v>1620274</v>
      </c>
    </row>
    <row r="125" customFormat="false" ht="13.8" hidden="false" customHeight="false" outlineLevel="0" collapsed="false">
      <c r="A125" s="0" t="n">
        <v>124</v>
      </c>
      <c r="B125" s="7" t="n">
        <f aca="false">RANDBETWEEN(B124*0.97,B124*1.033)</f>
        <v>15881</v>
      </c>
      <c r="C125" s="7" t="n">
        <f aca="false">RANDBETWEEN(C124*0.97,C124*1.033)</f>
        <v>26660</v>
      </c>
      <c r="D125" s="7" t="n">
        <f aca="false">RANDBETWEEN(D124*0.97,D124*1.033)</f>
        <v>37814</v>
      </c>
      <c r="E125" s="7" t="n">
        <f aca="false">RANDBETWEEN(E124*0.97,E124*1.033)</f>
        <v>98249</v>
      </c>
      <c r="F125" s="7" t="n">
        <f aca="false">RANDBETWEEN(F124*0.97,F124*1.033)</f>
        <v>1579795</v>
      </c>
    </row>
    <row r="126" customFormat="false" ht="13.8" hidden="false" customHeight="false" outlineLevel="0" collapsed="false">
      <c r="A126" s="0" t="n">
        <v>125</v>
      </c>
      <c r="B126" s="7" t="n">
        <f aca="false">RANDBETWEEN(B125*0.97,B125*1.033)</f>
        <v>15829</v>
      </c>
      <c r="C126" s="7" t="n">
        <f aca="false">RANDBETWEEN(C125*0.97,C125*1.033)</f>
        <v>26437</v>
      </c>
      <c r="D126" s="7" t="n">
        <f aca="false">RANDBETWEEN(D125*0.97,D125*1.033)</f>
        <v>37602</v>
      </c>
      <c r="E126" s="7" t="n">
        <f aca="false">RANDBETWEEN(E125*0.97,E125*1.033)</f>
        <v>98058</v>
      </c>
      <c r="F126" s="7" t="n">
        <f aca="false">RANDBETWEEN(F125*0.97,F125*1.033)</f>
        <v>1626923</v>
      </c>
    </row>
    <row r="127" customFormat="false" ht="13.8" hidden="false" customHeight="false" outlineLevel="0" collapsed="false">
      <c r="A127" s="0" t="n">
        <v>126</v>
      </c>
      <c r="B127" s="7" t="n">
        <f aca="false">RANDBETWEEN(B126*0.97,B126*1.033)</f>
        <v>15870</v>
      </c>
      <c r="C127" s="7" t="n">
        <f aca="false">RANDBETWEEN(C126*0.97,C126*1.033)</f>
        <v>26515</v>
      </c>
      <c r="D127" s="7" t="n">
        <f aca="false">RANDBETWEEN(D126*0.97,D126*1.033)</f>
        <v>38372</v>
      </c>
      <c r="E127" s="7" t="n">
        <f aca="false">RANDBETWEEN(E126*0.97,E126*1.033)</f>
        <v>98806</v>
      </c>
      <c r="F127" s="7" t="n">
        <f aca="false">RANDBETWEEN(F126*0.97,F126*1.033)</f>
        <v>1677788</v>
      </c>
    </row>
    <row r="128" customFormat="false" ht="13.8" hidden="false" customHeight="false" outlineLevel="0" collapsed="false">
      <c r="A128" s="0" t="n">
        <v>127</v>
      </c>
      <c r="B128" s="7" t="n">
        <f aca="false">RANDBETWEEN(B127*0.97,B127*1.033)</f>
        <v>15704</v>
      </c>
      <c r="C128" s="7" t="n">
        <f aca="false">RANDBETWEEN(C127*0.97,C127*1.033)</f>
        <v>26096</v>
      </c>
      <c r="D128" s="7" t="n">
        <f aca="false">RANDBETWEEN(D127*0.97,D127*1.033)</f>
        <v>39203</v>
      </c>
      <c r="E128" s="7" t="n">
        <f aca="false">RANDBETWEEN(E127*0.97,E127*1.033)</f>
        <v>96095</v>
      </c>
      <c r="F128" s="7" t="n">
        <f aca="false">RANDBETWEEN(F127*0.97,F127*1.033)</f>
        <v>1659539</v>
      </c>
    </row>
    <row r="129" customFormat="false" ht="13.8" hidden="false" customHeight="false" outlineLevel="0" collapsed="false">
      <c r="A129" s="0" t="n">
        <v>128</v>
      </c>
      <c r="B129" s="7" t="n">
        <f aca="false">RANDBETWEEN(B128*0.97,B128*1.033)</f>
        <v>16214</v>
      </c>
      <c r="C129" s="7" t="n">
        <f aca="false">RANDBETWEEN(C128*0.97,C128*1.033)</f>
        <v>25334</v>
      </c>
      <c r="D129" s="7" t="n">
        <f aca="false">RANDBETWEEN(D128*0.97,D128*1.033)</f>
        <v>38632</v>
      </c>
      <c r="E129" s="7" t="n">
        <f aca="false">RANDBETWEEN(E128*0.97,E128*1.033)</f>
        <v>98515</v>
      </c>
      <c r="F129" s="7" t="n">
        <f aca="false">RANDBETWEEN(F128*0.97,F128*1.033)</f>
        <v>1691109</v>
      </c>
    </row>
    <row r="130" customFormat="false" ht="13.8" hidden="false" customHeight="false" outlineLevel="0" collapsed="false">
      <c r="A130" s="0" t="n">
        <v>129</v>
      </c>
      <c r="B130" s="7" t="n">
        <f aca="false">RANDBETWEEN(B129*0.97,B129*1.033)</f>
        <v>16427</v>
      </c>
      <c r="C130" s="7" t="n">
        <f aca="false">RANDBETWEEN(C129*0.97,C129*1.033)</f>
        <v>25819</v>
      </c>
      <c r="D130" s="7" t="n">
        <f aca="false">RANDBETWEEN(D129*0.97,D129*1.033)</f>
        <v>39900</v>
      </c>
      <c r="E130" s="7" t="n">
        <f aca="false">RANDBETWEEN(E129*0.97,E129*1.033)</f>
        <v>101447</v>
      </c>
      <c r="F130" s="7" t="n">
        <f aca="false">RANDBETWEEN(F129*0.97,F129*1.033)</f>
        <v>1672823</v>
      </c>
    </row>
    <row r="131" customFormat="false" ht="13.8" hidden="false" customHeight="false" outlineLevel="0" collapsed="false">
      <c r="A131" s="0" t="n">
        <v>130</v>
      </c>
      <c r="B131" s="7" t="n">
        <f aca="false">RANDBETWEEN(B130*0.97,B130*1.033)</f>
        <v>16129</v>
      </c>
      <c r="C131" s="7" t="n">
        <f aca="false">RANDBETWEEN(C130*0.97,C130*1.033)</f>
        <v>25886</v>
      </c>
      <c r="D131" s="7" t="n">
        <f aca="false">RANDBETWEEN(D130*0.97,D130*1.033)</f>
        <v>40629</v>
      </c>
      <c r="E131" s="7" t="n">
        <f aca="false">RANDBETWEEN(E130*0.97,E130*1.033)</f>
        <v>99531</v>
      </c>
      <c r="F131" s="7" t="n">
        <f aca="false">RANDBETWEEN(F130*0.97,F130*1.033)</f>
        <v>1725495</v>
      </c>
    </row>
    <row r="132" customFormat="false" ht="13.8" hidden="false" customHeight="false" outlineLevel="0" collapsed="false">
      <c r="A132" s="0" t="n">
        <v>131</v>
      </c>
      <c r="B132" s="7" t="n">
        <f aca="false">RANDBETWEEN(B131*0.97,B131*1.033)</f>
        <v>16468</v>
      </c>
      <c r="C132" s="7" t="n">
        <f aca="false">RANDBETWEEN(C131*0.97,C131*1.033)</f>
        <v>26291</v>
      </c>
      <c r="D132" s="7" t="n">
        <f aca="false">RANDBETWEEN(D131*0.97,D131*1.033)</f>
        <v>40590</v>
      </c>
      <c r="E132" s="7" t="n">
        <f aca="false">RANDBETWEEN(E131*0.97,E131*1.033)</f>
        <v>100430</v>
      </c>
      <c r="F132" s="7" t="n">
        <f aca="false">RANDBETWEEN(F131*0.97,F131*1.033)</f>
        <v>1756151</v>
      </c>
    </row>
    <row r="133" customFormat="false" ht="13.8" hidden="false" customHeight="false" outlineLevel="0" collapsed="false">
      <c r="A133" s="0" t="n">
        <v>132</v>
      </c>
      <c r="B133" s="7" t="n">
        <f aca="false">RANDBETWEEN(B132*0.97,B132*1.033)</f>
        <v>16747</v>
      </c>
      <c r="C133" s="7" t="n">
        <f aca="false">RANDBETWEEN(C132*0.97,C132*1.033)</f>
        <v>26298</v>
      </c>
      <c r="D133" s="7" t="n">
        <f aca="false">RANDBETWEEN(D132*0.97,D132*1.033)</f>
        <v>41426</v>
      </c>
      <c r="E133" s="7" t="n">
        <f aca="false">RANDBETWEEN(E132*0.97,E132*1.033)</f>
        <v>101866</v>
      </c>
      <c r="F133" s="7" t="n">
        <f aca="false">RANDBETWEEN(F132*0.97,F132*1.033)</f>
        <v>1804907</v>
      </c>
    </row>
    <row r="134" customFormat="false" ht="13.8" hidden="false" customHeight="false" outlineLevel="0" collapsed="false">
      <c r="A134" s="0" t="n">
        <v>133</v>
      </c>
      <c r="B134" s="7" t="n">
        <f aca="false">RANDBETWEEN(B133*0.97,B133*1.033)</f>
        <v>16468</v>
      </c>
      <c r="C134" s="7" t="n">
        <f aca="false">RANDBETWEEN(C133*0.97,C133*1.033)</f>
        <v>27082</v>
      </c>
      <c r="D134" s="7" t="n">
        <f aca="false">RANDBETWEEN(D133*0.97,D133*1.033)</f>
        <v>41150</v>
      </c>
      <c r="E134" s="7" t="n">
        <f aca="false">RANDBETWEEN(E133*0.97,E133*1.033)</f>
        <v>99664</v>
      </c>
      <c r="F134" s="7" t="n">
        <f aca="false">RANDBETWEEN(F133*0.97,F133*1.033)</f>
        <v>1831515</v>
      </c>
    </row>
    <row r="135" customFormat="false" ht="13.8" hidden="false" customHeight="false" outlineLevel="0" collapsed="false">
      <c r="A135" s="0" t="n">
        <v>134</v>
      </c>
      <c r="B135" s="7" t="n">
        <f aca="false">RANDBETWEEN(B134*0.97,B134*1.033)</f>
        <v>16208</v>
      </c>
      <c r="C135" s="7" t="n">
        <f aca="false">RANDBETWEEN(C134*0.97,C134*1.033)</f>
        <v>26423</v>
      </c>
      <c r="D135" s="7" t="n">
        <f aca="false">RANDBETWEEN(D134*0.97,D134*1.033)</f>
        <v>42269</v>
      </c>
      <c r="E135" s="7" t="n">
        <f aca="false">RANDBETWEEN(E134*0.97,E134*1.033)</f>
        <v>98977</v>
      </c>
      <c r="F135" s="7" t="n">
        <f aca="false">RANDBETWEEN(F134*0.97,F134*1.033)</f>
        <v>1867992</v>
      </c>
    </row>
    <row r="136" customFormat="false" ht="13.8" hidden="false" customHeight="false" outlineLevel="0" collapsed="false">
      <c r="A136" s="0" t="n">
        <v>135</v>
      </c>
      <c r="B136" s="7" t="n">
        <f aca="false">RANDBETWEEN(B135*0.97,B135*1.033)</f>
        <v>16431</v>
      </c>
      <c r="C136" s="7" t="n">
        <f aca="false">RANDBETWEEN(C135*0.97,C135*1.033)</f>
        <v>25848</v>
      </c>
      <c r="D136" s="7" t="n">
        <f aca="false">RANDBETWEEN(D135*0.97,D135*1.033)</f>
        <v>42214</v>
      </c>
      <c r="E136" s="7" t="n">
        <f aca="false">RANDBETWEEN(E135*0.97,E135*1.033)</f>
        <v>96264</v>
      </c>
      <c r="F136" s="7" t="n">
        <f aca="false">RANDBETWEEN(F135*0.97,F135*1.033)</f>
        <v>1909080</v>
      </c>
    </row>
    <row r="137" customFormat="false" ht="13.8" hidden="false" customHeight="false" outlineLevel="0" collapsed="false">
      <c r="A137" s="0" t="n">
        <v>136</v>
      </c>
      <c r="B137" s="7" t="n">
        <f aca="false">RANDBETWEEN(B136*0.97,B136*1.033)</f>
        <v>16564</v>
      </c>
      <c r="C137" s="7" t="n">
        <f aca="false">RANDBETWEEN(C136*0.97,C136*1.033)</f>
        <v>25439</v>
      </c>
      <c r="D137" s="7" t="n">
        <f aca="false">RANDBETWEEN(D136*0.97,D136*1.033)</f>
        <v>41720</v>
      </c>
      <c r="E137" s="7" t="n">
        <f aca="false">RANDBETWEEN(E136*0.97,E136*1.033)</f>
        <v>93639</v>
      </c>
      <c r="F137" s="7" t="n">
        <f aca="false">RANDBETWEEN(F136*0.97,F136*1.033)</f>
        <v>1953976</v>
      </c>
    </row>
    <row r="138" customFormat="false" ht="13.8" hidden="false" customHeight="false" outlineLevel="0" collapsed="false">
      <c r="A138" s="0" t="n">
        <v>137</v>
      </c>
      <c r="B138" s="7" t="n">
        <f aca="false">RANDBETWEEN(B137*0.97,B137*1.033)</f>
        <v>17080</v>
      </c>
      <c r="C138" s="7" t="n">
        <f aca="false">RANDBETWEEN(C137*0.97,C137*1.033)</f>
        <v>25923</v>
      </c>
      <c r="D138" s="7" t="n">
        <f aca="false">RANDBETWEEN(D137*0.97,D137*1.033)</f>
        <v>42648</v>
      </c>
      <c r="E138" s="7" t="n">
        <f aca="false">RANDBETWEEN(E137*0.97,E137*1.033)</f>
        <v>95996</v>
      </c>
      <c r="F138" s="7" t="n">
        <f aca="false">RANDBETWEEN(F137*0.97,F137*1.033)</f>
        <v>1996097</v>
      </c>
    </row>
    <row r="139" customFormat="false" ht="13.8" hidden="false" customHeight="false" outlineLevel="0" collapsed="false">
      <c r="A139" s="0" t="n">
        <v>138</v>
      </c>
      <c r="B139" s="7" t="n">
        <f aca="false">RANDBETWEEN(B138*0.97,B138*1.033)</f>
        <v>17327</v>
      </c>
      <c r="C139" s="7" t="n">
        <f aca="false">RANDBETWEEN(C138*0.97,C138*1.033)</f>
        <v>26638</v>
      </c>
      <c r="D139" s="7" t="n">
        <f aca="false">RANDBETWEEN(D138*0.97,D138*1.033)</f>
        <v>41811</v>
      </c>
      <c r="E139" s="7" t="n">
        <f aca="false">RANDBETWEEN(E138*0.97,E138*1.033)</f>
        <v>94964</v>
      </c>
      <c r="F139" s="7" t="n">
        <f aca="false">RANDBETWEEN(F138*0.97,F138*1.033)</f>
        <v>1958198</v>
      </c>
    </row>
    <row r="140" customFormat="false" ht="13.8" hidden="false" customHeight="false" outlineLevel="0" collapsed="false">
      <c r="A140" s="0" t="n">
        <v>139</v>
      </c>
      <c r="B140" s="7" t="n">
        <f aca="false">RANDBETWEEN(B139*0.97,B139*1.033)</f>
        <v>17685</v>
      </c>
      <c r="C140" s="7" t="n">
        <f aca="false">RANDBETWEEN(C139*0.97,C139*1.033)</f>
        <v>26592</v>
      </c>
      <c r="D140" s="7" t="n">
        <f aca="false">RANDBETWEEN(D139*0.97,D139*1.033)</f>
        <v>40961</v>
      </c>
      <c r="E140" s="7" t="n">
        <f aca="false">RANDBETWEEN(E139*0.97,E139*1.033)</f>
        <v>97696</v>
      </c>
      <c r="F140" s="7" t="n">
        <f aca="false">RANDBETWEEN(F139*0.97,F139*1.033)</f>
        <v>1994684</v>
      </c>
    </row>
    <row r="141" customFormat="false" ht="13.8" hidden="false" customHeight="false" outlineLevel="0" collapsed="false">
      <c r="A141" s="0" t="n">
        <v>140</v>
      </c>
      <c r="B141" s="7" t="n">
        <f aca="false">RANDBETWEEN(B140*0.97,B140*1.033)</f>
        <v>17276</v>
      </c>
      <c r="C141" s="7" t="n">
        <f aca="false">RANDBETWEEN(C140*0.97,C140*1.033)</f>
        <v>26213</v>
      </c>
      <c r="D141" s="7" t="n">
        <f aca="false">RANDBETWEEN(D140*0.97,D140*1.033)</f>
        <v>41128</v>
      </c>
      <c r="E141" s="7" t="n">
        <f aca="false">RANDBETWEEN(E140*0.97,E140*1.033)</f>
        <v>95812</v>
      </c>
      <c r="F141" s="7" t="n">
        <f aca="false">RANDBETWEEN(F140*0.97,F140*1.033)</f>
        <v>2055140</v>
      </c>
    </row>
    <row r="142" customFormat="false" ht="13.8" hidden="false" customHeight="false" outlineLevel="0" collapsed="false">
      <c r="A142" s="0" t="n">
        <v>141</v>
      </c>
      <c r="B142" s="7" t="n">
        <f aca="false">RANDBETWEEN(B141*0.97,B141*1.033)</f>
        <v>17262</v>
      </c>
      <c r="C142" s="7" t="n">
        <f aca="false">RANDBETWEEN(C141*0.97,C141*1.033)</f>
        <v>26065</v>
      </c>
      <c r="D142" s="7" t="n">
        <f aca="false">RANDBETWEEN(D141*0.97,D141*1.033)</f>
        <v>40957</v>
      </c>
      <c r="E142" s="7" t="n">
        <f aca="false">RANDBETWEEN(E141*0.97,E141*1.033)</f>
        <v>95104</v>
      </c>
      <c r="F142" s="7" t="n">
        <f aca="false">RANDBETWEEN(F141*0.97,F141*1.033)</f>
        <v>2028372</v>
      </c>
    </row>
    <row r="143" customFormat="false" ht="13.8" hidden="false" customHeight="false" outlineLevel="0" collapsed="false">
      <c r="A143" s="0" t="n">
        <v>142</v>
      </c>
      <c r="B143" s="7" t="n">
        <f aca="false">RANDBETWEEN(B142*0.97,B142*1.033)</f>
        <v>17046</v>
      </c>
      <c r="C143" s="7" t="n">
        <f aca="false">RANDBETWEEN(C142*0.97,C142*1.033)</f>
        <v>25952</v>
      </c>
      <c r="D143" s="7" t="n">
        <f aca="false">RANDBETWEEN(D142*0.97,D142*1.033)</f>
        <v>41563</v>
      </c>
      <c r="E143" s="7" t="n">
        <f aca="false">RANDBETWEEN(E142*0.97,E142*1.033)</f>
        <v>97298</v>
      </c>
      <c r="F143" s="7" t="n">
        <f aca="false">RANDBETWEEN(F142*0.97,F142*1.033)</f>
        <v>2024198</v>
      </c>
    </row>
    <row r="144" customFormat="false" ht="13.8" hidden="false" customHeight="false" outlineLevel="0" collapsed="false">
      <c r="A144" s="0" t="n">
        <v>143</v>
      </c>
      <c r="B144" s="7" t="n">
        <f aca="false">RANDBETWEEN(B143*0.97,B143*1.033)</f>
        <v>17207</v>
      </c>
      <c r="C144" s="7" t="n">
        <f aca="false">RANDBETWEEN(C143*0.97,C143*1.033)</f>
        <v>25369</v>
      </c>
      <c r="D144" s="7" t="n">
        <f aca="false">RANDBETWEEN(D143*0.97,D143*1.033)</f>
        <v>42727</v>
      </c>
      <c r="E144" s="7" t="n">
        <f aca="false">RANDBETWEEN(E143*0.97,E143*1.033)</f>
        <v>99092</v>
      </c>
      <c r="F144" s="7" t="n">
        <f aca="false">RANDBETWEEN(F143*0.97,F143*1.033)</f>
        <v>2074078</v>
      </c>
    </row>
    <row r="145" customFormat="false" ht="13.8" hidden="false" customHeight="false" outlineLevel="0" collapsed="false">
      <c r="A145" s="0" t="n">
        <v>144</v>
      </c>
      <c r="B145" s="7" t="n">
        <f aca="false">RANDBETWEEN(B144*0.97,B144*1.033)</f>
        <v>16870</v>
      </c>
      <c r="C145" s="7" t="n">
        <f aca="false">RANDBETWEEN(C144*0.97,C144*1.033)</f>
        <v>25481</v>
      </c>
      <c r="D145" s="7" t="n">
        <f aca="false">RANDBETWEEN(D144*0.97,D144*1.033)</f>
        <v>43213</v>
      </c>
      <c r="E145" s="7" t="n">
        <f aca="false">RANDBETWEEN(E144*0.97,E144*1.033)</f>
        <v>96488</v>
      </c>
      <c r="F145" s="7" t="n">
        <f aca="false">RANDBETWEEN(F144*0.97,F144*1.033)</f>
        <v>2084014</v>
      </c>
    </row>
    <row r="146" customFormat="false" ht="13.8" hidden="false" customHeight="false" outlineLevel="0" collapsed="false">
      <c r="A146" s="0" t="n">
        <v>145</v>
      </c>
      <c r="B146" s="7" t="n">
        <f aca="false">RANDBETWEEN(B145*0.97,B145*1.033)</f>
        <v>16873</v>
      </c>
      <c r="C146" s="7" t="n">
        <f aca="false">RANDBETWEEN(C145*0.97,C145*1.033)</f>
        <v>26295</v>
      </c>
      <c r="D146" s="7" t="n">
        <f aca="false">RANDBETWEEN(D145*0.97,D145*1.033)</f>
        <v>43978</v>
      </c>
      <c r="E146" s="7" t="n">
        <f aca="false">RANDBETWEEN(E145*0.97,E145*1.033)</f>
        <v>98271</v>
      </c>
      <c r="F146" s="7" t="n">
        <f aca="false">RANDBETWEEN(F145*0.97,F145*1.033)</f>
        <v>2143457</v>
      </c>
    </row>
    <row r="147" customFormat="false" ht="13.8" hidden="false" customHeight="false" outlineLevel="0" collapsed="false">
      <c r="A147" s="0" t="n">
        <v>146</v>
      </c>
      <c r="B147" s="7" t="n">
        <f aca="false">RANDBETWEEN(B146*0.97,B146*1.033)</f>
        <v>17280</v>
      </c>
      <c r="C147" s="7" t="n">
        <f aca="false">RANDBETWEEN(C146*0.97,C146*1.033)</f>
        <v>26177</v>
      </c>
      <c r="D147" s="7" t="n">
        <f aca="false">RANDBETWEEN(D146*0.97,D146*1.033)</f>
        <v>44190</v>
      </c>
      <c r="E147" s="7" t="n">
        <f aca="false">RANDBETWEEN(E146*0.97,E146*1.033)</f>
        <v>101176</v>
      </c>
      <c r="F147" s="7" t="n">
        <f aca="false">RANDBETWEEN(F146*0.97,F146*1.033)</f>
        <v>2137542</v>
      </c>
    </row>
    <row r="148" customFormat="false" ht="13.8" hidden="false" customHeight="false" outlineLevel="0" collapsed="false">
      <c r="A148" s="0" t="n">
        <v>147</v>
      </c>
      <c r="B148" s="7" t="n">
        <f aca="false">RANDBETWEEN(B147*0.97,B147*1.033)</f>
        <v>17234</v>
      </c>
      <c r="C148" s="7" t="n">
        <f aca="false">RANDBETWEEN(C147*0.97,C147*1.033)</f>
        <v>26541</v>
      </c>
      <c r="D148" s="7" t="n">
        <f aca="false">RANDBETWEEN(D147*0.97,D147*1.033)</f>
        <v>43516</v>
      </c>
      <c r="E148" s="7" t="n">
        <f aca="false">RANDBETWEEN(E147*0.97,E147*1.033)</f>
        <v>101013</v>
      </c>
      <c r="F148" s="7" t="n">
        <f aca="false">RANDBETWEEN(F147*0.97,F147*1.033)</f>
        <v>2091189</v>
      </c>
    </row>
    <row r="149" customFormat="false" ht="13.8" hidden="false" customHeight="false" outlineLevel="0" collapsed="false">
      <c r="A149" s="0" t="n">
        <v>148</v>
      </c>
      <c r="B149" s="7" t="n">
        <f aca="false">RANDBETWEEN(B148*0.97,B148*1.033)</f>
        <v>16744</v>
      </c>
      <c r="C149" s="7" t="n">
        <f aca="false">RANDBETWEEN(C148*0.97,C148*1.033)</f>
        <v>26322</v>
      </c>
      <c r="D149" s="7" t="n">
        <f aca="false">RANDBETWEEN(D148*0.97,D148*1.033)</f>
        <v>43275</v>
      </c>
      <c r="E149" s="7" t="n">
        <f aca="false">RANDBETWEEN(E148*0.97,E148*1.033)</f>
        <v>99229</v>
      </c>
      <c r="F149" s="7" t="n">
        <f aca="false">RANDBETWEEN(F148*0.97,F148*1.033)</f>
        <v>2063336</v>
      </c>
    </row>
    <row r="150" customFormat="false" ht="13.8" hidden="false" customHeight="false" outlineLevel="0" collapsed="false">
      <c r="A150" s="0" t="n">
        <v>149</v>
      </c>
      <c r="B150" s="7" t="n">
        <f aca="false">RANDBETWEEN(B149*0.97,B149*1.033)</f>
        <v>16614</v>
      </c>
      <c r="C150" s="7" t="n">
        <f aca="false">RANDBETWEEN(C149*0.97,C149*1.033)</f>
        <v>25754</v>
      </c>
      <c r="D150" s="7" t="n">
        <f aca="false">RANDBETWEEN(D149*0.97,D149*1.033)</f>
        <v>44255</v>
      </c>
      <c r="E150" s="7" t="n">
        <f aca="false">RANDBETWEEN(E149*0.97,E149*1.033)</f>
        <v>100556</v>
      </c>
      <c r="F150" s="7" t="n">
        <f aca="false">RANDBETWEEN(F149*0.97,F149*1.033)</f>
        <v>2107358</v>
      </c>
    </row>
    <row r="151" customFormat="false" ht="13.8" hidden="false" customHeight="false" outlineLevel="0" collapsed="false">
      <c r="A151" s="0" t="n">
        <v>150</v>
      </c>
      <c r="B151" s="7" t="n">
        <f aca="false">RANDBETWEEN(B150*0.97,B150*1.033)</f>
        <v>16653</v>
      </c>
      <c r="C151" s="7" t="n">
        <f aca="false">RANDBETWEEN(C150*0.97,C150*1.033)</f>
        <v>25066</v>
      </c>
      <c r="D151" s="7" t="n">
        <f aca="false">RANDBETWEEN(D150*0.97,D150*1.033)</f>
        <v>45108</v>
      </c>
      <c r="E151" s="7" t="n">
        <f aca="false">RANDBETWEEN(E150*0.97,E150*1.033)</f>
        <v>102354</v>
      </c>
      <c r="F151" s="7" t="n">
        <f aca="false">RANDBETWEEN(F150*0.97,F150*1.033)</f>
        <v>2045913</v>
      </c>
    </row>
    <row r="152" customFormat="false" ht="13.8" hidden="false" customHeight="false" outlineLevel="0" collapsed="false">
      <c r="A152" s="0" t="n">
        <v>151</v>
      </c>
      <c r="B152" s="7" t="n">
        <f aca="false">RANDBETWEEN(B151*0.97,B151*1.033)</f>
        <v>16726</v>
      </c>
      <c r="C152" s="7" t="n">
        <f aca="false">RANDBETWEEN(C151*0.97,C151*1.033)</f>
        <v>24814</v>
      </c>
      <c r="D152" s="7" t="n">
        <f aca="false">RANDBETWEEN(D151*0.97,D151*1.033)</f>
        <v>45919</v>
      </c>
      <c r="E152" s="7" t="n">
        <f aca="false">RANDBETWEEN(E151*0.97,E151*1.033)</f>
        <v>105343</v>
      </c>
      <c r="F152" s="7" t="n">
        <f aca="false">RANDBETWEEN(F151*0.97,F151*1.033)</f>
        <v>2054907</v>
      </c>
    </row>
    <row r="153" customFormat="false" ht="13.8" hidden="false" customHeight="false" outlineLevel="0" collapsed="false">
      <c r="A153" s="0" t="n">
        <v>152</v>
      </c>
      <c r="B153" s="7" t="n">
        <f aca="false">RANDBETWEEN(B152*0.97,B152*1.033)</f>
        <v>16412</v>
      </c>
      <c r="C153" s="7" t="n">
        <f aca="false">RANDBETWEEN(C152*0.97,C152*1.033)</f>
        <v>25217</v>
      </c>
      <c r="D153" s="7" t="n">
        <f aca="false">RANDBETWEEN(D152*0.97,D152*1.033)</f>
        <v>46547</v>
      </c>
      <c r="E153" s="7" t="n">
        <f aca="false">RANDBETWEEN(E152*0.97,E152*1.033)</f>
        <v>104099</v>
      </c>
      <c r="F153" s="7" t="n">
        <f aca="false">RANDBETWEEN(F152*0.97,F152*1.033)</f>
        <v>2084512</v>
      </c>
    </row>
    <row r="154" customFormat="false" ht="13.8" hidden="false" customHeight="false" outlineLevel="0" collapsed="false">
      <c r="A154" s="0" t="n">
        <v>153</v>
      </c>
      <c r="B154" s="7" t="n">
        <f aca="false">RANDBETWEEN(B153*0.97,B153*1.033)</f>
        <v>16931</v>
      </c>
      <c r="C154" s="7" t="n">
        <f aca="false">RANDBETWEEN(C153*0.97,C153*1.033)</f>
        <v>24879</v>
      </c>
      <c r="D154" s="7" t="n">
        <f aca="false">RANDBETWEEN(D153*0.97,D153*1.033)</f>
        <v>47837</v>
      </c>
      <c r="E154" s="7" t="n">
        <f aca="false">RANDBETWEEN(E153*0.97,E153*1.033)</f>
        <v>106184</v>
      </c>
      <c r="F154" s="7" t="n">
        <f aca="false">RANDBETWEEN(F153*0.97,F153*1.033)</f>
        <v>2061935</v>
      </c>
    </row>
    <row r="155" customFormat="false" ht="13.8" hidden="false" customHeight="false" outlineLevel="0" collapsed="false">
      <c r="A155" s="0" t="n">
        <v>154</v>
      </c>
      <c r="B155" s="7" t="n">
        <f aca="false">RANDBETWEEN(B154*0.97,B154*1.033)</f>
        <v>16754</v>
      </c>
      <c r="C155" s="7" t="n">
        <f aca="false">RANDBETWEEN(C154*0.97,C154*1.033)</f>
        <v>25426</v>
      </c>
      <c r="D155" s="7" t="n">
        <f aca="false">RANDBETWEEN(D154*0.97,D154*1.033)</f>
        <v>47304</v>
      </c>
      <c r="E155" s="7" t="n">
        <f aca="false">RANDBETWEEN(E154*0.97,E154*1.033)</f>
        <v>105826</v>
      </c>
      <c r="F155" s="7" t="n">
        <f aca="false">RANDBETWEEN(F154*0.97,F154*1.033)</f>
        <v>2106273</v>
      </c>
    </row>
    <row r="156" customFormat="false" ht="13.8" hidden="false" customHeight="false" outlineLevel="0" collapsed="false">
      <c r="A156" s="0" t="n">
        <v>155</v>
      </c>
      <c r="B156" s="7" t="n">
        <f aca="false">RANDBETWEEN(B155*0.97,B155*1.033)</f>
        <v>17266</v>
      </c>
      <c r="C156" s="7" t="n">
        <f aca="false">RANDBETWEEN(C155*0.97,C155*1.033)</f>
        <v>24969</v>
      </c>
      <c r="D156" s="7" t="n">
        <f aca="false">RANDBETWEEN(D155*0.97,D155*1.033)</f>
        <v>47556</v>
      </c>
      <c r="E156" s="7" t="n">
        <f aca="false">RANDBETWEEN(E155*0.97,E155*1.033)</f>
        <v>106649</v>
      </c>
      <c r="F156" s="7" t="n">
        <f aca="false">RANDBETWEEN(F155*0.97,F155*1.033)</f>
        <v>2173518</v>
      </c>
    </row>
    <row r="157" customFormat="false" ht="13.8" hidden="false" customHeight="false" outlineLevel="0" collapsed="false">
      <c r="A157" s="0" t="n">
        <v>156</v>
      </c>
      <c r="B157" s="7" t="n">
        <f aca="false">RANDBETWEEN(B156*0.97,B156*1.033)</f>
        <v>17500</v>
      </c>
      <c r="C157" s="7" t="n">
        <f aca="false">RANDBETWEEN(C156*0.97,C156*1.033)</f>
        <v>24866</v>
      </c>
      <c r="D157" s="7" t="n">
        <f aca="false">RANDBETWEEN(D156*0.97,D156*1.033)</f>
        <v>47695</v>
      </c>
      <c r="E157" s="7" t="n">
        <f aca="false">RANDBETWEEN(E156*0.97,E156*1.033)</f>
        <v>107714</v>
      </c>
      <c r="F157" s="7" t="n">
        <f aca="false">RANDBETWEEN(F156*0.97,F156*1.033)</f>
        <v>2229486</v>
      </c>
    </row>
    <row r="158" customFormat="false" ht="13.8" hidden="false" customHeight="false" outlineLevel="0" collapsed="false">
      <c r="A158" s="0" t="n">
        <v>157</v>
      </c>
      <c r="B158" s="7" t="n">
        <f aca="false">RANDBETWEEN(B157*0.97,B157*1.033)</f>
        <v>17282</v>
      </c>
      <c r="C158" s="7" t="n">
        <f aca="false">RANDBETWEEN(C157*0.97,C157*1.033)</f>
        <v>25341</v>
      </c>
      <c r="D158" s="7" t="n">
        <f aca="false">RANDBETWEEN(D157*0.97,D157*1.033)</f>
        <v>48123</v>
      </c>
      <c r="E158" s="7" t="n">
        <f aca="false">RANDBETWEEN(E157*0.97,E157*1.033)</f>
        <v>109615</v>
      </c>
      <c r="F158" s="7" t="n">
        <f aca="false">RANDBETWEEN(F157*0.97,F157*1.033)</f>
        <v>2257044</v>
      </c>
    </row>
    <row r="159" customFormat="false" ht="13.8" hidden="false" customHeight="false" outlineLevel="0" collapsed="false">
      <c r="A159" s="0" t="n">
        <v>158</v>
      </c>
      <c r="B159" s="7" t="n">
        <f aca="false">RANDBETWEEN(B158*0.97,B158*1.033)</f>
        <v>17031</v>
      </c>
      <c r="C159" s="7" t="n">
        <f aca="false">RANDBETWEEN(C158*0.97,C158*1.033)</f>
        <v>25048</v>
      </c>
      <c r="D159" s="7" t="n">
        <f aca="false">RANDBETWEEN(D158*0.97,D158*1.033)</f>
        <v>48670</v>
      </c>
      <c r="E159" s="7" t="n">
        <f aca="false">RANDBETWEEN(E158*0.97,E158*1.033)</f>
        <v>106485</v>
      </c>
      <c r="F159" s="7" t="n">
        <f aca="false">RANDBETWEEN(F158*0.97,F158*1.033)</f>
        <v>2192533</v>
      </c>
    </row>
    <row r="160" customFormat="false" ht="13.8" hidden="false" customHeight="false" outlineLevel="0" collapsed="false">
      <c r="A160" s="0" t="n">
        <v>159</v>
      </c>
      <c r="B160" s="7" t="n">
        <f aca="false">RANDBETWEEN(B159*0.97,B159*1.033)</f>
        <v>16994</v>
      </c>
      <c r="C160" s="7" t="n">
        <f aca="false">RANDBETWEEN(C159*0.97,C159*1.033)</f>
        <v>24622</v>
      </c>
      <c r="D160" s="7" t="n">
        <f aca="false">RANDBETWEEN(D159*0.97,D159*1.033)</f>
        <v>48886</v>
      </c>
      <c r="E160" s="7" t="n">
        <f aca="false">RANDBETWEEN(E159*0.97,E159*1.033)</f>
        <v>107427</v>
      </c>
      <c r="F160" s="7" t="n">
        <f aca="false">RANDBETWEEN(F159*0.97,F159*1.033)</f>
        <v>2151644</v>
      </c>
    </row>
    <row r="161" customFormat="false" ht="13.8" hidden="false" customHeight="false" outlineLevel="0" collapsed="false">
      <c r="A161" s="0" t="n">
        <v>160</v>
      </c>
      <c r="B161" s="7" t="n">
        <f aca="false">RANDBETWEEN(B160*0.97,B160*1.033)</f>
        <v>17442</v>
      </c>
      <c r="C161" s="7" t="n">
        <f aca="false">RANDBETWEEN(C160*0.97,C160*1.033)</f>
        <v>25414</v>
      </c>
      <c r="D161" s="7" t="n">
        <f aca="false">RANDBETWEEN(D160*0.97,D160*1.033)</f>
        <v>48247</v>
      </c>
      <c r="E161" s="7" t="n">
        <f aca="false">RANDBETWEEN(E160*0.97,E160*1.033)</f>
        <v>110903</v>
      </c>
      <c r="F161" s="7" t="n">
        <f aca="false">RANDBETWEEN(F160*0.97,F160*1.033)</f>
        <v>2161099</v>
      </c>
    </row>
    <row r="162" customFormat="false" ht="13.8" hidden="false" customHeight="false" outlineLevel="0" collapsed="false">
      <c r="A162" s="0" t="n">
        <v>161</v>
      </c>
      <c r="B162" s="7" t="n">
        <f aca="false">RANDBETWEEN(B161*0.97,B161*1.033)</f>
        <v>17332</v>
      </c>
      <c r="C162" s="7" t="n">
        <f aca="false">RANDBETWEEN(C161*0.97,C161*1.033)</f>
        <v>25927</v>
      </c>
      <c r="D162" s="7" t="n">
        <f aca="false">RANDBETWEEN(D161*0.97,D161*1.033)</f>
        <v>48808</v>
      </c>
      <c r="E162" s="7" t="n">
        <f aca="false">RANDBETWEEN(E161*0.97,E161*1.033)</f>
        <v>114008</v>
      </c>
      <c r="F162" s="7" t="n">
        <f aca="false">RANDBETWEEN(F161*0.97,F161*1.033)</f>
        <v>2170777</v>
      </c>
    </row>
    <row r="163" customFormat="false" ht="13.8" hidden="false" customHeight="false" outlineLevel="0" collapsed="false">
      <c r="A163" s="0" t="n">
        <v>162</v>
      </c>
      <c r="B163" s="7" t="n">
        <f aca="false">RANDBETWEEN(B162*0.97,B162*1.033)</f>
        <v>17549</v>
      </c>
      <c r="C163" s="7" t="n">
        <f aca="false">RANDBETWEEN(C162*0.97,C162*1.033)</f>
        <v>25299</v>
      </c>
      <c r="D163" s="7" t="n">
        <f aca="false">RANDBETWEEN(D162*0.97,D162*1.033)</f>
        <v>49604</v>
      </c>
      <c r="E163" s="7" t="n">
        <f aca="false">RANDBETWEEN(E162*0.97,E162*1.033)</f>
        <v>117494</v>
      </c>
      <c r="F163" s="7" t="n">
        <f aca="false">RANDBETWEEN(F162*0.97,F162*1.033)</f>
        <v>2233977</v>
      </c>
    </row>
    <row r="164" customFormat="false" ht="13.8" hidden="false" customHeight="false" outlineLevel="0" collapsed="false">
      <c r="A164" s="0" t="n">
        <v>163</v>
      </c>
      <c r="B164" s="7" t="n">
        <f aca="false">RANDBETWEEN(B163*0.97,B163*1.033)</f>
        <v>17881</v>
      </c>
      <c r="C164" s="7" t="n">
        <f aca="false">RANDBETWEEN(C163*0.97,C163*1.033)</f>
        <v>24764</v>
      </c>
      <c r="D164" s="7" t="n">
        <f aca="false">RANDBETWEEN(D163*0.97,D163*1.033)</f>
        <v>48398</v>
      </c>
      <c r="E164" s="7" t="n">
        <f aca="false">RANDBETWEEN(E163*0.97,E163*1.033)</f>
        <v>116533</v>
      </c>
      <c r="F164" s="7" t="n">
        <f aca="false">RANDBETWEEN(F163*0.97,F163*1.033)</f>
        <v>2190016</v>
      </c>
    </row>
    <row r="165" customFormat="false" ht="13.8" hidden="false" customHeight="false" outlineLevel="0" collapsed="false">
      <c r="A165" s="0" t="n">
        <v>164</v>
      </c>
      <c r="B165" s="7" t="n">
        <f aca="false">RANDBETWEEN(B164*0.97,B164*1.033)</f>
        <v>17646</v>
      </c>
      <c r="C165" s="7" t="n">
        <f aca="false">RANDBETWEEN(C164*0.97,C164*1.033)</f>
        <v>24548</v>
      </c>
      <c r="D165" s="7" t="n">
        <f aca="false">RANDBETWEEN(D164*0.97,D164*1.033)</f>
        <v>48332</v>
      </c>
      <c r="E165" s="7" t="n">
        <f aca="false">RANDBETWEEN(E164*0.97,E164*1.033)</f>
        <v>119265</v>
      </c>
      <c r="F165" s="7" t="n">
        <f aca="false">RANDBETWEEN(F164*0.97,F164*1.033)</f>
        <v>2132108</v>
      </c>
    </row>
    <row r="166" customFormat="false" ht="13.8" hidden="false" customHeight="false" outlineLevel="0" collapsed="false">
      <c r="A166" s="0" t="n">
        <v>165</v>
      </c>
      <c r="B166" s="7" t="n">
        <f aca="false">RANDBETWEEN(B165*0.97,B165*1.033)</f>
        <v>17967</v>
      </c>
      <c r="C166" s="7" t="n">
        <f aca="false">RANDBETWEEN(C165*0.97,C165*1.033)</f>
        <v>24165</v>
      </c>
      <c r="D166" s="7" t="n">
        <f aca="false">RANDBETWEEN(D165*0.97,D165*1.033)</f>
        <v>47332</v>
      </c>
      <c r="E166" s="7" t="n">
        <f aca="false">RANDBETWEEN(E165*0.97,E165*1.033)</f>
        <v>117983</v>
      </c>
      <c r="F166" s="7" t="n">
        <f aca="false">RANDBETWEEN(F165*0.97,F165*1.033)</f>
        <v>2166321</v>
      </c>
    </row>
    <row r="167" customFormat="false" ht="13.8" hidden="false" customHeight="false" outlineLevel="0" collapsed="false">
      <c r="A167" s="0" t="n">
        <v>166</v>
      </c>
      <c r="B167" s="7" t="n">
        <f aca="false">RANDBETWEEN(B166*0.97,B166*1.033)</f>
        <v>18015</v>
      </c>
      <c r="C167" s="7" t="n">
        <f aca="false">RANDBETWEEN(C166*0.97,C166*1.033)</f>
        <v>24799</v>
      </c>
      <c r="D167" s="7" t="n">
        <f aca="false">RANDBETWEEN(D166*0.97,D166*1.033)</f>
        <v>48442</v>
      </c>
      <c r="E167" s="7" t="n">
        <f aca="false">RANDBETWEEN(E166*0.97,E166*1.033)</f>
        <v>116531</v>
      </c>
      <c r="F167" s="7" t="n">
        <f aca="false">RANDBETWEEN(F166*0.97,F166*1.033)</f>
        <v>2215485</v>
      </c>
    </row>
    <row r="168" customFormat="false" ht="13.8" hidden="false" customHeight="false" outlineLevel="0" collapsed="false">
      <c r="A168" s="0" t="n">
        <v>167</v>
      </c>
      <c r="B168" s="7" t="n">
        <f aca="false">RANDBETWEEN(B167*0.97,B167*1.033)</f>
        <v>17653</v>
      </c>
      <c r="C168" s="7" t="n">
        <f aca="false">RANDBETWEEN(C167*0.97,C167*1.033)</f>
        <v>25274</v>
      </c>
      <c r="D168" s="7" t="n">
        <f aca="false">RANDBETWEEN(D167*0.97,D167*1.033)</f>
        <v>48672</v>
      </c>
      <c r="E168" s="7" t="n">
        <f aca="false">RANDBETWEEN(E167*0.97,E167*1.033)</f>
        <v>117355</v>
      </c>
      <c r="F168" s="7" t="n">
        <f aca="false">RANDBETWEEN(F167*0.97,F167*1.033)</f>
        <v>2269352</v>
      </c>
    </row>
    <row r="169" customFormat="false" ht="13.8" hidden="false" customHeight="false" outlineLevel="0" collapsed="false">
      <c r="A169" s="0" t="n">
        <v>168</v>
      </c>
      <c r="B169" s="7" t="n">
        <f aca="false">RANDBETWEEN(B168*0.97,B168*1.033)</f>
        <v>17905</v>
      </c>
      <c r="C169" s="7" t="n">
        <f aca="false">RANDBETWEEN(C168*0.97,C168*1.033)</f>
        <v>25811</v>
      </c>
      <c r="D169" s="7" t="n">
        <f aca="false">RANDBETWEEN(D168*0.97,D168*1.033)</f>
        <v>50270</v>
      </c>
      <c r="E169" s="7" t="n">
        <f aca="false">RANDBETWEEN(E168*0.97,E168*1.033)</f>
        <v>120861</v>
      </c>
      <c r="F169" s="7" t="n">
        <f aca="false">RANDBETWEEN(F168*0.97,F168*1.033)</f>
        <v>2260157</v>
      </c>
    </row>
    <row r="170" customFormat="false" ht="13.8" hidden="false" customHeight="false" outlineLevel="0" collapsed="false">
      <c r="A170" s="0" t="n">
        <v>169</v>
      </c>
      <c r="B170" s="7" t="n">
        <f aca="false">RANDBETWEEN(B169*0.97,B169*1.033)</f>
        <v>18457</v>
      </c>
      <c r="C170" s="7" t="n">
        <f aca="false">RANDBETWEEN(C169*0.97,C169*1.033)</f>
        <v>26392</v>
      </c>
      <c r="D170" s="7" t="n">
        <f aca="false">RANDBETWEEN(D169*0.97,D169*1.033)</f>
        <v>48888</v>
      </c>
      <c r="E170" s="7" t="n">
        <f aca="false">RANDBETWEEN(E169*0.97,E169*1.033)</f>
        <v>120947</v>
      </c>
      <c r="F170" s="7" t="n">
        <f aca="false">RANDBETWEEN(F169*0.97,F169*1.033)</f>
        <v>2316885</v>
      </c>
    </row>
    <row r="171" customFormat="false" ht="13.8" hidden="false" customHeight="false" outlineLevel="0" collapsed="false">
      <c r="A171" s="0" t="n">
        <v>170</v>
      </c>
      <c r="B171" s="7" t="n">
        <f aca="false">RANDBETWEEN(B170*0.97,B170*1.033)</f>
        <v>18177</v>
      </c>
      <c r="C171" s="7" t="n">
        <f aca="false">RANDBETWEEN(C170*0.97,C170*1.033)</f>
        <v>25738</v>
      </c>
      <c r="D171" s="7" t="n">
        <f aca="false">RANDBETWEEN(D170*0.97,D170*1.033)</f>
        <v>50252</v>
      </c>
      <c r="E171" s="7" t="n">
        <f aca="false">RANDBETWEEN(E170*0.97,E170*1.033)</f>
        <v>122260</v>
      </c>
      <c r="F171" s="7" t="n">
        <f aca="false">RANDBETWEEN(F170*0.97,F170*1.033)</f>
        <v>2315633</v>
      </c>
    </row>
    <row r="172" customFormat="false" ht="13.8" hidden="false" customHeight="false" outlineLevel="0" collapsed="false">
      <c r="A172" s="0" t="n">
        <v>171</v>
      </c>
      <c r="B172" s="7" t="n">
        <f aca="false">RANDBETWEEN(B171*0.97,B171*1.033)</f>
        <v>18307</v>
      </c>
      <c r="C172" s="7" t="n">
        <f aca="false">RANDBETWEEN(C171*0.97,C171*1.033)</f>
        <v>25034</v>
      </c>
      <c r="D172" s="7" t="n">
        <f aca="false">RANDBETWEEN(D171*0.97,D171*1.033)</f>
        <v>49605</v>
      </c>
      <c r="E172" s="7" t="n">
        <f aca="false">RANDBETWEEN(E171*0.97,E171*1.033)</f>
        <v>122147</v>
      </c>
      <c r="F172" s="7" t="n">
        <f aca="false">RANDBETWEEN(F171*0.97,F171*1.033)</f>
        <v>2261764</v>
      </c>
    </row>
    <row r="173" customFormat="false" ht="13.8" hidden="false" customHeight="false" outlineLevel="0" collapsed="false">
      <c r="A173" s="0" t="n">
        <v>172</v>
      </c>
      <c r="B173" s="7" t="n">
        <f aca="false">RANDBETWEEN(B172*0.97,B172*1.033)</f>
        <v>18709</v>
      </c>
      <c r="C173" s="7" t="n">
        <f aca="false">RANDBETWEEN(C172*0.97,C172*1.033)</f>
        <v>25157</v>
      </c>
      <c r="D173" s="7" t="n">
        <f aca="false">RANDBETWEEN(D172*0.97,D172*1.033)</f>
        <v>48409</v>
      </c>
      <c r="E173" s="7" t="n">
        <f aca="false">RANDBETWEEN(E172*0.97,E172*1.033)</f>
        <v>123085</v>
      </c>
      <c r="F173" s="7" t="n">
        <f aca="false">RANDBETWEEN(F172*0.97,F172*1.033)</f>
        <v>2263170</v>
      </c>
    </row>
    <row r="174" customFormat="false" ht="13.8" hidden="false" customHeight="false" outlineLevel="0" collapsed="false">
      <c r="A174" s="0" t="n">
        <v>173</v>
      </c>
      <c r="B174" s="7" t="n">
        <f aca="false">RANDBETWEEN(B173*0.97,B173*1.033)</f>
        <v>18772</v>
      </c>
      <c r="C174" s="7" t="n">
        <f aca="false">RANDBETWEEN(C173*0.97,C173*1.033)</f>
        <v>24968</v>
      </c>
      <c r="D174" s="7" t="n">
        <f aca="false">RANDBETWEEN(D173*0.97,D173*1.033)</f>
        <v>49222</v>
      </c>
      <c r="E174" s="7" t="n">
        <f aca="false">RANDBETWEEN(E173*0.97,E173*1.033)</f>
        <v>122457</v>
      </c>
      <c r="F174" s="7" t="n">
        <f aca="false">RANDBETWEEN(F173*0.97,F173*1.033)</f>
        <v>2333642</v>
      </c>
    </row>
    <row r="175" customFormat="false" ht="13.8" hidden="false" customHeight="false" outlineLevel="0" collapsed="false">
      <c r="A175" s="0" t="n">
        <v>174</v>
      </c>
      <c r="B175" s="7" t="n">
        <f aca="false">RANDBETWEEN(B174*0.97,B174*1.033)</f>
        <v>18296</v>
      </c>
      <c r="C175" s="7" t="n">
        <f aca="false">RANDBETWEEN(C174*0.97,C174*1.033)</f>
        <v>25022</v>
      </c>
      <c r="D175" s="7" t="n">
        <f aca="false">RANDBETWEEN(D174*0.97,D174*1.033)</f>
        <v>48509</v>
      </c>
      <c r="E175" s="7" t="n">
        <f aca="false">RANDBETWEEN(E174*0.97,E174*1.033)</f>
        <v>123986</v>
      </c>
      <c r="F175" s="7" t="n">
        <f aca="false">RANDBETWEEN(F174*0.97,F174*1.033)</f>
        <v>2398422</v>
      </c>
    </row>
    <row r="176" customFormat="false" ht="13.8" hidden="false" customHeight="false" outlineLevel="0" collapsed="false">
      <c r="A176" s="0" t="n">
        <v>175</v>
      </c>
      <c r="B176" s="7" t="n">
        <f aca="false">RANDBETWEEN(B175*0.97,B175*1.033)</f>
        <v>18876</v>
      </c>
      <c r="C176" s="7" t="n">
        <f aca="false">RANDBETWEEN(C175*0.97,C175*1.033)</f>
        <v>24729</v>
      </c>
      <c r="D176" s="7" t="n">
        <f aca="false">RANDBETWEEN(D175*0.97,D175*1.033)</f>
        <v>48477</v>
      </c>
      <c r="E176" s="7" t="n">
        <f aca="false">RANDBETWEEN(E175*0.97,E175*1.033)</f>
        <v>122285</v>
      </c>
      <c r="F176" s="7" t="n">
        <f aca="false">RANDBETWEEN(F175*0.97,F175*1.033)</f>
        <v>2396378</v>
      </c>
    </row>
    <row r="177" customFormat="false" ht="13.8" hidden="false" customHeight="false" outlineLevel="0" collapsed="false">
      <c r="A177" s="0" t="n">
        <v>176</v>
      </c>
      <c r="B177" s="7" t="n">
        <f aca="false">RANDBETWEEN(B176*0.97,B176*1.033)</f>
        <v>18542</v>
      </c>
      <c r="C177" s="7" t="n">
        <f aca="false">RANDBETWEEN(C176*0.97,C176*1.033)</f>
        <v>24789</v>
      </c>
      <c r="D177" s="7" t="n">
        <f aca="false">RANDBETWEEN(D176*0.97,D176*1.033)</f>
        <v>47291</v>
      </c>
      <c r="E177" s="7" t="n">
        <f aca="false">RANDBETWEEN(E176*0.97,E176*1.033)</f>
        <v>118892</v>
      </c>
      <c r="F177" s="7" t="n">
        <f aca="false">RANDBETWEEN(F176*0.97,F176*1.033)</f>
        <v>2379533</v>
      </c>
    </row>
    <row r="178" customFormat="false" ht="13.8" hidden="false" customHeight="false" outlineLevel="0" collapsed="false">
      <c r="A178" s="0" t="n">
        <v>177</v>
      </c>
      <c r="B178" s="7" t="n">
        <f aca="false">RANDBETWEEN(B177*0.97,B177*1.033)</f>
        <v>18645</v>
      </c>
      <c r="C178" s="7" t="n">
        <f aca="false">RANDBETWEEN(C177*0.97,C177*1.033)</f>
        <v>25092</v>
      </c>
      <c r="D178" s="7" t="n">
        <f aca="false">RANDBETWEEN(D177*0.97,D177*1.033)</f>
        <v>46320</v>
      </c>
      <c r="E178" s="7" t="n">
        <f aca="false">RANDBETWEEN(E177*0.97,E177*1.033)</f>
        <v>115838</v>
      </c>
      <c r="F178" s="7" t="n">
        <f aca="false">RANDBETWEEN(F177*0.97,F177*1.033)</f>
        <v>2424899</v>
      </c>
    </row>
    <row r="179" customFormat="false" ht="13.8" hidden="false" customHeight="false" outlineLevel="0" collapsed="false">
      <c r="A179" s="0" t="n">
        <v>178</v>
      </c>
      <c r="B179" s="7" t="n">
        <f aca="false">RANDBETWEEN(B178*0.97,B178*1.033)</f>
        <v>19210</v>
      </c>
      <c r="C179" s="7" t="n">
        <f aca="false">RANDBETWEEN(C178*0.97,C178*1.033)</f>
        <v>25588</v>
      </c>
      <c r="D179" s="7" t="n">
        <f aca="false">RANDBETWEEN(D178*0.97,D178*1.033)</f>
        <v>46014</v>
      </c>
      <c r="E179" s="7" t="n">
        <f aca="false">RANDBETWEEN(E178*0.97,E178*1.033)</f>
        <v>118001</v>
      </c>
      <c r="F179" s="7" t="n">
        <f aca="false">RANDBETWEEN(F178*0.97,F178*1.033)</f>
        <v>2418528</v>
      </c>
    </row>
    <row r="180" customFormat="false" ht="13.8" hidden="false" customHeight="false" outlineLevel="0" collapsed="false">
      <c r="A180" s="0" t="n">
        <v>179</v>
      </c>
      <c r="B180" s="7" t="n">
        <f aca="false">RANDBETWEEN(B179*0.97,B179*1.033)</f>
        <v>19715</v>
      </c>
      <c r="C180" s="7" t="n">
        <f aca="false">RANDBETWEEN(C179*0.97,C179*1.033)</f>
        <v>25033</v>
      </c>
      <c r="D180" s="7" t="n">
        <f aca="false">RANDBETWEEN(D179*0.97,D179*1.033)</f>
        <v>47165</v>
      </c>
      <c r="E180" s="7" t="n">
        <f aca="false">RANDBETWEEN(E179*0.97,E179*1.033)</f>
        <v>114951</v>
      </c>
      <c r="F180" s="7" t="n">
        <f aca="false">RANDBETWEEN(F179*0.97,F179*1.033)</f>
        <v>2442729</v>
      </c>
    </row>
    <row r="181" customFormat="false" ht="13.8" hidden="false" customHeight="false" outlineLevel="0" collapsed="false">
      <c r="A181" s="0" t="n">
        <v>180</v>
      </c>
      <c r="B181" s="7" t="n">
        <f aca="false">RANDBETWEEN(B180*0.97,B180*1.033)</f>
        <v>19795</v>
      </c>
      <c r="C181" s="7" t="n">
        <f aca="false">RANDBETWEEN(C180*0.97,C180*1.033)</f>
        <v>24469</v>
      </c>
      <c r="D181" s="7" t="n">
        <f aca="false">RANDBETWEEN(D180*0.97,D180*1.033)</f>
        <v>46660</v>
      </c>
      <c r="E181" s="7" t="n">
        <f aca="false">RANDBETWEEN(E180*0.97,E180*1.033)</f>
        <v>113447</v>
      </c>
      <c r="F181" s="7" t="n">
        <f aca="false">RANDBETWEEN(F180*0.97,F180*1.033)</f>
        <v>2370300</v>
      </c>
    </row>
    <row r="182" customFormat="false" ht="13.8" hidden="false" customHeight="false" outlineLevel="0" collapsed="false">
      <c r="A182" s="0" t="n">
        <v>181</v>
      </c>
      <c r="B182" s="7" t="n">
        <f aca="false">RANDBETWEEN(B181*0.97,B181*1.033)</f>
        <v>19963</v>
      </c>
      <c r="C182" s="7" t="n">
        <f aca="false">RANDBETWEEN(C181*0.97,C181*1.033)</f>
        <v>24558</v>
      </c>
      <c r="D182" s="7" t="n">
        <f aca="false">RANDBETWEEN(D181*0.97,D181*1.033)</f>
        <v>45392</v>
      </c>
      <c r="E182" s="7" t="n">
        <f aca="false">RANDBETWEEN(E181*0.97,E181*1.033)</f>
        <v>112709</v>
      </c>
      <c r="F182" s="7" t="n">
        <f aca="false">RANDBETWEEN(F181*0.97,F181*1.033)</f>
        <v>2414373</v>
      </c>
    </row>
    <row r="183" customFormat="false" ht="13.8" hidden="false" customHeight="false" outlineLevel="0" collapsed="false">
      <c r="A183" s="0" t="n">
        <v>182</v>
      </c>
      <c r="B183" s="7" t="n">
        <f aca="false">RANDBETWEEN(B182*0.97,B182*1.033)</f>
        <v>20283</v>
      </c>
      <c r="C183" s="7" t="n">
        <f aca="false">RANDBETWEEN(C182*0.97,C182*1.033)</f>
        <v>25321</v>
      </c>
      <c r="D183" s="7" t="n">
        <f aca="false">RANDBETWEEN(D182*0.97,D182*1.033)</f>
        <v>46470</v>
      </c>
      <c r="E183" s="7" t="n">
        <f aca="false">RANDBETWEEN(E182*0.97,E182*1.033)</f>
        <v>110920</v>
      </c>
      <c r="F183" s="7" t="n">
        <f aca="false">RANDBETWEEN(F182*0.97,F182*1.033)</f>
        <v>2402296</v>
      </c>
    </row>
    <row r="184" customFormat="false" ht="13.8" hidden="false" customHeight="false" outlineLevel="0" collapsed="false">
      <c r="A184" s="0" t="n">
        <v>183</v>
      </c>
      <c r="B184" s="7" t="n">
        <f aca="false">RANDBETWEEN(B183*0.97,B183*1.033)</f>
        <v>19714</v>
      </c>
      <c r="C184" s="7" t="n">
        <f aca="false">RANDBETWEEN(C183*0.97,C183*1.033)</f>
        <v>25516</v>
      </c>
      <c r="D184" s="7" t="n">
        <f aca="false">RANDBETWEEN(D183*0.97,D183*1.033)</f>
        <v>45327</v>
      </c>
      <c r="E184" s="7" t="n">
        <f aca="false">RANDBETWEEN(E183*0.97,E183*1.033)</f>
        <v>114357</v>
      </c>
      <c r="F184" s="7" t="n">
        <f aca="false">RANDBETWEEN(F183*0.97,F183*1.033)</f>
        <v>2338341</v>
      </c>
    </row>
    <row r="185" customFormat="false" ht="13.8" hidden="false" customHeight="false" outlineLevel="0" collapsed="false">
      <c r="A185" s="0" t="n">
        <v>184</v>
      </c>
      <c r="B185" s="7" t="n">
        <f aca="false">RANDBETWEEN(B184*0.97,B184*1.033)</f>
        <v>19305</v>
      </c>
      <c r="C185" s="7" t="n">
        <f aca="false">RANDBETWEEN(C184*0.97,C184*1.033)</f>
        <v>25032</v>
      </c>
      <c r="D185" s="7" t="n">
        <f aca="false">RANDBETWEEN(D184*0.97,D184*1.033)</f>
        <v>45664</v>
      </c>
      <c r="E185" s="7" t="n">
        <f aca="false">RANDBETWEEN(E184*0.97,E184*1.033)</f>
        <v>113032</v>
      </c>
      <c r="F185" s="7" t="n">
        <f aca="false">RANDBETWEEN(F184*0.97,F184*1.033)</f>
        <v>2398617</v>
      </c>
    </row>
    <row r="186" customFormat="false" ht="13.8" hidden="false" customHeight="false" outlineLevel="0" collapsed="false">
      <c r="A186" s="0" t="n">
        <v>185</v>
      </c>
      <c r="B186" s="7" t="n">
        <f aca="false">RANDBETWEEN(B185*0.97,B185*1.033)</f>
        <v>19430</v>
      </c>
      <c r="C186" s="7" t="n">
        <f aca="false">RANDBETWEEN(C185*0.97,C185*1.033)</f>
        <v>24853</v>
      </c>
      <c r="D186" s="7" t="n">
        <f aca="false">RANDBETWEEN(D185*0.97,D185*1.033)</f>
        <v>45231</v>
      </c>
      <c r="E186" s="7" t="n">
        <f aca="false">RANDBETWEEN(E185*0.97,E185*1.033)</f>
        <v>115777</v>
      </c>
      <c r="F186" s="7" t="n">
        <f aca="false">RANDBETWEEN(F185*0.97,F185*1.033)</f>
        <v>2413838</v>
      </c>
    </row>
    <row r="187" customFormat="false" ht="13.8" hidden="false" customHeight="false" outlineLevel="0" collapsed="false">
      <c r="A187" s="0" t="n">
        <v>186</v>
      </c>
      <c r="B187" s="7" t="n">
        <f aca="false">RANDBETWEEN(B186*0.97,B186*1.033)</f>
        <v>20064</v>
      </c>
      <c r="C187" s="7" t="n">
        <f aca="false">RANDBETWEEN(C186*0.97,C186*1.033)</f>
        <v>24818</v>
      </c>
      <c r="D187" s="7" t="n">
        <f aca="false">RANDBETWEEN(D186*0.97,D186*1.033)</f>
        <v>44989</v>
      </c>
      <c r="E187" s="7" t="n">
        <f aca="false">RANDBETWEEN(E186*0.97,E186*1.033)</f>
        <v>113751</v>
      </c>
      <c r="F187" s="7" t="n">
        <f aca="false">RANDBETWEEN(F186*0.97,F186*1.033)</f>
        <v>2416017</v>
      </c>
    </row>
    <row r="188" customFormat="false" ht="13.8" hidden="false" customHeight="false" outlineLevel="0" collapsed="false">
      <c r="A188" s="0" t="n">
        <v>187</v>
      </c>
      <c r="B188" s="7" t="n">
        <f aca="false">RANDBETWEEN(B187*0.97,B187*1.033)</f>
        <v>20096</v>
      </c>
      <c r="C188" s="7" t="n">
        <f aca="false">RANDBETWEEN(C187*0.97,C187*1.033)</f>
        <v>24127</v>
      </c>
      <c r="D188" s="7" t="n">
        <f aca="false">RANDBETWEEN(D187*0.97,D187*1.033)</f>
        <v>46390</v>
      </c>
      <c r="E188" s="7" t="n">
        <f aca="false">RANDBETWEEN(E187*0.97,E187*1.033)</f>
        <v>113616</v>
      </c>
      <c r="F188" s="7" t="n">
        <f aca="false">RANDBETWEEN(F187*0.97,F187*1.033)</f>
        <v>2440463</v>
      </c>
    </row>
    <row r="189" customFormat="false" ht="13.8" hidden="false" customHeight="false" outlineLevel="0" collapsed="false">
      <c r="A189" s="0" t="n">
        <v>188</v>
      </c>
      <c r="B189" s="7" t="n">
        <f aca="false">RANDBETWEEN(B188*0.97,B188*1.033)</f>
        <v>20549</v>
      </c>
      <c r="C189" s="7" t="n">
        <f aca="false">RANDBETWEEN(C188*0.97,C188*1.033)</f>
        <v>24890</v>
      </c>
      <c r="D189" s="7" t="n">
        <f aca="false">RANDBETWEEN(D188*0.97,D188*1.033)</f>
        <v>45526</v>
      </c>
      <c r="E189" s="7" t="n">
        <f aca="false">RANDBETWEEN(E188*0.97,E188*1.033)</f>
        <v>113910</v>
      </c>
      <c r="F189" s="7" t="n">
        <f aca="false">RANDBETWEEN(F188*0.97,F188*1.033)</f>
        <v>2500184</v>
      </c>
    </row>
    <row r="190" customFormat="false" ht="13.8" hidden="false" customHeight="false" outlineLevel="0" collapsed="false">
      <c r="A190" s="0" t="n">
        <v>189</v>
      </c>
      <c r="B190" s="7" t="n">
        <f aca="false">RANDBETWEEN(B189*0.97,B189*1.033)</f>
        <v>21139</v>
      </c>
      <c r="C190" s="7" t="n">
        <f aca="false">RANDBETWEEN(C189*0.97,C189*1.033)</f>
        <v>24586</v>
      </c>
      <c r="D190" s="7" t="n">
        <f aca="false">RANDBETWEEN(D189*0.97,D189*1.033)</f>
        <v>46736</v>
      </c>
      <c r="E190" s="7" t="n">
        <f aca="false">RANDBETWEEN(E189*0.97,E189*1.033)</f>
        <v>115647</v>
      </c>
      <c r="F190" s="7" t="n">
        <f aca="false">RANDBETWEEN(F189*0.97,F189*1.033)</f>
        <v>2557697</v>
      </c>
    </row>
    <row r="191" customFormat="false" ht="13.8" hidden="false" customHeight="false" outlineLevel="0" collapsed="false">
      <c r="A191" s="0" t="n">
        <v>190</v>
      </c>
      <c r="B191" s="7" t="n">
        <f aca="false">RANDBETWEEN(B190*0.97,B190*1.033)</f>
        <v>20532</v>
      </c>
      <c r="C191" s="7" t="n">
        <f aca="false">RANDBETWEEN(C190*0.97,C190*1.033)</f>
        <v>24557</v>
      </c>
      <c r="D191" s="7" t="n">
        <f aca="false">RANDBETWEEN(D190*0.97,D190*1.033)</f>
        <v>46595</v>
      </c>
      <c r="E191" s="7" t="n">
        <f aca="false">RANDBETWEEN(E190*0.97,E190*1.033)</f>
        <v>116595</v>
      </c>
      <c r="F191" s="7" t="n">
        <f aca="false">RANDBETWEEN(F190*0.97,F190*1.033)</f>
        <v>2485581</v>
      </c>
    </row>
    <row r="192" customFormat="false" ht="13.8" hidden="false" customHeight="false" outlineLevel="0" collapsed="false">
      <c r="A192" s="0" t="n">
        <v>191</v>
      </c>
      <c r="B192" s="7" t="n">
        <f aca="false">RANDBETWEEN(B191*0.97,B191*1.033)</f>
        <v>20136</v>
      </c>
      <c r="C192" s="7" t="n">
        <f aca="false">RANDBETWEEN(C191*0.97,C191*1.033)</f>
        <v>24039</v>
      </c>
      <c r="D192" s="7" t="n">
        <f aca="false">RANDBETWEEN(D191*0.97,D191*1.033)</f>
        <v>47238</v>
      </c>
      <c r="E192" s="7" t="n">
        <f aca="false">RANDBETWEEN(E191*0.97,E191*1.033)</f>
        <v>119936</v>
      </c>
      <c r="F192" s="7" t="n">
        <f aca="false">RANDBETWEEN(F191*0.97,F191*1.033)</f>
        <v>2462992</v>
      </c>
    </row>
    <row r="193" customFormat="false" ht="13.8" hidden="false" customHeight="false" outlineLevel="0" collapsed="false">
      <c r="A193" s="0" t="n">
        <v>192</v>
      </c>
      <c r="B193" s="7" t="n">
        <f aca="false">RANDBETWEEN(B192*0.97,B192*1.033)</f>
        <v>19580</v>
      </c>
      <c r="C193" s="7" t="n">
        <f aca="false">RANDBETWEEN(C192*0.97,C192*1.033)</f>
        <v>24241</v>
      </c>
      <c r="D193" s="7" t="n">
        <f aca="false">RANDBETWEEN(D192*0.97,D192*1.033)</f>
        <v>47026</v>
      </c>
      <c r="E193" s="7" t="n">
        <f aca="false">RANDBETWEEN(E192*0.97,E192*1.033)</f>
        <v>120244</v>
      </c>
      <c r="F193" s="7" t="n">
        <f aca="false">RANDBETWEEN(F192*0.97,F192*1.033)</f>
        <v>2441201</v>
      </c>
    </row>
    <row r="194" customFormat="false" ht="13.8" hidden="false" customHeight="false" outlineLevel="0" collapsed="false">
      <c r="A194" s="0" t="n">
        <v>193</v>
      </c>
      <c r="B194" s="7" t="n">
        <f aca="false">RANDBETWEEN(B193*0.97,B193*1.033)</f>
        <v>19545</v>
      </c>
      <c r="C194" s="7" t="n">
        <f aca="false">RANDBETWEEN(C193*0.97,C193*1.033)</f>
        <v>24552</v>
      </c>
      <c r="D194" s="7" t="n">
        <f aca="false">RANDBETWEEN(D193*0.97,D193*1.033)</f>
        <v>47829</v>
      </c>
      <c r="E194" s="7" t="n">
        <f aca="false">RANDBETWEEN(E193*0.97,E193*1.033)</f>
        <v>121050</v>
      </c>
      <c r="F194" s="7" t="n">
        <f aca="false">RANDBETWEEN(F193*0.97,F193*1.033)</f>
        <v>2476390</v>
      </c>
    </row>
    <row r="195" customFormat="false" ht="13.8" hidden="false" customHeight="false" outlineLevel="0" collapsed="false">
      <c r="A195" s="0" t="n">
        <v>194</v>
      </c>
      <c r="B195" s="7" t="n">
        <f aca="false">RANDBETWEEN(B194*0.97,B194*1.033)</f>
        <v>20180</v>
      </c>
      <c r="C195" s="7" t="n">
        <f aca="false">RANDBETWEEN(C194*0.97,C194*1.033)</f>
        <v>24281</v>
      </c>
      <c r="D195" s="7" t="n">
        <f aca="false">RANDBETWEEN(D194*0.97,D194*1.033)</f>
        <v>47348</v>
      </c>
      <c r="E195" s="7" t="n">
        <f aca="false">RANDBETWEEN(E194*0.97,E194*1.033)</f>
        <v>119985</v>
      </c>
      <c r="F195" s="7" t="n">
        <f aca="false">RANDBETWEEN(F194*0.97,F194*1.033)</f>
        <v>2456736</v>
      </c>
    </row>
    <row r="196" customFormat="false" ht="13.8" hidden="false" customHeight="false" outlineLevel="0" collapsed="false">
      <c r="A196" s="0" t="n">
        <v>195</v>
      </c>
      <c r="B196" s="7" t="n">
        <f aca="false">RANDBETWEEN(B195*0.97,B195*1.033)</f>
        <v>19870</v>
      </c>
      <c r="C196" s="7" t="n">
        <f aca="false">RANDBETWEEN(C195*0.97,C195*1.033)</f>
        <v>24204</v>
      </c>
      <c r="D196" s="7" t="n">
        <f aca="false">RANDBETWEEN(D195*0.97,D195*1.033)</f>
        <v>47856</v>
      </c>
      <c r="E196" s="7" t="n">
        <f aca="false">RANDBETWEEN(E195*0.97,E195*1.033)</f>
        <v>120664</v>
      </c>
      <c r="F196" s="7" t="n">
        <f aca="false">RANDBETWEEN(F195*0.97,F195*1.033)</f>
        <v>2501769</v>
      </c>
    </row>
    <row r="197" customFormat="false" ht="13.8" hidden="false" customHeight="false" outlineLevel="0" collapsed="false">
      <c r="A197" s="0" t="n">
        <v>196</v>
      </c>
      <c r="B197" s="7" t="n">
        <f aca="false">RANDBETWEEN(B196*0.97,B196*1.033)</f>
        <v>20145</v>
      </c>
      <c r="C197" s="7" t="n">
        <f aca="false">RANDBETWEEN(C196*0.97,C196*1.033)</f>
        <v>24954</v>
      </c>
      <c r="D197" s="7" t="n">
        <f aca="false">RANDBETWEEN(D196*0.97,D196*1.033)</f>
        <v>48780</v>
      </c>
      <c r="E197" s="7" t="n">
        <f aca="false">RANDBETWEEN(E196*0.97,E196*1.033)</f>
        <v>117567</v>
      </c>
      <c r="F197" s="7" t="n">
        <f aca="false">RANDBETWEEN(F196*0.97,F196*1.033)</f>
        <v>2558136</v>
      </c>
    </row>
    <row r="198" customFormat="false" ht="13.8" hidden="false" customHeight="false" outlineLevel="0" collapsed="false">
      <c r="A198" s="0" t="n">
        <v>197</v>
      </c>
      <c r="B198" s="7" t="n">
        <f aca="false">RANDBETWEEN(B197*0.97,B197*1.033)</f>
        <v>19725</v>
      </c>
      <c r="C198" s="7" t="n">
        <f aca="false">RANDBETWEEN(C197*0.97,C197*1.033)</f>
        <v>25528</v>
      </c>
      <c r="D198" s="7" t="n">
        <f aca="false">RANDBETWEEN(D197*0.97,D197*1.033)</f>
        <v>49528</v>
      </c>
      <c r="E198" s="7" t="n">
        <f aca="false">RANDBETWEEN(E197*0.97,E197*1.033)</f>
        <v>114994</v>
      </c>
      <c r="F198" s="7" t="n">
        <f aca="false">RANDBETWEEN(F197*0.97,F197*1.033)</f>
        <v>2483616</v>
      </c>
    </row>
    <row r="199" customFormat="false" ht="13.8" hidden="false" customHeight="false" outlineLevel="0" collapsed="false">
      <c r="A199" s="0" t="n">
        <v>198</v>
      </c>
      <c r="B199" s="7" t="n">
        <f aca="false">RANDBETWEEN(B198*0.97,B198*1.033)</f>
        <v>20089</v>
      </c>
      <c r="C199" s="7" t="n">
        <f aca="false">RANDBETWEEN(C198*0.97,C198*1.033)</f>
        <v>25931</v>
      </c>
      <c r="D199" s="7" t="n">
        <f aca="false">RANDBETWEEN(D198*0.97,D198*1.033)</f>
        <v>49105</v>
      </c>
      <c r="E199" s="7" t="n">
        <f aca="false">RANDBETWEEN(E198*0.97,E198*1.033)</f>
        <v>112418</v>
      </c>
      <c r="F199" s="7" t="n">
        <f aca="false">RANDBETWEEN(F198*0.97,F198*1.033)</f>
        <v>2449323</v>
      </c>
    </row>
    <row r="200" customFormat="false" ht="13.8" hidden="false" customHeight="false" outlineLevel="0" collapsed="false">
      <c r="A200" s="0" t="n">
        <v>199</v>
      </c>
      <c r="B200" s="7" t="n">
        <f aca="false">RANDBETWEEN(B199*0.97,B199*1.033)</f>
        <v>19781</v>
      </c>
      <c r="C200" s="7" t="n">
        <f aca="false">RANDBETWEEN(C199*0.97,C199*1.033)</f>
        <v>26628</v>
      </c>
      <c r="D200" s="7" t="n">
        <f aca="false">RANDBETWEEN(D199*0.97,D199*1.033)</f>
        <v>47861</v>
      </c>
      <c r="E200" s="7" t="n">
        <f aca="false">RANDBETWEEN(E199*0.97,E199*1.033)</f>
        <v>109269</v>
      </c>
      <c r="F200" s="7" t="n">
        <f aca="false">RANDBETWEEN(F199*0.97,F199*1.033)</f>
        <v>2407163</v>
      </c>
    </row>
    <row r="201" customFormat="false" ht="13.8" hidden="false" customHeight="false" outlineLevel="0" collapsed="false">
      <c r="A201" s="0" t="n">
        <v>200</v>
      </c>
      <c r="B201" s="7" t="n">
        <f aca="false">RANDBETWEEN(B200*0.97,B200*1.033)</f>
        <v>20321</v>
      </c>
      <c r="C201" s="7" t="n">
        <f aca="false">RANDBETWEEN(C200*0.97,C200*1.033)</f>
        <v>27033</v>
      </c>
      <c r="D201" s="7" t="n">
        <f aca="false">RANDBETWEEN(D200*0.97,D200*1.033)</f>
        <v>46825</v>
      </c>
      <c r="E201" s="7" t="n">
        <f aca="false">RANDBETWEEN(E200*0.97,E200*1.033)</f>
        <v>106635</v>
      </c>
      <c r="F201" s="7" t="n">
        <f aca="false">RANDBETWEEN(F200*0.97,F200*1.033)</f>
        <v>2473227</v>
      </c>
    </row>
    <row r="202" customFormat="false" ht="13.8" hidden="false" customHeight="false" outlineLevel="0" collapsed="false">
      <c r="A202" s="0" t="n">
        <v>201</v>
      </c>
      <c r="B202" s="7" t="n">
        <f aca="false">RANDBETWEEN(B201*0.97,B201*1.033)</f>
        <v>20350</v>
      </c>
      <c r="C202" s="7" t="n">
        <f aca="false">RANDBETWEEN(C201*0.97,C201*1.033)</f>
        <v>27652</v>
      </c>
      <c r="D202" s="7" t="n">
        <f aca="false">RANDBETWEEN(D201*0.97,D201*1.033)</f>
        <v>48032</v>
      </c>
      <c r="E202" s="7" t="n">
        <f aca="false">RANDBETWEEN(E201*0.97,E201*1.033)</f>
        <v>104041</v>
      </c>
      <c r="F202" s="7" t="n">
        <f aca="false">RANDBETWEEN(F201*0.97,F201*1.033)</f>
        <v>2400971</v>
      </c>
    </row>
    <row r="203" customFormat="false" ht="13.8" hidden="false" customHeight="false" outlineLevel="0" collapsed="false">
      <c r="A203" s="0" t="n">
        <v>202</v>
      </c>
      <c r="B203" s="7" t="n">
        <f aca="false">RANDBETWEEN(B202*0.97,B202*1.033)</f>
        <v>20297</v>
      </c>
      <c r="C203" s="7" t="n">
        <f aca="false">RANDBETWEEN(C202*0.97,C202*1.033)</f>
        <v>27843</v>
      </c>
      <c r="D203" s="7" t="n">
        <f aca="false">RANDBETWEEN(D202*0.97,D202*1.033)</f>
        <v>48083</v>
      </c>
      <c r="E203" s="7" t="n">
        <f aca="false">RANDBETWEEN(E202*0.97,E202*1.033)</f>
        <v>103249</v>
      </c>
      <c r="F203" s="7" t="n">
        <f aca="false">RANDBETWEEN(F202*0.97,F202*1.033)</f>
        <v>2410623</v>
      </c>
    </row>
    <row r="204" customFormat="false" ht="13.8" hidden="false" customHeight="false" outlineLevel="0" collapsed="false">
      <c r="A204" s="0" t="n">
        <v>203</v>
      </c>
      <c r="B204" s="7" t="n">
        <f aca="false">RANDBETWEEN(B203*0.97,B203*1.033)</f>
        <v>19701</v>
      </c>
      <c r="C204" s="7" t="n">
        <f aca="false">RANDBETWEEN(C203*0.97,C203*1.033)</f>
        <v>27152</v>
      </c>
      <c r="D204" s="7" t="n">
        <f aca="false">RANDBETWEEN(D203*0.97,D203*1.033)</f>
        <v>49501</v>
      </c>
      <c r="E204" s="7" t="n">
        <f aca="false">RANDBETWEEN(E203*0.97,E203*1.033)</f>
        <v>103664</v>
      </c>
      <c r="F204" s="7" t="n">
        <f aca="false">RANDBETWEEN(F203*0.97,F203*1.033)</f>
        <v>2356760</v>
      </c>
    </row>
    <row r="205" customFormat="false" ht="13.8" hidden="false" customHeight="false" outlineLevel="0" collapsed="false">
      <c r="A205" s="0" t="n">
        <v>204</v>
      </c>
      <c r="B205" s="7" t="n">
        <f aca="false">RANDBETWEEN(B204*0.97,B204*1.033)</f>
        <v>19812</v>
      </c>
      <c r="C205" s="7" t="n">
        <f aca="false">RANDBETWEEN(C204*0.97,C204*1.033)</f>
        <v>28015</v>
      </c>
      <c r="D205" s="7" t="n">
        <f aca="false">RANDBETWEEN(D204*0.97,D204*1.033)</f>
        <v>51117</v>
      </c>
      <c r="E205" s="7" t="n">
        <f aca="false">RANDBETWEEN(E204*0.97,E204*1.033)</f>
        <v>101483</v>
      </c>
      <c r="F205" s="7" t="n">
        <f aca="false">RANDBETWEEN(F204*0.97,F204*1.033)</f>
        <v>2415992</v>
      </c>
    </row>
    <row r="206" customFormat="false" ht="13.8" hidden="false" customHeight="false" outlineLevel="0" collapsed="false">
      <c r="A206" s="0" t="n">
        <v>205</v>
      </c>
      <c r="B206" s="7" t="n">
        <f aca="false">RANDBETWEEN(B205*0.97,B205*1.033)</f>
        <v>19504</v>
      </c>
      <c r="C206" s="7" t="n">
        <f aca="false">RANDBETWEEN(C205*0.97,C205*1.033)</f>
        <v>28038</v>
      </c>
      <c r="D206" s="7" t="n">
        <f aca="false">RANDBETWEEN(D205*0.97,D205*1.033)</f>
        <v>51370</v>
      </c>
      <c r="E206" s="7" t="n">
        <f aca="false">RANDBETWEEN(E205*0.97,E205*1.033)</f>
        <v>101410</v>
      </c>
      <c r="F206" s="7" t="n">
        <f aca="false">RANDBETWEEN(F205*0.97,F205*1.033)</f>
        <v>2484874</v>
      </c>
    </row>
    <row r="207" customFormat="false" ht="13.8" hidden="false" customHeight="false" outlineLevel="0" collapsed="false">
      <c r="A207" s="0" t="n">
        <v>206</v>
      </c>
      <c r="B207" s="7" t="n">
        <f aca="false">RANDBETWEEN(B206*0.97,B206*1.033)</f>
        <v>19232</v>
      </c>
      <c r="C207" s="7" t="n">
        <f aca="false">RANDBETWEEN(C206*0.97,C206*1.033)</f>
        <v>28071</v>
      </c>
      <c r="D207" s="7" t="n">
        <f aca="false">RANDBETWEEN(D206*0.97,D206*1.033)</f>
        <v>50752</v>
      </c>
      <c r="E207" s="7" t="n">
        <f aca="false">RANDBETWEEN(E206*0.97,E206*1.033)</f>
        <v>101403</v>
      </c>
      <c r="F207" s="7" t="n">
        <f aca="false">RANDBETWEEN(F206*0.97,F206*1.033)</f>
        <v>2464102</v>
      </c>
    </row>
    <row r="208" customFormat="false" ht="13.8" hidden="false" customHeight="false" outlineLevel="0" collapsed="false">
      <c r="A208" s="0" t="n">
        <v>207</v>
      </c>
      <c r="B208" s="7" t="n">
        <f aca="false">RANDBETWEEN(B207*0.97,B207*1.033)</f>
        <v>19603</v>
      </c>
      <c r="C208" s="7" t="n">
        <f aca="false">RANDBETWEEN(C207*0.97,C207*1.033)</f>
        <v>28111</v>
      </c>
      <c r="D208" s="7" t="n">
        <f aca="false">RANDBETWEEN(D207*0.97,D207*1.033)</f>
        <v>51054</v>
      </c>
      <c r="E208" s="7" t="n">
        <f aca="false">RANDBETWEEN(E207*0.97,E207*1.033)</f>
        <v>104636</v>
      </c>
      <c r="F208" s="7" t="n">
        <f aca="false">RANDBETWEEN(F207*0.97,F207*1.033)</f>
        <v>2419182</v>
      </c>
    </row>
    <row r="209" customFormat="false" ht="13.8" hidden="false" customHeight="false" outlineLevel="0" collapsed="false">
      <c r="A209" s="0" t="n">
        <v>208</v>
      </c>
      <c r="B209" s="7" t="n">
        <f aca="false">RANDBETWEEN(B208*0.97,B208*1.033)</f>
        <v>19553</v>
      </c>
      <c r="C209" s="7" t="n">
        <f aca="false">RANDBETWEEN(C208*0.97,C208*1.033)</f>
        <v>28847</v>
      </c>
      <c r="D209" s="7" t="n">
        <f aca="false">RANDBETWEEN(D208*0.97,D208*1.033)</f>
        <v>49708</v>
      </c>
      <c r="E209" s="7" t="n">
        <f aca="false">RANDBETWEEN(E208*0.97,E208*1.033)</f>
        <v>104057</v>
      </c>
      <c r="F209" s="7" t="n">
        <f aca="false">RANDBETWEEN(F208*0.97,F208*1.033)</f>
        <v>2453799</v>
      </c>
    </row>
    <row r="210" customFormat="false" ht="13.8" hidden="false" customHeight="false" outlineLevel="0" collapsed="false">
      <c r="A210" s="0" t="n">
        <v>209</v>
      </c>
      <c r="B210" s="7" t="n">
        <f aca="false">RANDBETWEEN(B209*0.97,B209*1.033)</f>
        <v>19249</v>
      </c>
      <c r="C210" s="7" t="n">
        <f aca="false">RANDBETWEEN(C209*0.97,C209*1.033)</f>
        <v>28284</v>
      </c>
      <c r="D210" s="7" t="n">
        <f aca="false">RANDBETWEEN(D209*0.97,D209*1.033)</f>
        <v>51072</v>
      </c>
      <c r="E210" s="7" t="n">
        <f aca="false">RANDBETWEEN(E209*0.97,E209*1.033)</f>
        <v>105678</v>
      </c>
      <c r="F210" s="7" t="n">
        <f aca="false">RANDBETWEEN(F209*0.97,F209*1.033)</f>
        <v>2505175</v>
      </c>
    </row>
    <row r="211" customFormat="false" ht="13.8" hidden="false" customHeight="false" outlineLevel="0" collapsed="false">
      <c r="A211" s="0" t="n">
        <v>210</v>
      </c>
      <c r="B211" s="7" t="n">
        <f aca="false">RANDBETWEEN(B210*0.97,B210*1.033)</f>
        <v>19186</v>
      </c>
      <c r="C211" s="7" t="n">
        <f aca="false">RANDBETWEEN(C210*0.97,C210*1.033)</f>
        <v>28318</v>
      </c>
      <c r="D211" s="7" t="n">
        <f aca="false">RANDBETWEEN(D210*0.97,D210*1.033)</f>
        <v>51718</v>
      </c>
      <c r="E211" s="7" t="n">
        <f aca="false">RANDBETWEEN(E210*0.97,E210*1.033)</f>
        <v>102891</v>
      </c>
      <c r="F211" s="7" t="n">
        <f aca="false">RANDBETWEEN(F210*0.97,F210*1.033)</f>
        <v>2498029</v>
      </c>
    </row>
    <row r="212" customFormat="false" ht="13.8" hidden="false" customHeight="false" outlineLevel="0" collapsed="false">
      <c r="A212" s="0" t="n">
        <v>211</v>
      </c>
      <c r="B212" s="7" t="n">
        <f aca="false">RANDBETWEEN(B211*0.97,B211*1.033)</f>
        <v>18936</v>
      </c>
      <c r="C212" s="7" t="n">
        <f aca="false">RANDBETWEEN(C211*0.97,C211*1.033)</f>
        <v>28390</v>
      </c>
      <c r="D212" s="7" t="n">
        <f aca="false">RANDBETWEEN(D211*0.97,D211*1.033)</f>
        <v>51866</v>
      </c>
      <c r="E212" s="7" t="n">
        <f aca="false">RANDBETWEEN(E211*0.97,E211*1.033)</f>
        <v>100959</v>
      </c>
      <c r="F212" s="7" t="n">
        <f aca="false">RANDBETWEEN(F211*0.97,F211*1.033)</f>
        <v>2474768</v>
      </c>
    </row>
    <row r="213" customFormat="false" ht="13.8" hidden="false" customHeight="false" outlineLevel="0" collapsed="false">
      <c r="A213" s="0" t="n">
        <v>212</v>
      </c>
      <c r="B213" s="7" t="n">
        <f aca="false">RANDBETWEEN(B212*0.97,B212*1.033)</f>
        <v>19413</v>
      </c>
      <c r="C213" s="7" t="n">
        <f aca="false">RANDBETWEEN(C212*0.97,C212*1.033)</f>
        <v>28319</v>
      </c>
      <c r="D213" s="7" t="n">
        <f aca="false">RANDBETWEEN(D212*0.97,D212*1.033)</f>
        <v>51229</v>
      </c>
      <c r="E213" s="7" t="n">
        <f aca="false">RANDBETWEEN(E212*0.97,E212*1.033)</f>
        <v>101953</v>
      </c>
      <c r="F213" s="7" t="n">
        <f aca="false">RANDBETWEEN(F212*0.97,F212*1.033)</f>
        <v>2460148</v>
      </c>
    </row>
    <row r="214" customFormat="false" ht="13.8" hidden="false" customHeight="false" outlineLevel="0" collapsed="false">
      <c r="A214" s="0" t="n">
        <v>213</v>
      </c>
      <c r="B214" s="7" t="n">
        <f aca="false">RANDBETWEEN(B213*0.97,B213*1.033)</f>
        <v>19388</v>
      </c>
      <c r="C214" s="7" t="n">
        <f aca="false">RANDBETWEEN(C213*0.97,C213*1.033)</f>
        <v>28980</v>
      </c>
      <c r="D214" s="7" t="n">
        <f aca="false">RANDBETWEEN(D213*0.97,D213*1.033)</f>
        <v>51379</v>
      </c>
      <c r="E214" s="7" t="n">
        <f aca="false">RANDBETWEEN(E213*0.97,E213*1.033)</f>
        <v>99626</v>
      </c>
      <c r="F214" s="7" t="n">
        <f aca="false">RANDBETWEEN(F213*0.97,F213*1.033)</f>
        <v>2493414</v>
      </c>
    </row>
    <row r="215" customFormat="false" ht="13.8" hidden="false" customHeight="false" outlineLevel="0" collapsed="false">
      <c r="A215" s="0" t="n">
        <v>214</v>
      </c>
      <c r="B215" s="7" t="n">
        <f aca="false">RANDBETWEEN(B214*0.97,B214*1.033)</f>
        <v>19477</v>
      </c>
      <c r="C215" s="7" t="n">
        <f aca="false">RANDBETWEEN(C214*0.97,C214*1.033)</f>
        <v>28335</v>
      </c>
      <c r="D215" s="7" t="n">
        <f aca="false">RANDBETWEEN(D214*0.97,D214*1.033)</f>
        <v>51461</v>
      </c>
      <c r="E215" s="7" t="n">
        <f aca="false">RANDBETWEEN(E214*0.97,E214*1.033)</f>
        <v>97588</v>
      </c>
      <c r="F215" s="7" t="n">
        <f aca="false">RANDBETWEEN(F214*0.97,F214*1.033)</f>
        <v>2527406</v>
      </c>
    </row>
    <row r="216" customFormat="false" ht="13.8" hidden="false" customHeight="false" outlineLevel="0" collapsed="false">
      <c r="A216" s="0" t="n">
        <v>215</v>
      </c>
      <c r="B216" s="7" t="n">
        <f aca="false">RANDBETWEEN(B215*0.97,B215*1.033)</f>
        <v>19253</v>
      </c>
      <c r="C216" s="7" t="n">
        <f aca="false">RANDBETWEEN(C215*0.97,C215*1.033)</f>
        <v>28634</v>
      </c>
      <c r="D216" s="7" t="n">
        <f aca="false">RANDBETWEEN(D215*0.97,D215*1.033)</f>
        <v>51112</v>
      </c>
      <c r="E216" s="7" t="n">
        <f aca="false">RANDBETWEEN(E215*0.97,E215*1.033)</f>
        <v>96780</v>
      </c>
      <c r="F216" s="7" t="n">
        <f aca="false">RANDBETWEEN(F215*0.97,F215*1.033)</f>
        <v>2592774</v>
      </c>
    </row>
    <row r="217" customFormat="false" ht="13.8" hidden="false" customHeight="false" outlineLevel="0" collapsed="false">
      <c r="A217" s="0" t="n">
        <v>216</v>
      </c>
      <c r="B217" s="7" t="n">
        <f aca="false">RANDBETWEEN(B216*0.97,B216*1.033)</f>
        <v>19152</v>
      </c>
      <c r="C217" s="7" t="n">
        <f aca="false">RANDBETWEEN(C216*0.97,C216*1.033)</f>
        <v>27911</v>
      </c>
      <c r="D217" s="7" t="n">
        <f aca="false">RANDBETWEEN(D216*0.97,D216*1.033)</f>
        <v>50659</v>
      </c>
      <c r="E217" s="7" t="n">
        <f aca="false">RANDBETWEEN(E216*0.97,E216*1.033)</f>
        <v>99825</v>
      </c>
      <c r="F217" s="7" t="n">
        <f aca="false">RANDBETWEEN(F216*0.97,F216*1.033)</f>
        <v>2550827</v>
      </c>
    </row>
    <row r="218" customFormat="false" ht="13.8" hidden="false" customHeight="false" outlineLevel="0" collapsed="false">
      <c r="A218" s="0" t="n">
        <v>217</v>
      </c>
      <c r="B218" s="7" t="n">
        <f aca="false">RANDBETWEEN(B217*0.97,B217*1.033)</f>
        <v>18949</v>
      </c>
      <c r="C218" s="7" t="n">
        <f aca="false">RANDBETWEEN(C217*0.97,C217*1.033)</f>
        <v>27807</v>
      </c>
      <c r="D218" s="7" t="n">
        <f aca="false">RANDBETWEEN(D217*0.97,D217*1.033)</f>
        <v>50243</v>
      </c>
      <c r="E218" s="7" t="n">
        <f aca="false">RANDBETWEEN(E217*0.97,E217*1.033)</f>
        <v>102891</v>
      </c>
      <c r="F218" s="7" t="n">
        <f aca="false">RANDBETWEEN(F217*0.97,F217*1.033)</f>
        <v>2597376</v>
      </c>
    </row>
    <row r="219" customFormat="false" ht="13.8" hidden="false" customHeight="false" outlineLevel="0" collapsed="false">
      <c r="A219" s="0" t="n">
        <v>218</v>
      </c>
      <c r="B219" s="7" t="n">
        <f aca="false">RANDBETWEEN(B218*0.97,B218*1.033)</f>
        <v>19019</v>
      </c>
      <c r="C219" s="7" t="n">
        <f aca="false">RANDBETWEEN(C218*0.97,C218*1.033)</f>
        <v>27768</v>
      </c>
      <c r="D219" s="7" t="n">
        <f aca="false">RANDBETWEEN(D218*0.97,D218*1.033)</f>
        <v>49586</v>
      </c>
      <c r="E219" s="7" t="n">
        <f aca="false">RANDBETWEEN(E218*0.97,E218*1.033)</f>
        <v>105681</v>
      </c>
      <c r="F219" s="7" t="n">
        <f aca="false">RANDBETWEEN(F218*0.97,F218*1.033)</f>
        <v>2526127</v>
      </c>
    </row>
    <row r="220" customFormat="false" ht="13.8" hidden="false" customHeight="false" outlineLevel="0" collapsed="false">
      <c r="A220" s="0" t="n">
        <v>219</v>
      </c>
      <c r="B220" s="7" t="n">
        <f aca="false">RANDBETWEEN(B219*0.97,B219*1.033)</f>
        <v>19345</v>
      </c>
      <c r="C220" s="7" t="n">
        <f aca="false">RANDBETWEEN(C219*0.97,C219*1.033)</f>
        <v>28209</v>
      </c>
      <c r="D220" s="7" t="n">
        <f aca="false">RANDBETWEEN(D219*0.97,D219*1.033)</f>
        <v>49076</v>
      </c>
      <c r="E220" s="7" t="n">
        <f aca="false">RANDBETWEEN(E219*0.97,E219*1.033)</f>
        <v>105867</v>
      </c>
      <c r="F220" s="7" t="n">
        <f aca="false">RANDBETWEEN(F219*0.97,F219*1.033)</f>
        <v>2454185</v>
      </c>
    </row>
    <row r="221" customFormat="false" ht="13.8" hidden="false" customHeight="false" outlineLevel="0" collapsed="false">
      <c r="A221" s="0" t="n">
        <v>220</v>
      </c>
      <c r="B221" s="7" t="n">
        <f aca="false">RANDBETWEEN(B220*0.97,B220*1.033)</f>
        <v>19121</v>
      </c>
      <c r="C221" s="7" t="n">
        <f aca="false">RANDBETWEEN(C220*0.97,C220*1.033)</f>
        <v>27656</v>
      </c>
      <c r="D221" s="7" t="n">
        <f aca="false">RANDBETWEEN(D220*0.97,D220*1.033)</f>
        <v>50497</v>
      </c>
      <c r="E221" s="7" t="n">
        <f aca="false">RANDBETWEEN(E220*0.97,E220*1.033)</f>
        <v>104845</v>
      </c>
      <c r="F221" s="7" t="n">
        <f aca="false">RANDBETWEEN(F220*0.97,F220*1.033)</f>
        <v>2512005</v>
      </c>
    </row>
    <row r="222" customFormat="false" ht="13.8" hidden="false" customHeight="false" outlineLevel="0" collapsed="false">
      <c r="A222" s="0" t="n">
        <v>221</v>
      </c>
      <c r="B222" s="7" t="n">
        <f aca="false">RANDBETWEEN(B221*0.97,B221*1.033)</f>
        <v>19176</v>
      </c>
      <c r="C222" s="7" t="n">
        <f aca="false">RANDBETWEEN(C221*0.97,C221*1.033)</f>
        <v>26955</v>
      </c>
      <c r="D222" s="7" t="n">
        <f aca="false">RANDBETWEEN(D221*0.97,D221*1.033)</f>
        <v>49791</v>
      </c>
      <c r="E222" s="7" t="n">
        <f aca="false">RANDBETWEEN(E221*0.97,E221*1.033)</f>
        <v>106681</v>
      </c>
      <c r="F222" s="7" t="n">
        <f aca="false">RANDBETWEEN(F221*0.97,F221*1.033)</f>
        <v>2506416</v>
      </c>
    </row>
    <row r="223" customFormat="false" ht="13.8" hidden="false" customHeight="false" outlineLevel="0" collapsed="false">
      <c r="A223" s="0" t="n">
        <v>222</v>
      </c>
      <c r="B223" s="7" t="n">
        <f aca="false">RANDBETWEEN(B222*0.97,B222*1.033)</f>
        <v>18968</v>
      </c>
      <c r="C223" s="7" t="n">
        <f aca="false">RANDBETWEEN(C222*0.97,C222*1.033)</f>
        <v>27458</v>
      </c>
      <c r="D223" s="7" t="n">
        <f aca="false">RANDBETWEEN(D222*0.97,D222*1.033)</f>
        <v>48987</v>
      </c>
      <c r="E223" s="7" t="n">
        <f aca="false">RANDBETWEEN(E222*0.97,E222*1.033)</f>
        <v>107398</v>
      </c>
      <c r="F223" s="7" t="n">
        <f aca="false">RANDBETWEEN(F222*0.97,F222*1.033)</f>
        <v>2494229</v>
      </c>
    </row>
    <row r="224" customFormat="false" ht="13.8" hidden="false" customHeight="false" outlineLevel="0" collapsed="false">
      <c r="A224" s="0" t="n">
        <v>223</v>
      </c>
      <c r="B224" s="7" t="n">
        <f aca="false">RANDBETWEEN(B223*0.97,B223*1.033)</f>
        <v>19480</v>
      </c>
      <c r="C224" s="7" t="n">
        <f aca="false">RANDBETWEEN(C223*0.97,C223*1.033)</f>
        <v>27967</v>
      </c>
      <c r="D224" s="7" t="n">
        <f aca="false">RANDBETWEEN(D223*0.97,D223*1.033)</f>
        <v>49277</v>
      </c>
      <c r="E224" s="7" t="n">
        <f aca="false">RANDBETWEEN(E223*0.97,E223*1.033)</f>
        <v>107985</v>
      </c>
      <c r="F224" s="7" t="n">
        <f aca="false">RANDBETWEEN(F223*0.97,F223*1.033)</f>
        <v>2493491</v>
      </c>
    </row>
    <row r="225" customFormat="false" ht="13.8" hidden="false" customHeight="false" outlineLevel="0" collapsed="false">
      <c r="A225" s="0" t="n">
        <v>224</v>
      </c>
      <c r="B225" s="7" t="n">
        <f aca="false">RANDBETWEEN(B224*0.97,B224*1.033)</f>
        <v>19983</v>
      </c>
      <c r="C225" s="7" t="n">
        <f aca="false">RANDBETWEEN(C224*0.97,C224*1.033)</f>
        <v>28708</v>
      </c>
      <c r="D225" s="7" t="n">
        <f aca="false">RANDBETWEEN(D224*0.97,D224*1.033)</f>
        <v>50367</v>
      </c>
      <c r="E225" s="7" t="n">
        <f aca="false">RANDBETWEEN(E224*0.97,E224*1.033)</f>
        <v>105465</v>
      </c>
      <c r="F225" s="7" t="n">
        <f aca="false">RANDBETWEEN(F224*0.97,F224*1.033)</f>
        <v>2484052</v>
      </c>
    </row>
    <row r="226" customFormat="false" ht="13.8" hidden="false" customHeight="false" outlineLevel="0" collapsed="false">
      <c r="A226" s="0" t="n">
        <v>225</v>
      </c>
      <c r="B226" s="7" t="n">
        <f aca="false">RANDBETWEEN(B225*0.97,B225*1.033)</f>
        <v>20258</v>
      </c>
      <c r="C226" s="7" t="n">
        <f aca="false">RANDBETWEEN(C225*0.97,C225*1.033)</f>
        <v>28105</v>
      </c>
      <c r="D226" s="7" t="n">
        <f aca="false">RANDBETWEEN(D225*0.97,D225*1.033)</f>
        <v>50219</v>
      </c>
      <c r="E226" s="7" t="n">
        <f aca="false">RANDBETWEEN(E225*0.97,E225*1.033)</f>
        <v>102745</v>
      </c>
      <c r="F226" s="7" t="n">
        <f aca="false">RANDBETWEEN(F225*0.97,F225*1.033)</f>
        <v>2509806</v>
      </c>
    </row>
    <row r="227" customFormat="false" ht="13.8" hidden="false" customHeight="false" outlineLevel="0" collapsed="false">
      <c r="A227" s="0" t="n">
        <v>226</v>
      </c>
      <c r="B227" s="7" t="n">
        <f aca="false">RANDBETWEEN(B226*0.97,B226*1.033)</f>
        <v>20492</v>
      </c>
      <c r="C227" s="7" t="n">
        <f aca="false">RANDBETWEEN(C226*0.97,C226*1.033)</f>
        <v>28071</v>
      </c>
      <c r="D227" s="7" t="n">
        <f aca="false">RANDBETWEEN(D226*0.97,D226*1.033)</f>
        <v>51091</v>
      </c>
      <c r="E227" s="7" t="n">
        <f aca="false">RANDBETWEEN(E226*0.97,E226*1.033)</f>
        <v>105428</v>
      </c>
      <c r="F227" s="7" t="n">
        <f aca="false">RANDBETWEEN(F226*0.97,F226*1.033)</f>
        <v>2467284</v>
      </c>
    </row>
    <row r="228" customFormat="false" ht="13.8" hidden="false" customHeight="false" outlineLevel="0" collapsed="false">
      <c r="A228" s="0" t="n">
        <v>227</v>
      </c>
      <c r="B228" s="7" t="n">
        <f aca="false">RANDBETWEEN(B227*0.97,B227*1.033)</f>
        <v>20457</v>
      </c>
      <c r="C228" s="7" t="n">
        <f aca="false">RANDBETWEEN(C227*0.97,C227*1.033)</f>
        <v>28568</v>
      </c>
      <c r="D228" s="7" t="n">
        <f aca="false">RANDBETWEEN(D227*0.97,D227*1.033)</f>
        <v>51131</v>
      </c>
      <c r="E228" s="7" t="n">
        <f aca="false">RANDBETWEEN(E227*0.97,E227*1.033)</f>
        <v>108217</v>
      </c>
      <c r="F228" s="7" t="n">
        <f aca="false">RANDBETWEEN(F227*0.97,F227*1.033)</f>
        <v>2544639</v>
      </c>
    </row>
    <row r="229" customFormat="false" ht="13.8" hidden="false" customHeight="false" outlineLevel="0" collapsed="false">
      <c r="A229" s="0" t="n">
        <v>228</v>
      </c>
      <c r="B229" s="7" t="n">
        <f aca="false">RANDBETWEEN(B228*0.97,B228*1.033)</f>
        <v>20373</v>
      </c>
      <c r="C229" s="7" t="n">
        <f aca="false">RANDBETWEEN(C228*0.97,C228*1.033)</f>
        <v>27931</v>
      </c>
      <c r="D229" s="7" t="n">
        <f aca="false">RANDBETWEEN(D228*0.97,D228*1.033)</f>
        <v>51169</v>
      </c>
      <c r="E229" s="7" t="n">
        <f aca="false">RANDBETWEEN(E228*0.97,E228*1.033)</f>
        <v>110045</v>
      </c>
      <c r="F229" s="7" t="n">
        <f aca="false">RANDBETWEEN(F228*0.97,F228*1.033)</f>
        <v>2502917</v>
      </c>
    </row>
    <row r="230" customFormat="false" ht="13.8" hidden="false" customHeight="false" outlineLevel="0" collapsed="false">
      <c r="A230" s="0" t="n">
        <v>229</v>
      </c>
      <c r="B230" s="7" t="n">
        <f aca="false">RANDBETWEEN(B229*0.97,B229*1.033)</f>
        <v>20763</v>
      </c>
      <c r="C230" s="7" t="n">
        <f aca="false">RANDBETWEEN(C229*0.97,C229*1.033)</f>
        <v>28033</v>
      </c>
      <c r="D230" s="7" t="n">
        <f aca="false">RANDBETWEEN(D229*0.97,D229*1.033)</f>
        <v>52053</v>
      </c>
      <c r="E230" s="7" t="n">
        <f aca="false">RANDBETWEEN(E229*0.97,E229*1.033)</f>
        <v>106744</v>
      </c>
      <c r="F230" s="7" t="n">
        <f aca="false">RANDBETWEEN(F229*0.97,F229*1.033)</f>
        <v>2431034</v>
      </c>
    </row>
    <row r="231" customFormat="false" ht="13.8" hidden="false" customHeight="false" outlineLevel="0" collapsed="false">
      <c r="A231" s="0" t="n">
        <v>230</v>
      </c>
      <c r="B231" s="7" t="n">
        <f aca="false">RANDBETWEEN(B230*0.97,B230*1.033)</f>
        <v>20722</v>
      </c>
      <c r="C231" s="7" t="n">
        <f aca="false">RANDBETWEEN(C230*0.97,C230*1.033)</f>
        <v>28898</v>
      </c>
      <c r="D231" s="7" t="n">
        <f aca="false">RANDBETWEEN(D230*0.97,D230*1.033)</f>
        <v>52567</v>
      </c>
      <c r="E231" s="7" t="n">
        <f aca="false">RANDBETWEEN(E230*0.97,E230*1.033)</f>
        <v>104840</v>
      </c>
      <c r="F231" s="7" t="n">
        <f aca="false">RANDBETWEEN(F230*0.97,F230*1.033)</f>
        <v>2407359</v>
      </c>
    </row>
    <row r="232" customFormat="false" ht="13.8" hidden="false" customHeight="false" outlineLevel="0" collapsed="false">
      <c r="A232" s="0" t="n">
        <v>231</v>
      </c>
      <c r="B232" s="7" t="n">
        <f aca="false">RANDBETWEEN(B231*0.97,B231*1.033)</f>
        <v>20282</v>
      </c>
      <c r="C232" s="7" t="n">
        <f aca="false">RANDBETWEEN(C231*0.97,C231*1.033)</f>
        <v>29082</v>
      </c>
      <c r="D232" s="7" t="n">
        <f aca="false">RANDBETWEEN(D231*0.97,D231*1.033)</f>
        <v>51378</v>
      </c>
      <c r="E232" s="7" t="n">
        <f aca="false">RANDBETWEEN(E231*0.97,E231*1.033)</f>
        <v>105597</v>
      </c>
      <c r="F232" s="7" t="n">
        <f aca="false">RANDBETWEEN(F231*0.97,F231*1.033)</f>
        <v>2422395</v>
      </c>
    </row>
    <row r="233" customFormat="false" ht="13.8" hidden="false" customHeight="false" outlineLevel="0" collapsed="false">
      <c r="A233" s="0" t="n">
        <v>232</v>
      </c>
      <c r="B233" s="7" t="n">
        <f aca="false">RANDBETWEEN(B232*0.97,B232*1.033)</f>
        <v>20184</v>
      </c>
      <c r="C233" s="7" t="n">
        <f aca="false">RANDBETWEEN(C232*0.97,C232*1.033)</f>
        <v>28762</v>
      </c>
      <c r="D233" s="7" t="n">
        <f aca="false">RANDBETWEEN(D232*0.97,D232*1.033)</f>
        <v>52961</v>
      </c>
      <c r="E233" s="7" t="n">
        <f aca="false">RANDBETWEEN(E232*0.97,E232*1.033)</f>
        <v>105166</v>
      </c>
      <c r="F233" s="7" t="n">
        <f aca="false">RANDBETWEEN(F232*0.97,F232*1.033)</f>
        <v>2360272</v>
      </c>
    </row>
    <row r="234" customFormat="false" ht="13.8" hidden="false" customHeight="false" outlineLevel="0" collapsed="false">
      <c r="A234" s="0" t="n">
        <v>233</v>
      </c>
      <c r="B234" s="7" t="n">
        <f aca="false">RANDBETWEEN(B233*0.97,B233*1.033)</f>
        <v>19762</v>
      </c>
      <c r="C234" s="7" t="n">
        <f aca="false">RANDBETWEEN(C233*0.97,C233*1.033)</f>
        <v>29582</v>
      </c>
      <c r="D234" s="7" t="n">
        <f aca="false">RANDBETWEEN(D233*0.97,D233*1.033)</f>
        <v>54179</v>
      </c>
      <c r="E234" s="7" t="n">
        <f aca="false">RANDBETWEEN(E233*0.97,E233*1.033)</f>
        <v>103727</v>
      </c>
      <c r="F234" s="7" t="n">
        <f aca="false">RANDBETWEEN(F233*0.97,F233*1.033)</f>
        <v>2397231</v>
      </c>
    </row>
    <row r="235" customFormat="false" ht="13.8" hidden="false" customHeight="false" outlineLevel="0" collapsed="false">
      <c r="A235" s="0" t="n">
        <v>234</v>
      </c>
      <c r="B235" s="7" t="n">
        <f aca="false">RANDBETWEEN(B234*0.97,B234*1.033)</f>
        <v>19852</v>
      </c>
      <c r="C235" s="7" t="n">
        <f aca="false">RANDBETWEEN(C234*0.97,C234*1.033)</f>
        <v>28832</v>
      </c>
      <c r="D235" s="7" t="n">
        <f aca="false">RANDBETWEEN(D234*0.97,D234*1.033)</f>
        <v>53173</v>
      </c>
      <c r="E235" s="7" t="n">
        <f aca="false">RANDBETWEEN(E234*0.97,E234*1.033)</f>
        <v>102124</v>
      </c>
      <c r="F235" s="7" t="n">
        <f aca="false">RANDBETWEEN(F234*0.97,F234*1.033)</f>
        <v>2343064</v>
      </c>
    </row>
    <row r="236" customFormat="false" ht="13.8" hidden="false" customHeight="false" outlineLevel="0" collapsed="false">
      <c r="A236" s="0" t="n">
        <v>235</v>
      </c>
      <c r="B236" s="7" t="n">
        <f aca="false">RANDBETWEEN(B235*0.97,B235*1.033)</f>
        <v>19334</v>
      </c>
      <c r="C236" s="7" t="n">
        <f aca="false">RANDBETWEEN(C235*0.97,C235*1.033)</f>
        <v>29438</v>
      </c>
      <c r="D236" s="7" t="n">
        <f aca="false">RANDBETWEEN(D235*0.97,D235*1.033)</f>
        <v>54751</v>
      </c>
      <c r="E236" s="7" t="n">
        <f aca="false">RANDBETWEEN(E235*0.97,E235*1.033)</f>
        <v>102796</v>
      </c>
      <c r="F236" s="7" t="n">
        <f aca="false">RANDBETWEEN(F235*0.97,F235*1.033)</f>
        <v>2292802</v>
      </c>
    </row>
    <row r="237" customFormat="false" ht="13.8" hidden="false" customHeight="false" outlineLevel="0" collapsed="false">
      <c r="A237" s="0" t="n">
        <v>236</v>
      </c>
      <c r="B237" s="7" t="n">
        <f aca="false">RANDBETWEEN(B236*0.97,B236*1.033)</f>
        <v>18866</v>
      </c>
      <c r="C237" s="7" t="n">
        <f aca="false">RANDBETWEEN(C236*0.97,C236*1.033)</f>
        <v>29375</v>
      </c>
      <c r="D237" s="7" t="n">
        <f aca="false">RANDBETWEEN(D236*0.97,D236*1.033)</f>
        <v>54774</v>
      </c>
      <c r="E237" s="7" t="n">
        <f aca="false">RANDBETWEEN(E236*0.97,E236*1.033)</f>
        <v>100501</v>
      </c>
      <c r="F237" s="7" t="n">
        <f aca="false">RANDBETWEEN(F236*0.97,F236*1.033)</f>
        <v>2346435</v>
      </c>
    </row>
    <row r="238" customFormat="false" ht="13.8" hidden="false" customHeight="false" outlineLevel="0" collapsed="false">
      <c r="A238" s="0" t="n">
        <v>237</v>
      </c>
      <c r="B238" s="7" t="n">
        <f aca="false">RANDBETWEEN(B237*0.97,B237*1.033)</f>
        <v>19245</v>
      </c>
      <c r="C238" s="7" t="n">
        <f aca="false">RANDBETWEEN(C237*0.97,C237*1.033)</f>
        <v>29407</v>
      </c>
      <c r="D238" s="7" t="n">
        <f aca="false">RANDBETWEEN(D237*0.97,D237*1.033)</f>
        <v>54864</v>
      </c>
      <c r="E238" s="7" t="n">
        <f aca="false">RANDBETWEEN(E237*0.97,E237*1.033)</f>
        <v>99484</v>
      </c>
      <c r="F238" s="7" t="n">
        <f aca="false">RANDBETWEEN(F237*0.97,F237*1.033)</f>
        <v>2331591</v>
      </c>
    </row>
    <row r="239" customFormat="false" ht="13.8" hidden="false" customHeight="false" outlineLevel="0" collapsed="false">
      <c r="A239" s="0" t="n">
        <v>238</v>
      </c>
      <c r="B239" s="7" t="n">
        <f aca="false">RANDBETWEEN(B238*0.97,B238*1.033)</f>
        <v>18746</v>
      </c>
      <c r="C239" s="7" t="n">
        <f aca="false">RANDBETWEEN(C238*0.97,C238*1.033)</f>
        <v>29071</v>
      </c>
      <c r="D239" s="7" t="n">
        <f aca="false">RANDBETWEEN(D238*0.97,D238*1.033)</f>
        <v>54208</v>
      </c>
      <c r="E239" s="7" t="n">
        <f aca="false">RANDBETWEEN(E238*0.97,E238*1.033)</f>
        <v>101419</v>
      </c>
      <c r="F239" s="7" t="n">
        <f aca="false">RANDBETWEEN(F238*0.97,F238*1.033)</f>
        <v>2383699</v>
      </c>
    </row>
    <row r="240" customFormat="false" ht="13.8" hidden="false" customHeight="false" outlineLevel="0" collapsed="false">
      <c r="A240" s="0" t="n">
        <v>239</v>
      </c>
      <c r="B240" s="7" t="n">
        <f aca="false">RANDBETWEEN(B239*0.97,B239*1.033)</f>
        <v>18220</v>
      </c>
      <c r="C240" s="7" t="n">
        <f aca="false">RANDBETWEEN(C239*0.97,C239*1.033)</f>
        <v>28305</v>
      </c>
      <c r="D240" s="7" t="n">
        <f aca="false">RANDBETWEEN(D239*0.97,D239*1.033)</f>
        <v>53292</v>
      </c>
      <c r="E240" s="7" t="n">
        <f aca="false">RANDBETWEEN(E239*0.97,E239*1.033)</f>
        <v>100396</v>
      </c>
      <c r="F240" s="7" t="n">
        <f aca="false">RANDBETWEEN(F239*0.97,F239*1.033)</f>
        <v>2340429</v>
      </c>
    </row>
    <row r="241" customFormat="false" ht="13.8" hidden="false" customHeight="false" outlineLevel="0" collapsed="false">
      <c r="A241" s="0" t="n">
        <v>240</v>
      </c>
      <c r="B241" s="7" t="n">
        <f aca="false">RANDBETWEEN(B240*0.97,B240*1.033)</f>
        <v>18354</v>
      </c>
      <c r="C241" s="7" t="n">
        <f aca="false">RANDBETWEEN(C240*0.97,C240*1.033)</f>
        <v>28820</v>
      </c>
      <c r="D241" s="7" t="n">
        <f aca="false">RANDBETWEEN(D240*0.97,D240*1.033)</f>
        <v>54352</v>
      </c>
      <c r="E241" s="7" t="n">
        <f aca="false">RANDBETWEEN(E240*0.97,E240*1.033)</f>
        <v>99346</v>
      </c>
      <c r="F241" s="7" t="n">
        <f aca="false">RANDBETWEEN(F240*0.97,F240*1.033)</f>
        <v>2326337</v>
      </c>
    </row>
    <row r="242" customFormat="false" ht="13.8" hidden="false" customHeight="false" outlineLevel="0" collapsed="false">
      <c r="A242" s="0" t="n">
        <v>241</v>
      </c>
      <c r="B242" s="7" t="n">
        <f aca="false">RANDBETWEEN(B241*0.97,B241*1.033)</f>
        <v>18262</v>
      </c>
      <c r="C242" s="7" t="n">
        <f aca="false">RANDBETWEEN(C241*0.97,C241*1.033)</f>
        <v>28101</v>
      </c>
      <c r="D242" s="7" t="n">
        <f aca="false">RANDBETWEEN(D241*0.97,D241*1.033)</f>
        <v>55082</v>
      </c>
      <c r="E242" s="7" t="n">
        <f aca="false">RANDBETWEEN(E241*0.97,E241*1.033)</f>
        <v>102068</v>
      </c>
      <c r="F242" s="7" t="n">
        <f aca="false">RANDBETWEEN(F241*0.97,F241*1.033)</f>
        <v>2372562</v>
      </c>
    </row>
    <row r="243" customFormat="false" ht="13.8" hidden="false" customHeight="false" outlineLevel="0" collapsed="false">
      <c r="A243" s="0" t="n">
        <v>242</v>
      </c>
      <c r="B243" s="7" t="n">
        <f aca="false">RANDBETWEEN(B242*0.97,B242*1.033)</f>
        <v>18844</v>
      </c>
      <c r="C243" s="7" t="n">
        <f aca="false">RANDBETWEEN(C242*0.97,C242*1.033)</f>
        <v>28985</v>
      </c>
      <c r="D243" s="7" t="n">
        <f aca="false">RANDBETWEEN(D242*0.97,D242*1.033)</f>
        <v>56826</v>
      </c>
      <c r="E243" s="7" t="n">
        <f aca="false">RANDBETWEEN(E242*0.97,E242*1.033)</f>
        <v>104813</v>
      </c>
      <c r="F243" s="7" t="n">
        <f aca="false">RANDBETWEEN(F242*0.97,F242*1.033)</f>
        <v>2312419</v>
      </c>
    </row>
    <row r="244" customFormat="false" ht="13.8" hidden="false" customHeight="false" outlineLevel="0" collapsed="false">
      <c r="A244" s="0" t="n">
        <v>243</v>
      </c>
      <c r="B244" s="7" t="n">
        <f aca="false">RANDBETWEEN(B243*0.97,B243*1.033)</f>
        <v>19346</v>
      </c>
      <c r="C244" s="7" t="n">
        <f aca="false">RANDBETWEEN(C243*0.97,C243*1.033)</f>
        <v>29547</v>
      </c>
      <c r="D244" s="7" t="n">
        <f aca="false">RANDBETWEEN(D243*0.97,D243*1.033)</f>
        <v>55494</v>
      </c>
      <c r="E244" s="7" t="n">
        <f aca="false">RANDBETWEEN(E243*0.97,E243*1.033)</f>
        <v>101747</v>
      </c>
      <c r="F244" s="7" t="n">
        <f aca="false">RANDBETWEEN(F243*0.97,F243*1.033)</f>
        <v>2369366</v>
      </c>
    </row>
    <row r="245" customFormat="false" ht="13.8" hidden="false" customHeight="false" outlineLevel="0" collapsed="false">
      <c r="A245" s="0" t="n">
        <v>244</v>
      </c>
      <c r="B245" s="7" t="n">
        <f aca="false">RANDBETWEEN(B244*0.97,B244*1.033)</f>
        <v>19132</v>
      </c>
      <c r="C245" s="7" t="n">
        <f aca="false">RANDBETWEEN(C244*0.97,C244*1.033)</f>
        <v>29666</v>
      </c>
      <c r="D245" s="7" t="n">
        <f aca="false">RANDBETWEEN(D244*0.97,D244*1.033)</f>
        <v>55583</v>
      </c>
      <c r="E245" s="7" t="n">
        <f aca="false">RANDBETWEEN(E244*0.97,E244*1.033)</f>
        <v>99218</v>
      </c>
      <c r="F245" s="7" t="n">
        <f aca="false">RANDBETWEEN(F244*0.97,F244*1.033)</f>
        <v>2397089</v>
      </c>
    </row>
    <row r="246" customFormat="false" ht="13.8" hidden="false" customHeight="false" outlineLevel="0" collapsed="false">
      <c r="A246" s="0" t="n">
        <v>245</v>
      </c>
      <c r="B246" s="7" t="n">
        <f aca="false">RANDBETWEEN(B245*0.97,B245*1.033)</f>
        <v>19605</v>
      </c>
      <c r="C246" s="7" t="n">
        <f aca="false">RANDBETWEEN(C245*0.97,C245*1.033)</f>
        <v>29808</v>
      </c>
      <c r="D246" s="7" t="n">
        <f aca="false">RANDBETWEEN(D245*0.97,D245*1.033)</f>
        <v>54705</v>
      </c>
      <c r="E246" s="7" t="n">
        <f aca="false">RANDBETWEEN(E245*0.97,E245*1.033)</f>
        <v>97485</v>
      </c>
      <c r="F246" s="7" t="n">
        <f aca="false">RANDBETWEEN(F245*0.97,F245*1.033)</f>
        <v>2360066</v>
      </c>
    </row>
    <row r="247" customFormat="false" ht="13.8" hidden="false" customHeight="false" outlineLevel="0" collapsed="false">
      <c r="A247" s="0" t="n">
        <v>246</v>
      </c>
      <c r="B247" s="7" t="n">
        <f aca="false">RANDBETWEEN(B246*0.97,B246*1.033)</f>
        <v>20041</v>
      </c>
      <c r="C247" s="7" t="n">
        <f aca="false">RANDBETWEEN(C246*0.97,C246*1.033)</f>
        <v>29700</v>
      </c>
      <c r="D247" s="7" t="n">
        <f aca="false">RANDBETWEEN(D246*0.97,D246*1.033)</f>
        <v>54631</v>
      </c>
      <c r="E247" s="7" t="n">
        <f aca="false">RANDBETWEEN(E246*0.97,E246*1.033)</f>
        <v>96999</v>
      </c>
      <c r="F247" s="7" t="n">
        <f aca="false">RANDBETWEEN(F246*0.97,F246*1.033)</f>
        <v>2300059</v>
      </c>
    </row>
    <row r="248" customFormat="false" ht="13.8" hidden="false" customHeight="false" outlineLevel="0" collapsed="false">
      <c r="A248" s="0" t="n">
        <v>247</v>
      </c>
      <c r="B248" s="7" t="n">
        <f aca="false">RANDBETWEEN(B247*0.97,B247*1.033)</f>
        <v>19498</v>
      </c>
      <c r="C248" s="7" t="n">
        <f aca="false">RANDBETWEEN(C247*0.97,C247*1.033)</f>
        <v>30408</v>
      </c>
      <c r="D248" s="7" t="n">
        <f aca="false">RANDBETWEEN(D247*0.97,D247*1.033)</f>
        <v>53384</v>
      </c>
      <c r="E248" s="7" t="n">
        <f aca="false">RANDBETWEEN(E247*0.97,E247*1.033)</f>
        <v>95550</v>
      </c>
      <c r="F248" s="7" t="n">
        <f aca="false">RANDBETWEEN(F247*0.97,F247*1.033)</f>
        <v>2263712</v>
      </c>
    </row>
    <row r="249" customFormat="false" ht="13.8" hidden="false" customHeight="false" outlineLevel="0" collapsed="false">
      <c r="A249" s="0" t="n">
        <v>248</v>
      </c>
      <c r="B249" s="7" t="n">
        <f aca="false">RANDBETWEEN(B248*0.97,B248*1.033)</f>
        <v>19228</v>
      </c>
      <c r="C249" s="7" t="n">
        <f aca="false">RANDBETWEEN(C248*0.97,C248*1.033)</f>
        <v>30214</v>
      </c>
      <c r="D249" s="7" t="n">
        <f aca="false">RANDBETWEEN(D248*0.97,D248*1.033)</f>
        <v>54100</v>
      </c>
      <c r="E249" s="7" t="n">
        <f aca="false">RANDBETWEEN(E248*0.97,E248*1.033)</f>
        <v>93384</v>
      </c>
      <c r="F249" s="7" t="n">
        <f aca="false">RANDBETWEEN(F248*0.97,F248*1.033)</f>
        <v>2272891</v>
      </c>
    </row>
    <row r="250" customFormat="false" ht="13.8" hidden="false" customHeight="false" outlineLevel="0" collapsed="false">
      <c r="A250" s="0" t="n">
        <v>249</v>
      </c>
      <c r="B250" s="7" t="n">
        <f aca="false">RANDBETWEEN(B249*0.97,B249*1.033)</f>
        <v>19843</v>
      </c>
      <c r="C250" s="7" t="n">
        <f aca="false">RANDBETWEEN(C249*0.97,C249*1.033)</f>
        <v>30280</v>
      </c>
      <c r="D250" s="7" t="n">
        <f aca="false">RANDBETWEEN(D249*0.97,D249*1.033)</f>
        <v>54888</v>
      </c>
      <c r="E250" s="7" t="n">
        <f aca="false">RANDBETWEEN(E249*0.97,E249*1.033)</f>
        <v>90661</v>
      </c>
      <c r="F250" s="7" t="n">
        <f aca="false">RANDBETWEEN(F249*0.97,F249*1.033)</f>
        <v>2205824</v>
      </c>
    </row>
    <row r="251" customFormat="false" ht="13.8" hidden="false" customHeight="false" outlineLevel="0" collapsed="false">
      <c r="A251" s="0" t="n">
        <v>250</v>
      </c>
      <c r="B251" s="7" t="n">
        <f aca="false">RANDBETWEEN(B250*0.97,B250*1.033)</f>
        <v>19907</v>
      </c>
      <c r="C251" s="7" t="n">
        <f aca="false">RANDBETWEEN(C250*0.97,C250*1.033)</f>
        <v>29870</v>
      </c>
      <c r="D251" s="7" t="n">
        <f aca="false">RANDBETWEEN(D250*0.97,D250*1.033)</f>
        <v>54096</v>
      </c>
      <c r="E251" s="7" t="n">
        <f aca="false">RANDBETWEEN(E250*0.97,E250*1.033)</f>
        <v>88279</v>
      </c>
      <c r="F251" s="7" t="n">
        <f aca="false">RANDBETWEEN(F250*0.97,F250*1.033)</f>
        <v>2203496</v>
      </c>
    </row>
    <row r="252" customFormat="false" ht="13.8" hidden="false" customHeight="false" outlineLevel="0" collapsed="false">
      <c r="A252" s="0" t="n">
        <v>251</v>
      </c>
      <c r="B252" s="7" t="n">
        <f aca="false">RANDBETWEEN(B251*0.97,B251*1.033)</f>
        <v>20130</v>
      </c>
      <c r="C252" s="7" t="n">
        <f aca="false">RANDBETWEEN(C251*0.97,C251*1.033)</f>
        <v>29268</v>
      </c>
      <c r="D252" s="7" t="n">
        <f aca="false">RANDBETWEEN(D251*0.97,D251*1.033)</f>
        <v>55670</v>
      </c>
      <c r="E252" s="7" t="n">
        <f aca="false">RANDBETWEEN(E251*0.97,E251*1.033)</f>
        <v>90663</v>
      </c>
      <c r="F252" s="7" t="n">
        <f aca="false">RANDBETWEEN(F251*0.97,F251*1.033)</f>
        <v>2144910</v>
      </c>
    </row>
    <row r="253" customFormat="false" ht="13.8" hidden="false" customHeight="false" outlineLevel="0" collapsed="false">
      <c r="A253" s="0" t="n">
        <v>252</v>
      </c>
      <c r="B253" s="7" t="n">
        <f aca="false">RANDBETWEEN(B252*0.97,B252*1.033)</f>
        <v>20523</v>
      </c>
      <c r="C253" s="7" t="n">
        <f aca="false">RANDBETWEEN(C252*0.97,C252*1.033)</f>
        <v>28584</v>
      </c>
      <c r="D253" s="7" t="n">
        <f aca="false">RANDBETWEEN(D252*0.97,D252*1.033)</f>
        <v>57024</v>
      </c>
      <c r="E253" s="7" t="n">
        <f aca="false">RANDBETWEEN(E252*0.97,E252*1.033)</f>
        <v>88976</v>
      </c>
      <c r="F253" s="7" t="n">
        <f aca="false">RANDBETWEEN(F252*0.97,F252*1.033)</f>
        <v>2094038</v>
      </c>
    </row>
    <row r="254" customFormat="false" ht="13.8" hidden="false" customHeight="false" outlineLevel="0" collapsed="false">
      <c r="A254" s="0" t="n">
        <v>253</v>
      </c>
      <c r="B254" s="7" t="n">
        <f aca="false">RANDBETWEEN(B253*0.97,B253*1.033)</f>
        <v>19978</v>
      </c>
      <c r="C254" s="7" t="n">
        <f aca="false">RANDBETWEEN(C253*0.97,C253*1.033)</f>
        <v>29490</v>
      </c>
      <c r="D254" s="7" t="n">
        <f aca="false">RANDBETWEEN(D253*0.97,D253*1.033)</f>
        <v>57719</v>
      </c>
      <c r="E254" s="7" t="n">
        <f aca="false">RANDBETWEEN(E253*0.97,E253*1.033)</f>
        <v>88390</v>
      </c>
      <c r="F254" s="7" t="n">
        <f aca="false">RANDBETWEEN(F253*0.97,F253*1.033)</f>
        <v>2126527</v>
      </c>
    </row>
    <row r="255" customFormat="false" ht="13.8" hidden="false" customHeight="false" outlineLevel="0" collapsed="false">
      <c r="A255" s="0" t="n">
        <v>254</v>
      </c>
      <c r="B255" s="7" t="n">
        <f aca="false">RANDBETWEEN(B254*0.97,B254*1.033)</f>
        <v>19805</v>
      </c>
      <c r="C255" s="7" t="n">
        <f aca="false">RANDBETWEEN(C254*0.97,C254*1.033)</f>
        <v>30345</v>
      </c>
      <c r="D255" s="7" t="n">
        <f aca="false">RANDBETWEEN(D254*0.97,D254*1.033)</f>
        <v>56206</v>
      </c>
      <c r="E255" s="7" t="n">
        <f aca="false">RANDBETWEEN(E254*0.97,E254*1.033)</f>
        <v>87754</v>
      </c>
      <c r="F255" s="7" t="n">
        <f aca="false">RANDBETWEEN(F254*0.97,F254*1.033)</f>
        <v>2101023</v>
      </c>
    </row>
    <row r="256" customFormat="false" ht="13.8" hidden="false" customHeight="false" outlineLevel="0" collapsed="false">
      <c r="A256" s="0" t="n">
        <v>255</v>
      </c>
      <c r="B256" s="7" t="n">
        <f aca="false">RANDBETWEEN(B255*0.97,B255*1.033)</f>
        <v>19471</v>
      </c>
      <c r="C256" s="7" t="n">
        <f aca="false">RANDBETWEEN(C255*0.97,C255*1.033)</f>
        <v>30558</v>
      </c>
      <c r="D256" s="7" t="n">
        <f aca="false">RANDBETWEEN(D255*0.97,D255*1.033)</f>
        <v>55147</v>
      </c>
      <c r="E256" s="7" t="n">
        <f aca="false">RANDBETWEEN(E255*0.97,E255*1.033)</f>
        <v>89460</v>
      </c>
      <c r="F256" s="7" t="n">
        <f aca="false">RANDBETWEEN(F255*0.97,F255*1.033)</f>
        <v>2137955</v>
      </c>
    </row>
    <row r="257" customFormat="false" ht="13.8" hidden="false" customHeight="false" outlineLevel="0" collapsed="false">
      <c r="A257" s="0" t="n">
        <v>256</v>
      </c>
      <c r="B257" s="7" t="n">
        <f aca="false">RANDBETWEEN(B256*0.97,B256*1.033)</f>
        <v>19675</v>
      </c>
      <c r="C257" s="7" t="n">
        <f aca="false">RANDBETWEEN(C256*0.97,C256*1.033)</f>
        <v>29822</v>
      </c>
      <c r="D257" s="7" t="n">
        <f aca="false">RANDBETWEEN(D256*0.97,D256*1.033)</f>
        <v>54166</v>
      </c>
      <c r="E257" s="7" t="n">
        <f aca="false">RANDBETWEEN(E256*0.97,E256*1.033)</f>
        <v>90442</v>
      </c>
      <c r="F257" s="7" t="n">
        <f aca="false">RANDBETWEEN(F256*0.97,F256*1.033)</f>
        <v>2190663</v>
      </c>
    </row>
    <row r="258" customFormat="false" ht="13.8" hidden="false" customHeight="false" outlineLevel="0" collapsed="false">
      <c r="A258" s="0" t="n">
        <v>257</v>
      </c>
      <c r="B258" s="7" t="n">
        <f aca="false">RANDBETWEEN(B257*0.97,B257*1.033)</f>
        <v>19901</v>
      </c>
      <c r="C258" s="7" t="n">
        <f aca="false">RANDBETWEEN(C257*0.97,C257*1.033)</f>
        <v>30398</v>
      </c>
      <c r="D258" s="7" t="n">
        <f aca="false">RANDBETWEEN(D257*0.97,D257*1.033)</f>
        <v>55085</v>
      </c>
      <c r="E258" s="7" t="n">
        <f aca="false">RANDBETWEEN(E257*0.97,E257*1.033)</f>
        <v>93192</v>
      </c>
      <c r="F258" s="7" t="n">
        <f aca="false">RANDBETWEEN(F257*0.97,F257*1.033)</f>
        <v>2187954</v>
      </c>
    </row>
    <row r="259" customFormat="false" ht="13.8" hidden="false" customHeight="false" outlineLevel="0" collapsed="false">
      <c r="A259" s="0" t="n">
        <v>258</v>
      </c>
      <c r="B259" s="7" t="n">
        <f aca="false">RANDBETWEEN(B258*0.97,B258*1.033)</f>
        <v>19892</v>
      </c>
      <c r="C259" s="7" t="n">
        <f aca="false">RANDBETWEEN(C258*0.97,C258*1.033)</f>
        <v>29622</v>
      </c>
      <c r="D259" s="7" t="n">
        <f aca="false">RANDBETWEEN(D258*0.97,D258*1.033)</f>
        <v>56458</v>
      </c>
      <c r="E259" s="7" t="n">
        <f aca="false">RANDBETWEEN(E258*0.97,E258*1.033)</f>
        <v>95018</v>
      </c>
      <c r="F259" s="7" t="n">
        <f aca="false">RANDBETWEEN(F258*0.97,F258*1.033)</f>
        <v>2179499</v>
      </c>
    </row>
    <row r="260" customFormat="false" ht="13.8" hidden="false" customHeight="false" outlineLevel="0" collapsed="false">
      <c r="A260" s="0" t="n">
        <v>259</v>
      </c>
      <c r="B260" s="7" t="n">
        <f aca="false">RANDBETWEEN(B259*0.97,B259*1.033)</f>
        <v>20153</v>
      </c>
      <c r="C260" s="7" t="n">
        <f aca="false">RANDBETWEEN(C259*0.97,C259*1.033)</f>
        <v>30264</v>
      </c>
      <c r="D260" s="7" t="n">
        <f aca="false">RANDBETWEEN(D259*0.97,D259*1.033)</f>
        <v>55348</v>
      </c>
      <c r="E260" s="7" t="n">
        <f aca="false">RANDBETWEEN(E259*0.97,E259*1.033)</f>
        <v>92302</v>
      </c>
      <c r="F260" s="7" t="n">
        <f aca="false">RANDBETWEEN(F259*0.97,F259*1.033)</f>
        <v>2126144</v>
      </c>
    </row>
    <row r="261" customFormat="false" ht="13.8" hidden="false" customHeight="false" outlineLevel="0" collapsed="false">
      <c r="A261" s="0" t="n">
        <v>260</v>
      </c>
      <c r="B261" s="7" t="n">
        <f aca="false">RANDBETWEEN(B260*0.97,B260*1.033)</f>
        <v>19749</v>
      </c>
      <c r="C261" s="7" t="n">
        <f aca="false">RANDBETWEEN(C260*0.97,C260*1.033)</f>
        <v>29781</v>
      </c>
      <c r="D261" s="7" t="n">
        <f aca="false">RANDBETWEEN(D260*0.97,D260*1.033)</f>
        <v>56003</v>
      </c>
      <c r="E261" s="7" t="n">
        <f aca="false">RANDBETWEEN(E260*0.97,E260*1.033)</f>
        <v>94963</v>
      </c>
      <c r="F261" s="7" t="n">
        <f aca="false">RANDBETWEEN(F260*0.97,F260*1.033)</f>
        <v>2105873</v>
      </c>
    </row>
    <row r="262" customFormat="false" ht="13.8" hidden="false" customHeight="false" outlineLevel="0" collapsed="false">
      <c r="A262" s="0" t="n">
        <v>261</v>
      </c>
      <c r="B262" s="7" t="n">
        <f aca="false">RANDBETWEEN(B261*0.97,B261*1.033)</f>
        <v>20387</v>
      </c>
      <c r="C262" s="7" t="n">
        <f aca="false">RANDBETWEEN(C261*0.97,C261*1.033)</f>
        <v>30248</v>
      </c>
      <c r="D262" s="7" t="n">
        <f aca="false">RANDBETWEEN(D261*0.97,D261*1.033)</f>
        <v>54811</v>
      </c>
      <c r="E262" s="7" t="n">
        <f aca="false">RANDBETWEEN(E261*0.97,E261*1.033)</f>
        <v>96115</v>
      </c>
      <c r="F262" s="7" t="n">
        <f aca="false">RANDBETWEEN(F261*0.97,F261*1.033)</f>
        <v>2157423</v>
      </c>
    </row>
    <row r="263" customFormat="false" ht="13.8" hidden="false" customHeight="false" outlineLevel="0" collapsed="false">
      <c r="A263" s="0" t="n">
        <v>262</v>
      </c>
      <c r="B263" s="7" t="n">
        <f aca="false">RANDBETWEEN(B262*0.97,B262*1.033)</f>
        <v>19845</v>
      </c>
      <c r="C263" s="7" t="n">
        <f aca="false">RANDBETWEEN(C262*0.97,C262*1.033)</f>
        <v>31125</v>
      </c>
      <c r="D263" s="7" t="n">
        <f aca="false">RANDBETWEEN(D262*0.97,D262*1.033)</f>
        <v>55764</v>
      </c>
      <c r="E263" s="7" t="n">
        <f aca="false">RANDBETWEEN(E262*0.97,E262*1.033)</f>
        <v>94303</v>
      </c>
      <c r="F263" s="7" t="n">
        <f aca="false">RANDBETWEEN(F262*0.97,F262*1.033)</f>
        <v>2170317</v>
      </c>
    </row>
    <row r="264" customFormat="false" ht="13.8" hidden="false" customHeight="false" outlineLevel="0" collapsed="false">
      <c r="A264" s="0" t="n">
        <v>263</v>
      </c>
      <c r="B264" s="7" t="n">
        <f aca="false">RANDBETWEEN(B263*0.97,B263*1.033)</f>
        <v>19684</v>
      </c>
      <c r="C264" s="7" t="n">
        <f aca="false">RANDBETWEEN(C263*0.97,C263*1.033)</f>
        <v>31636</v>
      </c>
      <c r="D264" s="7" t="n">
        <f aca="false">RANDBETWEEN(D263*0.97,D263*1.033)</f>
        <v>56571</v>
      </c>
      <c r="E264" s="7" t="n">
        <f aca="false">RANDBETWEEN(E263*0.97,E263*1.033)</f>
        <v>96962</v>
      </c>
      <c r="F264" s="7" t="n">
        <f aca="false">RANDBETWEEN(F263*0.97,F263*1.033)</f>
        <v>2127952</v>
      </c>
    </row>
    <row r="265" customFormat="false" ht="13.8" hidden="false" customHeight="false" outlineLevel="0" collapsed="false">
      <c r="A265" s="0" t="n">
        <v>264</v>
      </c>
      <c r="B265" s="7" t="n">
        <f aca="false">RANDBETWEEN(B264*0.97,B264*1.033)</f>
        <v>20279</v>
      </c>
      <c r="C265" s="7" t="n">
        <f aca="false">RANDBETWEEN(C264*0.97,C264*1.033)</f>
        <v>31153</v>
      </c>
      <c r="D265" s="7" t="n">
        <f aca="false">RANDBETWEEN(D264*0.97,D264*1.033)</f>
        <v>56225</v>
      </c>
      <c r="E265" s="7" t="n">
        <f aca="false">RANDBETWEEN(E264*0.97,E264*1.033)</f>
        <v>98628</v>
      </c>
      <c r="F265" s="7" t="n">
        <f aca="false">RANDBETWEEN(F264*0.97,F264*1.033)</f>
        <v>2120042</v>
      </c>
    </row>
    <row r="266" customFormat="false" ht="13.8" hidden="false" customHeight="false" outlineLevel="0" collapsed="false">
      <c r="A266" s="0" t="n">
        <v>265</v>
      </c>
      <c r="B266" s="7" t="n">
        <f aca="false">RANDBETWEEN(B265*0.97,B265*1.033)</f>
        <v>19941</v>
      </c>
      <c r="C266" s="7" t="n">
        <f aca="false">RANDBETWEEN(C265*0.97,C265*1.033)</f>
        <v>31996</v>
      </c>
      <c r="D266" s="7" t="n">
        <f aca="false">RANDBETWEEN(D265*0.97,D265*1.033)</f>
        <v>56191</v>
      </c>
      <c r="E266" s="7" t="n">
        <f aca="false">RANDBETWEEN(E265*0.97,E265*1.033)</f>
        <v>95821</v>
      </c>
      <c r="F266" s="7" t="n">
        <f aca="false">RANDBETWEEN(F265*0.97,F265*1.033)</f>
        <v>2109099</v>
      </c>
    </row>
    <row r="267" customFormat="false" ht="13.8" hidden="false" customHeight="false" outlineLevel="0" collapsed="false">
      <c r="A267" s="0" t="n">
        <v>266</v>
      </c>
      <c r="B267" s="7" t="n">
        <f aca="false">RANDBETWEEN(B266*0.97,B266*1.033)</f>
        <v>19686</v>
      </c>
      <c r="C267" s="7" t="n">
        <f aca="false">RANDBETWEEN(C266*0.97,C266*1.033)</f>
        <v>32132</v>
      </c>
      <c r="D267" s="7" t="n">
        <f aca="false">RANDBETWEEN(D266*0.97,D266*1.033)</f>
        <v>57241</v>
      </c>
      <c r="E267" s="7" t="n">
        <f aca="false">RANDBETWEEN(E266*0.97,E266*1.033)</f>
        <v>94539</v>
      </c>
      <c r="F267" s="7" t="n">
        <f aca="false">RANDBETWEEN(F266*0.97,F266*1.033)</f>
        <v>2092022</v>
      </c>
    </row>
    <row r="268" customFormat="false" ht="13.8" hidden="false" customHeight="false" outlineLevel="0" collapsed="false">
      <c r="A268" s="0" t="n">
        <v>267</v>
      </c>
      <c r="B268" s="7" t="n">
        <f aca="false">RANDBETWEEN(B267*0.97,B267*1.033)</f>
        <v>19564</v>
      </c>
      <c r="C268" s="7" t="n">
        <f aca="false">RANDBETWEEN(C267*0.97,C267*1.033)</f>
        <v>32593</v>
      </c>
      <c r="D268" s="7" t="n">
        <f aca="false">RANDBETWEEN(D267*0.97,D267*1.033)</f>
        <v>56178</v>
      </c>
      <c r="E268" s="7" t="n">
        <f aca="false">RANDBETWEEN(E267*0.97,E267*1.033)</f>
        <v>91887</v>
      </c>
      <c r="F268" s="7" t="n">
        <f aca="false">RANDBETWEEN(F267*0.97,F267*1.033)</f>
        <v>2150661</v>
      </c>
    </row>
    <row r="269" customFormat="false" ht="13.8" hidden="false" customHeight="false" outlineLevel="0" collapsed="false">
      <c r="A269" s="0" t="n">
        <v>268</v>
      </c>
      <c r="B269" s="7" t="n">
        <f aca="false">RANDBETWEEN(B268*0.97,B268*1.033)</f>
        <v>19354</v>
      </c>
      <c r="C269" s="7" t="n">
        <f aca="false">RANDBETWEEN(C268*0.97,C268*1.033)</f>
        <v>33575</v>
      </c>
      <c r="D269" s="7" t="n">
        <f aca="false">RANDBETWEEN(D268*0.97,D268*1.033)</f>
        <v>57281</v>
      </c>
      <c r="E269" s="7" t="n">
        <f aca="false">RANDBETWEEN(E268*0.97,E268*1.033)</f>
        <v>90241</v>
      </c>
      <c r="F269" s="7" t="n">
        <f aca="false">RANDBETWEEN(F268*0.97,F268*1.033)</f>
        <v>2219231</v>
      </c>
    </row>
    <row r="270" customFormat="false" ht="13.8" hidden="false" customHeight="false" outlineLevel="0" collapsed="false">
      <c r="A270" s="0" t="n">
        <v>269</v>
      </c>
      <c r="B270" s="7" t="n">
        <f aca="false">RANDBETWEEN(B269*0.97,B269*1.033)</f>
        <v>19850</v>
      </c>
      <c r="C270" s="7" t="n">
        <f aca="false">RANDBETWEEN(C269*0.97,C269*1.033)</f>
        <v>33923</v>
      </c>
      <c r="D270" s="7" t="n">
        <f aca="false">RANDBETWEEN(D269*0.97,D269*1.033)</f>
        <v>59072</v>
      </c>
      <c r="E270" s="7" t="n">
        <f aca="false">RANDBETWEEN(E269*0.97,E269*1.033)</f>
        <v>90051</v>
      </c>
      <c r="F270" s="7" t="n">
        <f aca="false">RANDBETWEEN(F269*0.97,F269*1.033)</f>
        <v>2230276</v>
      </c>
    </row>
    <row r="271" customFormat="false" ht="13.8" hidden="false" customHeight="false" outlineLevel="0" collapsed="false">
      <c r="A271" s="0" t="n">
        <v>270</v>
      </c>
      <c r="B271" s="7" t="n">
        <f aca="false">RANDBETWEEN(B270*0.97,B270*1.033)</f>
        <v>19474</v>
      </c>
      <c r="C271" s="7" t="n">
        <f aca="false">RANDBETWEEN(C270*0.97,C270*1.033)</f>
        <v>33674</v>
      </c>
      <c r="D271" s="7" t="n">
        <f aca="false">RANDBETWEEN(D270*0.97,D270*1.033)</f>
        <v>58786</v>
      </c>
      <c r="E271" s="7" t="n">
        <f aca="false">RANDBETWEEN(E270*0.97,E270*1.033)</f>
        <v>88991</v>
      </c>
      <c r="F271" s="7" t="n">
        <f aca="false">RANDBETWEEN(F270*0.97,F270*1.033)</f>
        <v>2189030</v>
      </c>
    </row>
    <row r="272" customFormat="false" ht="13.8" hidden="false" customHeight="false" outlineLevel="0" collapsed="false">
      <c r="A272" s="0" t="n">
        <v>271</v>
      </c>
      <c r="B272" s="7" t="n">
        <f aca="false">RANDBETWEEN(B271*0.97,B271*1.033)</f>
        <v>19827</v>
      </c>
      <c r="C272" s="7" t="n">
        <f aca="false">RANDBETWEEN(C271*0.97,C271*1.033)</f>
        <v>33978</v>
      </c>
      <c r="D272" s="7" t="n">
        <f aca="false">RANDBETWEEN(D271*0.97,D271*1.033)</f>
        <v>57291</v>
      </c>
      <c r="E272" s="7" t="n">
        <f aca="false">RANDBETWEEN(E271*0.97,E271*1.033)</f>
        <v>88149</v>
      </c>
      <c r="F272" s="7" t="n">
        <f aca="false">RANDBETWEEN(F271*0.97,F271*1.033)</f>
        <v>2126035</v>
      </c>
    </row>
    <row r="273" customFormat="false" ht="13.8" hidden="false" customHeight="false" outlineLevel="0" collapsed="false">
      <c r="A273" s="0" t="n">
        <v>272</v>
      </c>
      <c r="B273" s="7" t="n">
        <f aca="false">RANDBETWEEN(B272*0.97,B272*1.033)</f>
        <v>20028</v>
      </c>
      <c r="C273" s="7" t="n">
        <f aca="false">RANDBETWEEN(C272*0.97,C272*1.033)</f>
        <v>33221</v>
      </c>
      <c r="D273" s="7" t="n">
        <f aca="false">RANDBETWEEN(D272*0.97,D272*1.033)</f>
        <v>58087</v>
      </c>
      <c r="E273" s="7" t="n">
        <f aca="false">RANDBETWEEN(E272*0.97,E272*1.033)</f>
        <v>87735</v>
      </c>
      <c r="F273" s="7" t="n">
        <f aca="false">RANDBETWEEN(F272*0.97,F272*1.033)</f>
        <v>2079741</v>
      </c>
    </row>
    <row r="274" customFormat="false" ht="13.8" hidden="false" customHeight="false" outlineLevel="0" collapsed="false">
      <c r="A274" s="0" t="n">
        <v>273</v>
      </c>
      <c r="B274" s="7" t="n">
        <f aca="false">RANDBETWEEN(B273*0.97,B273*1.033)</f>
        <v>20394</v>
      </c>
      <c r="C274" s="7" t="n">
        <f aca="false">RANDBETWEEN(C273*0.97,C273*1.033)</f>
        <v>32511</v>
      </c>
      <c r="D274" s="7" t="n">
        <f aca="false">RANDBETWEEN(D273*0.97,D273*1.033)</f>
        <v>58071</v>
      </c>
      <c r="E274" s="7" t="n">
        <f aca="false">RANDBETWEEN(E273*0.97,E273*1.033)</f>
        <v>87261</v>
      </c>
      <c r="F274" s="7" t="n">
        <f aca="false">RANDBETWEEN(F273*0.97,F273*1.033)</f>
        <v>2038038</v>
      </c>
    </row>
    <row r="275" customFormat="false" ht="13.8" hidden="false" customHeight="false" outlineLevel="0" collapsed="false">
      <c r="A275" s="0" t="n">
        <v>274</v>
      </c>
      <c r="B275" s="7" t="n">
        <f aca="false">RANDBETWEEN(B274*0.97,B274*1.033)</f>
        <v>20792</v>
      </c>
      <c r="C275" s="7" t="n">
        <f aca="false">RANDBETWEEN(C274*0.97,C274*1.033)</f>
        <v>32030</v>
      </c>
      <c r="D275" s="7" t="n">
        <f aca="false">RANDBETWEEN(D274*0.97,D274*1.033)</f>
        <v>57789</v>
      </c>
      <c r="E275" s="7" t="n">
        <f aca="false">RANDBETWEEN(E274*0.97,E274*1.033)</f>
        <v>89724</v>
      </c>
      <c r="F275" s="7" t="n">
        <f aca="false">RANDBETWEEN(F274*0.97,F274*1.033)</f>
        <v>1989735</v>
      </c>
    </row>
    <row r="276" customFormat="false" ht="13.8" hidden="false" customHeight="false" outlineLevel="0" collapsed="false">
      <c r="A276" s="0" t="n">
        <v>275</v>
      </c>
      <c r="B276" s="7" t="n">
        <f aca="false">RANDBETWEEN(B275*0.97,B275*1.033)</f>
        <v>21018</v>
      </c>
      <c r="C276" s="7" t="n">
        <f aca="false">RANDBETWEEN(C275*0.97,C275*1.033)</f>
        <v>31830</v>
      </c>
      <c r="D276" s="7" t="n">
        <f aca="false">RANDBETWEEN(D275*0.97,D275*1.033)</f>
        <v>56777</v>
      </c>
      <c r="E276" s="7" t="n">
        <f aca="false">RANDBETWEEN(E275*0.97,E275*1.033)</f>
        <v>91756</v>
      </c>
      <c r="F276" s="7" t="n">
        <f aca="false">RANDBETWEEN(F275*0.97,F275*1.033)</f>
        <v>2051532</v>
      </c>
    </row>
    <row r="277" customFormat="false" ht="13.8" hidden="false" customHeight="false" outlineLevel="0" collapsed="false">
      <c r="A277" s="0" t="n">
        <v>276</v>
      </c>
      <c r="B277" s="7" t="n">
        <f aca="false">RANDBETWEEN(B276*0.97,B276*1.033)</f>
        <v>20961</v>
      </c>
      <c r="C277" s="7" t="n">
        <f aca="false">RANDBETWEEN(C276*0.97,C276*1.033)</f>
        <v>30909</v>
      </c>
      <c r="D277" s="7" t="n">
        <f aca="false">RANDBETWEEN(D276*0.97,D276*1.033)</f>
        <v>58376</v>
      </c>
      <c r="E277" s="7" t="n">
        <f aca="false">RANDBETWEEN(E276*0.97,E276*1.033)</f>
        <v>92344</v>
      </c>
      <c r="F277" s="7" t="n">
        <f aca="false">RANDBETWEEN(F276*0.97,F276*1.033)</f>
        <v>2003560</v>
      </c>
    </row>
    <row r="278" customFormat="false" ht="13.8" hidden="false" customHeight="false" outlineLevel="0" collapsed="false">
      <c r="A278" s="0" t="n">
        <v>277</v>
      </c>
      <c r="B278" s="7" t="n">
        <f aca="false">RANDBETWEEN(B277*0.97,B277*1.033)</f>
        <v>21398</v>
      </c>
      <c r="C278" s="7" t="n">
        <f aca="false">RANDBETWEEN(C277*0.97,C277*1.033)</f>
        <v>31560</v>
      </c>
      <c r="D278" s="7" t="n">
        <f aca="false">RANDBETWEEN(D277*0.97,D277*1.033)</f>
        <v>59683</v>
      </c>
      <c r="E278" s="7" t="n">
        <f aca="false">RANDBETWEEN(E277*0.97,E277*1.033)</f>
        <v>94710</v>
      </c>
      <c r="F278" s="7" t="n">
        <f aca="false">RANDBETWEEN(F277*0.97,F277*1.033)</f>
        <v>1976415</v>
      </c>
    </row>
    <row r="279" customFormat="false" ht="13.8" hidden="false" customHeight="false" outlineLevel="0" collapsed="false">
      <c r="A279" s="0" t="n">
        <v>278</v>
      </c>
      <c r="B279" s="7" t="n">
        <f aca="false">RANDBETWEEN(B278*0.97,B278*1.033)</f>
        <v>21337</v>
      </c>
      <c r="C279" s="7" t="n">
        <f aca="false">RANDBETWEEN(C278*0.97,C278*1.033)</f>
        <v>32217</v>
      </c>
      <c r="D279" s="7" t="n">
        <f aca="false">RANDBETWEEN(D278*0.97,D278*1.033)</f>
        <v>61066</v>
      </c>
      <c r="E279" s="7" t="n">
        <f aca="false">RANDBETWEEN(E278*0.97,E278*1.033)</f>
        <v>97242</v>
      </c>
      <c r="F279" s="7" t="n">
        <f aca="false">RANDBETWEEN(F278*0.97,F278*1.033)</f>
        <v>2037077</v>
      </c>
    </row>
    <row r="280" customFormat="false" ht="13.8" hidden="false" customHeight="false" outlineLevel="0" collapsed="false">
      <c r="A280" s="0" t="n">
        <v>279</v>
      </c>
      <c r="B280" s="7" t="n">
        <f aca="false">RANDBETWEEN(B279*0.97,B279*1.033)</f>
        <v>21765</v>
      </c>
      <c r="C280" s="7" t="n">
        <f aca="false">RANDBETWEEN(C279*0.97,C279*1.033)</f>
        <v>32471</v>
      </c>
      <c r="D280" s="7" t="n">
        <f aca="false">RANDBETWEEN(D279*0.97,D279*1.033)</f>
        <v>60143</v>
      </c>
      <c r="E280" s="7" t="n">
        <f aca="false">RANDBETWEEN(E279*0.97,E279*1.033)</f>
        <v>95721</v>
      </c>
      <c r="F280" s="7" t="n">
        <f aca="false">RANDBETWEEN(F279*0.97,F279*1.033)</f>
        <v>2071476</v>
      </c>
    </row>
    <row r="281" customFormat="false" ht="13.8" hidden="false" customHeight="false" outlineLevel="0" collapsed="false">
      <c r="A281" s="0" t="n">
        <v>280</v>
      </c>
      <c r="B281" s="7" t="n">
        <f aca="false">RANDBETWEEN(B280*0.97,B280*1.033)</f>
        <v>21369</v>
      </c>
      <c r="C281" s="7" t="n">
        <f aca="false">RANDBETWEEN(C280*0.97,C280*1.033)</f>
        <v>31903</v>
      </c>
      <c r="D281" s="7" t="n">
        <f aca="false">RANDBETWEEN(D280*0.97,D280*1.033)</f>
        <v>59738</v>
      </c>
      <c r="E281" s="7" t="n">
        <f aca="false">RANDBETWEEN(E280*0.97,E280*1.033)</f>
        <v>94749</v>
      </c>
      <c r="F281" s="7" t="n">
        <f aca="false">RANDBETWEEN(F280*0.97,F280*1.033)</f>
        <v>2098981</v>
      </c>
    </row>
    <row r="282" customFormat="false" ht="13.8" hidden="false" customHeight="false" outlineLevel="0" collapsed="false">
      <c r="A282" s="0" t="n">
        <v>281</v>
      </c>
      <c r="B282" s="7" t="n">
        <f aca="false">RANDBETWEEN(B281*0.97,B281*1.033)</f>
        <v>21470</v>
      </c>
      <c r="C282" s="7" t="n">
        <f aca="false">RANDBETWEEN(C281*0.97,C281*1.033)</f>
        <v>31304</v>
      </c>
      <c r="D282" s="7" t="n">
        <f aca="false">RANDBETWEEN(D281*0.97,D281*1.033)</f>
        <v>59805</v>
      </c>
      <c r="E282" s="7" t="n">
        <f aca="false">RANDBETWEEN(E281*0.97,E281*1.033)</f>
        <v>97827</v>
      </c>
      <c r="F282" s="7" t="n">
        <f aca="false">RANDBETWEEN(F281*0.97,F281*1.033)</f>
        <v>2085316</v>
      </c>
    </row>
    <row r="283" customFormat="false" ht="13.8" hidden="false" customHeight="false" outlineLevel="0" collapsed="false">
      <c r="A283" s="0" t="n">
        <v>282</v>
      </c>
      <c r="B283" s="7" t="n">
        <f aca="false">RANDBETWEEN(B282*0.97,B282*1.033)</f>
        <v>21764</v>
      </c>
      <c r="C283" s="7" t="n">
        <f aca="false">RANDBETWEEN(C282*0.97,C282*1.033)</f>
        <v>32114</v>
      </c>
      <c r="D283" s="7" t="n">
        <f aca="false">RANDBETWEEN(D282*0.97,D282*1.033)</f>
        <v>61598</v>
      </c>
      <c r="E283" s="7" t="n">
        <f aca="false">RANDBETWEEN(E282*0.97,E282*1.033)</f>
        <v>94950</v>
      </c>
      <c r="F283" s="7" t="n">
        <f aca="false">RANDBETWEEN(F282*0.97,F282*1.033)</f>
        <v>2064815</v>
      </c>
    </row>
    <row r="284" customFormat="false" ht="13.8" hidden="false" customHeight="false" outlineLevel="0" collapsed="false">
      <c r="A284" s="0" t="n">
        <v>283</v>
      </c>
      <c r="B284" s="7" t="n">
        <f aca="false">RANDBETWEEN(B283*0.97,B283*1.033)</f>
        <v>21497</v>
      </c>
      <c r="C284" s="7" t="n">
        <f aca="false">RANDBETWEEN(C283*0.97,C283*1.033)</f>
        <v>32441</v>
      </c>
      <c r="D284" s="7" t="n">
        <f aca="false">RANDBETWEEN(D283*0.97,D283*1.033)</f>
        <v>61318</v>
      </c>
      <c r="E284" s="7" t="n">
        <f aca="false">RANDBETWEEN(E283*0.97,E283*1.033)</f>
        <v>96138</v>
      </c>
      <c r="F284" s="7" t="n">
        <f aca="false">RANDBETWEEN(F283*0.97,F283*1.033)</f>
        <v>2130240</v>
      </c>
    </row>
    <row r="285" customFormat="false" ht="13.8" hidden="false" customHeight="false" outlineLevel="0" collapsed="false">
      <c r="A285" s="0" t="n">
        <v>284</v>
      </c>
      <c r="B285" s="7" t="n">
        <f aca="false">RANDBETWEEN(B284*0.97,B284*1.033)</f>
        <v>21499</v>
      </c>
      <c r="C285" s="7" t="n">
        <f aca="false">RANDBETWEEN(C284*0.97,C284*1.033)</f>
        <v>31492</v>
      </c>
      <c r="D285" s="7" t="n">
        <f aca="false">RANDBETWEEN(D284*0.97,D284*1.033)</f>
        <v>60140</v>
      </c>
      <c r="E285" s="7" t="n">
        <f aca="false">RANDBETWEEN(E284*0.97,E284*1.033)</f>
        <v>95856</v>
      </c>
      <c r="F285" s="7" t="n">
        <f aca="false">RANDBETWEEN(F284*0.97,F284*1.033)</f>
        <v>2123324</v>
      </c>
    </row>
    <row r="286" customFormat="false" ht="13.8" hidden="false" customHeight="false" outlineLevel="0" collapsed="false">
      <c r="A286" s="0" t="n">
        <v>285</v>
      </c>
      <c r="B286" s="7" t="n">
        <f aca="false">RANDBETWEEN(B285*0.97,B285*1.033)</f>
        <v>21011</v>
      </c>
      <c r="C286" s="7" t="n">
        <f aca="false">RANDBETWEEN(C285*0.97,C285*1.033)</f>
        <v>32173</v>
      </c>
      <c r="D286" s="7" t="n">
        <f aca="false">RANDBETWEEN(D285*0.97,D285*1.033)</f>
        <v>61515</v>
      </c>
      <c r="E286" s="7" t="n">
        <f aca="false">RANDBETWEEN(E285*0.97,E285*1.033)</f>
        <v>93573</v>
      </c>
      <c r="F286" s="7" t="n">
        <f aca="false">RANDBETWEEN(F285*0.97,F285*1.033)</f>
        <v>2128881</v>
      </c>
    </row>
    <row r="287" customFormat="false" ht="13.8" hidden="false" customHeight="false" outlineLevel="0" collapsed="false">
      <c r="A287" s="0" t="n">
        <v>286</v>
      </c>
      <c r="B287" s="7" t="n">
        <f aca="false">RANDBETWEEN(B286*0.97,B286*1.033)</f>
        <v>20689</v>
      </c>
      <c r="C287" s="7" t="n">
        <f aca="false">RANDBETWEEN(C286*0.97,C286*1.033)</f>
        <v>32122</v>
      </c>
      <c r="D287" s="7" t="n">
        <f aca="false">RANDBETWEEN(D286*0.97,D286*1.033)</f>
        <v>60738</v>
      </c>
      <c r="E287" s="7" t="n">
        <f aca="false">RANDBETWEEN(E286*0.97,E286*1.033)</f>
        <v>92459</v>
      </c>
      <c r="F287" s="7" t="n">
        <f aca="false">RANDBETWEEN(F286*0.97,F286*1.033)</f>
        <v>2103668</v>
      </c>
    </row>
    <row r="288" customFormat="false" ht="13.8" hidden="false" customHeight="false" outlineLevel="0" collapsed="false">
      <c r="A288" s="0" t="n">
        <v>287</v>
      </c>
      <c r="B288" s="7" t="n">
        <f aca="false">RANDBETWEEN(B287*0.97,B287*1.033)</f>
        <v>20472</v>
      </c>
      <c r="C288" s="7" t="n">
        <f aca="false">RANDBETWEEN(C287*0.97,C287*1.033)</f>
        <v>32292</v>
      </c>
      <c r="D288" s="7" t="n">
        <f aca="false">RANDBETWEEN(D287*0.97,D287*1.033)</f>
        <v>62563</v>
      </c>
      <c r="E288" s="7" t="n">
        <f aca="false">RANDBETWEEN(E287*0.97,E287*1.033)</f>
        <v>91227</v>
      </c>
      <c r="F288" s="7" t="n">
        <f aca="false">RANDBETWEEN(F287*0.97,F287*1.033)</f>
        <v>2042516</v>
      </c>
    </row>
    <row r="289" customFormat="false" ht="13.8" hidden="false" customHeight="false" outlineLevel="0" collapsed="false">
      <c r="A289" s="0" t="n">
        <v>288</v>
      </c>
      <c r="B289" s="7" t="n">
        <f aca="false">RANDBETWEEN(B288*0.97,B288*1.033)</f>
        <v>20957</v>
      </c>
      <c r="C289" s="7" t="n">
        <f aca="false">RANDBETWEEN(C288*0.97,C288*1.033)</f>
        <v>32490</v>
      </c>
      <c r="D289" s="7" t="n">
        <f aca="false">RANDBETWEEN(D288*0.97,D288*1.033)</f>
        <v>63288</v>
      </c>
      <c r="E289" s="7" t="n">
        <f aca="false">RANDBETWEEN(E288*0.97,E288*1.033)</f>
        <v>89669</v>
      </c>
      <c r="F289" s="7" t="n">
        <f aca="false">RANDBETWEEN(F288*0.97,F288*1.033)</f>
        <v>2094684</v>
      </c>
    </row>
    <row r="290" customFormat="false" ht="13.8" hidden="false" customHeight="false" outlineLevel="0" collapsed="false">
      <c r="A290" s="0" t="n">
        <v>289</v>
      </c>
      <c r="B290" s="7" t="n">
        <f aca="false">RANDBETWEEN(B289*0.97,B289*1.033)</f>
        <v>20753</v>
      </c>
      <c r="C290" s="7" t="n">
        <f aca="false">RANDBETWEEN(C289*0.97,C289*1.033)</f>
        <v>31917</v>
      </c>
      <c r="D290" s="7" t="n">
        <f aca="false">RANDBETWEEN(D289*0.97,D289*1.033)</f>
        <v>62544</v>
      </c>
      <c r="E290" s="7" t="n">
        <f aca="false">RANDBETWEEN(E289*0.97,E289*1.033)</f>
        <v>87838</v>
      </c>
      <c r="F290" s="7" t="n">
        <f aca="false">RANDBETWEEN(F289*0.97,F289*1.033)</f>
        <v>2120428</v>
      </c>
    </row>
    <row r="291" customFormat="false" ht="13.8" hidden="false" customHeight="false" outlineLevel="0" collapsed="false">
      <c r="A291" s="0" t="n">
        <v>290</v>
      </c>
      <c r="B291" s="7" t="n">
        <f aca="false">RANDBETWEEN(B290*0.97,B290*1.033)</f>
        <v>20180</v>
      </c>
      <c r="C291" s="7" t="n">
        <f aca="false">RANDBETWEEN(C290*0.97,C290*1.033)</f>
        <v>32783</v>
      </c>
      <c r="D291" s="7" t="n">
        <f aca="false">RANDBETWEEN(D290*0.97,D290*1.033)</f>
        <v>62700</v>
      </c>
      <c r="E291" s="7" t="n">
        <f aca="false">RANDBETWEEN(E290*0.97,E290*1.033)</f>
        <v>90420</v>
      </c>
      <c r="F291" s="7" t="n">
        <f aca="false">RANDBETWEEN(F290*0.97,F290*1.033)</f>
        <v>2165238</v>
      </c>
    </row>
    <row r="292" customFormat="false" ht="13.8" hidden="false" customHeight="false" outlineLevel="0" collapsed="false">
      <c r="A292" s="0" t="n">
        <v>291</v>
      </c>
      <c r="B292" s="7" t="n">
        <f aca="false">RANDBETWEEN(B291*0.97,B291*1.033)</f>
        <v>20463</v>
      </c>
      <c r="C292" s="7" t="n">
        <f aca="false">RANDBETWEEN(C291*0.97,C291*1.033)</f>
        <v>32818</v>
      </c>
      <c r="D292" s="7" t="n">
        <f aca="false">RANDBETWEEN(D291*0.97,D291*1.033)</f>
        <v>61284</v>
      </c>
      <c r="E292" s="7" t="n">
        <f aca="false">RANDBETWEEN(E291*0.97,E291*1.033)</f>
        <v>91484</v>
      </c>
      <c r="F292" s="7" t="n">
        <f aca="false">RANDBETWEEN(F291*0.97,F291*1.033)</f>
        <v>2207851</v>
      </c>
    </row>
    <row r="293" customFormat="false" ht="13.8" hidden="false" customHeight="false" outlineLevel="0" collapsed="false">
      <c r="A293" s="0" t="n">
        <v>292</v>
      </c>
      <c r="B293" s="7" t="n">
        <f aca="false">RANDBETWEEN(B292*0.97,B292*1.033)</f>
        <v>20982</v>
      </c>
      <c r="C293" s="7" t="n">
        <f aca="false">RANDBETWEEN(C292*0.97,C292*1.033)</f>
        <v>32291</v>
      </c>
      <c r="D293" s="7" t="n">
        <f aca="false">RANDBETWEEN(D292*0.97,D292*1.033)</f>
        <v>62583</v>
      </c>
      <c r="E293" s="7" t="n">
        <f aca="false">RANDBETWEEN(E292*0.97,E292*1.033)</f>
        <v>93941</v>
      </c>
      <c r="F293" s="7" t="n">
        <f aca="false">RANDBETWEEN(F292*0.97,F292*1.033)</f>
        <v>2251423</v>
      </c>
    </row>
    <row r="294" customFormat="false" ht="13.8" hidden="false" customHeight="false" outlineLevel="0" collapsed="false">
      <c r="A294" s="0" t="n">
        <v>293</v>
      </c>
      <c r="B294" s="7" t="n">
        <f aca="false">RANDBETWEEN(B293*0.97,B293*1.033)</f>
        <v>21578</v>
      </c>
      <c r="C294" s="7" t="n">
        <f aca="false">RANDBETWEEN(C293*0.97,C293*1.033)</f>
        <v>32147</v>
      </c>
      <c r="D294" s="7" t="n">
        <f aca="false">RANDBETWEEN(D293*0.97,D293*1.033)</f>
        <v>62728</v>
      </c>
      <c r="E294" s="7" t="n">
        <f aca="false">RANDBETWEEN(E293*0.97,E293*1.033)</f>
        <v>94266</v>
      </c>
      <c r="F294" s="7" t="n">
        <f aca="false">RANDBETWEEN(F293*0.97,F293*1.033)</f>
        <v>2218610</v>
      </c>
    </row>
    <row r="295" customFormat="false" ht="13.8" hidden="false" customHeight="false" outlineLevel="0" collapsed="false">
      <c r="A295" s="0" t="n">
        <v>294</v>
      </c>
      <c r="B295" s="7" t="n">
        <f aca="false">RANDBETWEEN(B294*0.97,B294*1.033)</f>
        <v>21016</v>
      </c>
      <c r="C295" s="7" t="n">
        <f aca="false">RANDBETWEEN(C294*0.97,C294*1.033)</f>
        <v>31327</v>
      </c>
      <c r="D295" s="7" t="n">
        <f aca="false">RANDBETWEEN(D294*0.97,D294*1.033)</f>
        <v>62849</v>
      </c>
      <c r="E295" s="7" t="n">
        <f aca="false">RANDBETWEEN(E294*0.97,E294*1.033)</f>
        <v>95315</v>
      </c>
      <c r="F295" s="7" t="n">
        <f aca="false">RANDBETWEEN(F294*0.97,F294*1.033)</f>
        <v>2232627</v>
      </c>
    </row>
    <row r="296" customFormat="false" ht="13.8" hidden="false" customHeight="false" outlineLevel="0" collapsed="false">
      <c r="A296" s="0" t="n">
        <v>295</v>
      </c>
      <c r="B296" s="7" t="n">
        <f aca="false">RANDBETWEEN(B295*0.97,B295*1.033)</f>
        <v>20451</v>
      </c>
      <c r="C296" s="7" t="n">
        <f aca="false">RANDBETWEEN(C295*0.97,C295*1.033)</f>
        <v>32270</v>
      </c>
      <c r="D296" s="7" t="n">
        <f aca="false">RANDBETWEEN(D295*0.97,D295*1.033)</f>
        <v>61700</v>
      </c>
      <c r="E296" s="7" t="n">
        <f aca="false">RANDBETWEEN(E295*0.97,E295*1.033)</f>
        <v>93120</v>
      </c>
      <c r="F296" s="7" t="n">
        <f aca="false">RANDBETWEEN(F295*0.97,F295*1.033)</f>
        <v>2185913</v>
      </c>
    </row>
    <row r="297" customFormat="false" ht="13.8" hidden="false" customHeight="false" outlineLevel="0" collapsed="false">
      <c r="A297" s="0" t="n">
        <v>296</v>
      </c>
      <c r="B297" s="7" t="n">
        <f aca="false">RANDBETWEEN(B296*0.97,B296*1.033)</f>
        <v>20360</v>
      </c>
      <c r="C297" s="7" t="n">
        <f aca="false">RANDBETWEEN(C296*0.97,C296*1.033)</f>
        <v>32343</v>
      </c>
      <c r="D297" s="7" t="n">
        <f aca="false">RANDBETWEEN(D296*0.97,D296*1.033)</f>
        <v>60683</v>
      </c>
      <c r="E297" s="7" t="n">
        <f aca="false">RANDBETWEEN(E296*0.97,E296*1.033)</f>
        <v>92064</v>
      </c>
      <c r="F297" s="7" t="n">
        <f aca="false">RANDBETWEEN(F296*0.97,F296*1.033)</f>
        <v>2209928</v>
      </c>
    </row>
    <row r="298" customFormat="false" ht="13.8" hidden="false" customHeight="false" outlineLevel="0" collapsed="false">
      <c r="A298" s="0" t="n">
        <v>297</v>
      </c>
      <c r="B298" s="7" t="n">
        <f aca="false">RANDBETWEEN(B297*0.97,B297*1.033)</f>
        <v>20491</v>
      </c>
      <c r="C298" s="7" t="n">
        <f aca="false">RANDBETWEEN(C297*0.97,C297*1.033)</f>
        <v>32681</v>
      </c>
      <c r="D298" s="7" t="n">
        <f aca="false">RANDBETWEEN(D297*0.97,D297*1.033)</f>
        <v>60919</v>
      </c>
      <c r="E298" s="7" t="n">
        <f aca="false">RANDBETWEEN(E297*0.97,E297*1.033)</f>
        <v>91604</v>
      </c>
      <c r="F298" s="7" t="n">
        <f aca="false">RANDBETWEEN(F297*0.97,F297*1.033)</f>
        <v>2252587</v>
      </c>
    </row>
    <row r="299" customFormat="false" ht="13.8" hidden="false" customHeight="false" outlineLevel="0" collapsed="false">
      <c r="A299" s="0" t="n">
        <v>298</v>
      </c>
      <c r="B299" s="7" t="n">
        <f aca="false">RANDBETWEEN(B298*0.97,B298*1.033)</f>
        <v>20388</v>
      </c>
      <c r="C299" s="7" t="n">
        <f aca="false">RANDBETWEEN(C298*0.97,C298*1.033)</f>
        <v>32948</v>
      </c>
      <c r="D299" s="7" t="n">
        <f aca="false">RANDBETWEEN(D298*0.97,D298*1.033)</f>
        <v>60293</v>
      </c>
      <c r="E299" s="7" t="n">
        <f aca="false">RANDBETWEEN(E298*0.97,E298*1.033)</f>
        <v>88961</v>
      </c>
      <c r="F299" s="7" t="n">
        <f aca="false">RANDBETWEEN(F298*0.97,F298*1.033)</f>
        <v>2292699</v>
      </c>
    </row>
    <row r="300" customFormat="false" ht="13.8" hidden="false" customHeight="false" outlineLevel="0" collapsed="false">
      <c r="A300" s="0" t="n">
        <v>299</v>
      </c>
      <c r="B300" s="7" t="n">
        <f aca="false">RANDBETWEEN(B299*0.97,B299*1.033)</f>
        <v>19810</v>
      </c>
      <c r="C300" s="7" t="n">
        <f aca="false">RANDBETWEEN(C299*0.97,C299*1.033)</f>
        <v>32093</v>
      </c>
      <c r="D300" s="7" t="n">
        <f aca="false">RANDBETWEEN(D299*0.97,D299*1.033)</f>
        <v>58918</v>
      </c>
      <c r="E300" s="7" t="n">
        <f aca="false">RANDBETWEEN(E299*0.97,E299*1.033)</f>
        <v>89537</v>
      </c>
      <c r="F300" s="7" t="n">
        <f aca="false">RANDBETWEEN(F299*0.97,F299*1.033)</f>
        <v>2342955</v>
      </c>
    </row>
    <row r="301" customFormat="false" ht="13.8" hidden="false" customHeight="false" outlineLevel="0" collapsed="false">
      <c r="A301" s="0" t="n">
        <v>300</v>
      </c>
      <c r="B301" s="7" t="n">
        <f aca="false">RANDBETWEEN(B300*0.97,B300*1.033)</f>
        <v>20313</v>
      </c>
      <c r="C301" s="7" t="n">
        <f aca="false">RANDBETWEEN(C300*0.97,C300*1.033)</f>
        <v>31172</v>
      </c>
      <c r="D301" s="7" t="n">
        <f aca="false">RANDBETWEEN(D300*0.97,D300*1.033)</f>
        <v>58835</v>
      </c>
      <c r="E301" s="7" t="n">
        <f aca="false">RANDBETWEEN(E300*0.97,E300*1.033)</f>
        <v>88876</v>
      </c>
      <c r="F301" s="7" t="n">
        <f aca="false">RANDBETWEEN(F300*0.97,F300*1.033)</f>
        <v>2323221</v>
      </c>
    </row>
    <row r="302" customFormat="false" ht="13.8" hidden="false" customHeight="false" outlineLevel="0" collapsed="false">
      <c r="A302" s="0" t="n">
        <v>301</v>
      </c>
      <c r="B302" s="7" t="n">
        <f aca="false">RANDBETWEEN(B301*0.97,B301*1.033)</f>
        <v>19903</v>
      </c>
      <c r="C302" s="7" t="n">
        <f aca="false">RANDBETWEEN(C301*0.97,C301*1.033)</f>
        <v>30414</v>
      </c>
      <c r="D302" s="7" t="n">
        <f aca="false">RANDBETWEEN(D301*0.97,D301*1.033)</f>
        <v>58770</v>
      </c>
      <c r="E302" s="7" t="n">
        <f aca="false">RANDBETWEEN(E301*0.97,E301*1.033)</f>
        <v>90917</v>
      </c>
      <c r="F302" s="7" t="n">
        <f aca="false">RANDBETWEEN(F301*0.97,F301*1.033)</f>
        <v>2399002</v>
      </c>
    </row>
    <row r="303" customFormat="false" ht="13.8" hidden="false" customHeight="false" outlineLevel="0" collapsed="false">
      <c r="A303" s="0" t="n">
        <v>302</v>
      </c>
      <c r="B303" s="7" t="n">
        <f aca="false">RANDBETWEEN(B302*0.97,B302*1.033)</f>
        <v>19354</v>
      </c>
      <c r="C303" s="7" t="n">
        <f aca="false">RANDBETWEEN(C302*0.97,C302*1.033)</f>
        <v>30202</v>
      </c>
      <c r="D303" s="7" t="n">
        <f aca="false">RANDBETWEEN(D302*0.97,D302*1.033)</f>
        <v>60480</v>
      </c>
      <c r="E303" s="7" t="n">
        <f aca="false">RANDBETWEEN(E302*0.97,E302*1.033)</f>
        <v>93003</v>
      </c>
      <c r="F303" s="7" t="n">
        <f aca="false">RANDBETWEEN(F302*0.97,F302*1.033)</f>
        <v>2461516</v>
      </c>
    </row>
    <row r="304" customFormat="false" ht="13.8" hidden="false" customHeight="false" outlineLevel="0" collapsed="false">
      <c r="A304" s="0" t="n">
        <v>303</v>
      </c>
      <c r="B304" s="7" t="n">
        <f aca="false">RANDBETWEEN(B303*0.97,B303*1.033)</f>
        <v>19134</v>
      </c>
      <c r="C304" s="7" t="n">
        <f aca="false">RANDBETWEEN(C303*0.97,C303*1.033)</f>
        <v>29305</v>
      </c>
      <c r="D304" s="7" t="n">
        <f aca="false">RANDBETWEEN(D303*0.97,D303*1.033)</f>
        <v>60446</v>
      </c>
      <c r="E304" s="7" t="n">
        <f aca="false">RANDBETWEEN(E303*0.97,E303*1.033)</f>
        <v>94936</v>
      </c>
      <c r="F304" s="7" t="n">
        <f aca="false">RANDBETWEEN(F303*0.97,F303*1.033)</f>
        <v>2396309</v>
      </c>
    </row>
    <row r="305" customFormat="false" ht="13.8" hidden="false" customHeight="false" outlineLevel="0" collapsed="false">
      <c r="A305" s="0" t="n">
        <v>304</v>
      </c>
      <c r="B305" s="7" t="n">
        <f aca="false">RANDBETWEEN(B304*0.97,B304*1.033)</f>
        <v>19649</v>
      </c>
      <c r="C305" s="7" t="n">
        <f aca="false">RANDBETWEEN(C304*0.97,C304*1.033)</f>
        <v>29965</v>
      </c>
      <c r="D305" s="7" t="n">
        <f aca="false">RANDBETWEEN(D304*0.97,D304*1.033)</f>
        <v>59223</v>
      </c>
      <c r="E305" s="7" t="n">
        <f aca="false">RANDBETWEEN(E304*0.97,E304*1.033)</f>
        <v>96910</v>
      </c>
      <c r="F305" s="7" t="n">
        <f aca="false">RANDBETWEEN(F304*0.97,F304*1.033)</f>
        <v>2369853</v>
      </c>
    </row>
    <row r="306" customFormat="false" ht="13.8" hidden="false" customHeight="false" outlineLevel="0" collapsed="false">
      <c r="A306" s="0" t="n">
        <v>305</v>
      </c>
      <c r="B306" s="7" t="n">
        <f aca="false">RANDBETWEEN(B305*0.97,B305*1.033)</f>
        <v>19108</v>
      </c>
      <c r="C306" s="7" t="n">
        <f aca="false">RANDBETWEEN(C305*0.97,C305*1.033)</f>
        <v>30124</v>
      </c>
      <c r="D306" s="7" t="n">
        <f aca="false">RANDBETWEEN(D305*0.97,D305*1.033)</f>
        <v>58877</v>
      </c>
      <c r="E306" s="7" t="n">
        <f aca="false">RANDBETWEEN(E305*0.97,E305*1.033)</f>
        <v>98386</v>
      </c>
      <c r="F306" s="7" t="n">
        <f aca="false">RANDBETWEEN(F305*0.97,F305*1.033)</f>
        <v>2447353</v>
      </c>
    </row>
    <row r="307" customFormat="false" ht="13.8" hidden="false" customHeight="false" outlineLevel="0" collapsed="false">
      <c r="A307" s="0" t="n">
        <v>306</v>
      </c>
      <c r="B307" s="7" t="n">
        <f aca="false">RANDBETWEEN(B306*0.97,B306*1.033)</f>
        <v>19356</v>
      </c>
      <c r="C307" s="7" t="n">
        <f aca="false">RANDBETWEEN(C306*0.97,C306*1.033)</f>
        <v>29237</v>
      </c>
      <c r="D307" s="7" t="n">
        <f aca="false">RANDBETWEEN(D306*0.97,D306*1.033)</f>
        <v>59198</v>
      </c>
      <c r="E307" s="7" t="n">
        <f aca="false">RANDBETWEEN(E306*0.97,E306*1.033)</f>
        <v>98742</v>
      </c>
      <c r="F307" s="7" t="n">
        <f aca="false">RANDBETWEEN(F306*0.97,F306*1.033)</f>
        <v>2479356</v>
      </c>
    </row>
    <row r="308" customFormat="false" ht="13.8" hidden="false" customHeight="false" outlineLevel="0" collapsed="false">
      <c r="A308" s="0" t="n">
        <v>307</v>
      </c>
      <c r="B308" s="7" t="n">
        <f aca="false">RANDBETWEEN(B307*0.97,B307*1.033)</f>
        <v>19822</v>
      </c>
      <c r="C308" s="7" t="n">
        <f aca="false">RANDBETWEEN(C307*0.97,C307*1.033)</f>
        <v>28615</v>
      </c>
      <c r="D308" s="7" t="n">
        <f aca="false">RANDBETWEEN(D307*0.97,D307*1.033)</f>
        <v>60050</v>
      </c>
      <c r="E308" s="7" t="n">
        <f aca="false">RANDBETWEEN(E307*0.97,E307*1.033)</f>
        <v>101050</v>
      </c>
      <c r="F308" s="7" t="n">
        <f aca="false">RANDBETWEEN(F307*0.97,F307*1.033)</f>
        <v>2491612</v>
      </c>
    </row>
    <row r="309" customFormat="false" ht="13.8" hidden="false" customHeight="false" outlineLevel="0" collapsed="false">
      <c r="A309" s="0" t="n">
        <v>308</v>
      </c>
      <c r="B309" s="7" t="n">
        <f aca="false">RANDBETWEEN(B308*0.97,B308*1.033)</f>
        <v>19957</v>
      </c>
      <c r="C309" s="7" t="n">
        <f aca="false">RANDBETWEEN(C308*0.97,C308*1.033)</f>
        <v>27790</v>
      </c>
      <c r="D309" s="7" t="n">
        <f aca="false">RANDBETWEEN(D308*0.97,D308*1.033)</f>
        <v>60260</v>
      </c>
      <c r="E309" s="7" t="n">
        <f aca="false">RANDBETWEEN(E308*0.97,E308*1.033)</f>
        <v>100817</v>
      </c>
      <c r="F309" s="7" t="n">
        <f aca="false">RANDBETWEEN(F308*0.97,F308*1.033)</f>
        <v>2431346</v>
      </c>
    </row>
    <row r="310" customFormat="false" ht="13.8" hidden="false" customHeight="false" outlineLevel="0" collapsed="false">
      <c r="A310" s="0" t="n">
        <v>309</v>
      </c>
      <c r="B310" s="7" t="n">
        <f aca="false">RANDBETWEEN(B309*0.97,B309*1.033)</f>
        <v>19623</v>
      </c>
      <c r="C310" s="7" t="n">
        <f aca="false">RANDBETWEEN(C309*0.97,C309*1.033)</f>
        <v>27455</v>
      </c>
      <c r="D310" s="7" t="n">
        <f aca="false">RANDBETWEEN(D309*0.97,D309*1.033)</f>
        <v>60613</v>
      </c>
      <c r="E310" s="7" t="n">
        <f aca="false">RANDBETWEEN(E309*0.97,E309*1.033)</f>
        <v>98845</v>
      </c>
      <c r="F310" s="7" t="n">
        <f aca="false">RANDBETWEEN(F309*0.97,F309*1.033)</f>
        <v>2396062</v>
      </c>
    </row>
    <row r="311" customFormat="false" ht="13.8" hidden="false" customHeight="false" outlineLevel="0" collapsed="false">
      <c r="A311" s="0" t="n">
        <v>310</v>
      </c>
      <c r="B311" s="7" t="n">
        <f aca="false">RANDBETWEEN(B310*0.97,B310*1.033)</f>
        <v>19402</v>
      </c>
      <c r="C311" s="7" t="n">
        <f aca="false">RANDBETWEEN(C310*0.97,C310*1.033)</f>
        <v>27608</v>
      </c>
      <c r="D311" s="7" t="n">
        <f aca="false">RANDBETWEEN(D310*0.97,D310*1.033)</f>
        <v>58826</v>
      </c>
      <c r="E311" s="7" t="n">
        <f aca="false">RANDBETWEEN(E310*0.97,E310*1.033)</f>
        <v>100558</v>
      </c>
      <c r="F311" s="7" t="n">
        <f aca="false">RANDBETWEEN(F310*0.97,F310*1.033)</f>
        <v>2443543</v>
      </c>
    </row>
    <row r="312" customFormat="false" ht="13.8" hidden="false" customHeight="false" outlineLevel="0" collapsed="false">
      <c r="A312" s="0" t="n">
        <v>311</v>
      </c>
      <c r="B312" s="7" t="n">
        <f aca="false">RANDBETWEEN(B311*0.97,B311*1.033)</f>
        <v>18868</v>
      </c>
      <c r="C312" s="7" t="n">
        <f aca="false">RANDBETWEEN(C311*0.97,C311*1.033)</f>
        <v>28121</v>
      </c>
      <c r="D312" s="7" t="n">
        <f aca="false">RANDBETWEEN(D311*0.97,D311*1.033)</f>
        <v>58373</v>
      </c>
      <c r="E312" s="7" t="n">
        <f aca="false">RANDBETWEEN(E311*0.97,E311*1.033)</f>
        <v>103841</v>
      </c>
      <c r="F312" s="7" t="n">
        <f aca="false">RANDBETWEEN(F311*0.97,F311*1.033)</f>
        <v>2375708</v>
      </c>
    </row>
    <row r="313" customFormat="false" ht="13.8" hidden="false" customHeight="false" outlineLevel="0" collapsed="false">
      <c r="A313" s="0" t="n">
        <v>312</v>
      </c>
      <c r="B313" s="7" t="n">
        <f aca="false">RANDBETWEEN(B312*0.97,B312*1.033)</f>
        <v>19302</v>
      </c>
      <c r="C313" s="7" t="n">
        <f aca="false">RANDBETWEEN(C312*0.97,C312*1.033)</f>
        <v>27674</v>
      </c>
      <c r="D313" s="7" t="n">
        <f aca="false">RANDBETWEEN(D312*0.97,D312*1.033)</f>
        <v>59938</v>
      </c>
      <c r="E313" s="7" t="n">
        <f aca="false">RANDBETWEEN(E312*0.97,E312*1.033)</f>
        <v>102980</v>
      </c>
      <c r="F313" s="7" t="n">
        <f aca="false">RANDBETWEEN(F312*0.97,F312*1.033)</f>
        <v>2370878</v>
      </c>
    </row>
    <row r="314" customFormat="false" ht="13.8" hidden="false" customHeight="false" outlineLevel="0" collapsed="false">
      <c r="A314" s="0" t="n">
        <v>313</v>
      </c>
      <c r="B314" s="7" t="n">
        <f aca="false">RANDBETWEEN(B313*0.97,B313*1.033)</f>
        <v>19679</v>
      </c>
      <c r="C314" s="7" t="n">
        <f aca="false">RANDBETWEEN(C313*0.97,C313*1.033)</f>
        <v>28189</v>
      </c>
      <c r="D314" s="7" t="n">
        <f aca="false">RANDBETWEEN(D313*0.97,D313*1.033)</f>
        <v>60808</v>
      </c>
      <c r="E314" s="7" t="n">
        <f aca="false">RANDBETWEEN(E313*0.97,E313*1.033)</f>
        <v>102850</v>
      </c>
      <c r="F314" s="7" t="n">
        <f aca="false">RANDBETWEEN(F313*0.97,F313*1.033)</f>
        <v>2354661</v>
      </c>
    </row>
    <row r="315" customFormat="false" ht="13.8" hidden="false" customHeight="false" outlineLevel="0" collapsed="false">
      <c r="A315" s="0" t="n">
        <v>314</v>
      </c>
      <c r="B315" s="7" t="n">
        <f aca="false">RANDBETWEEN(B314*0.97,B314*1.033)</f>
        <v>19931</v>
      </c>
      <c r="C315" s="7" t="n">
        <f aca="false">RANDBETWEEN(C314*0.97,C314*1.033)</f>
        <v>28875</v>
      </c>
      <c r="D315" s="7" t="n">
        <f aca="false">RANDBETWEEN(D314*0.97,D314*1.033)</f>
        <v>62137</v>
      </c>
      <c r="E315" s="7" t="n">
        <f aca="false">RANDBETWEEN(E314*0.97,E314*1.033)</f>
        <v>101349</v>
      </c>
      <c r="F315" s="7" t="n">
        <f aca="false">RANDBETWEEN(F314*0.97,F314*1.033)</f>
        <v>2349597</v>
      </c>
    </row>
    <row r="316" customFormat="false" ht="13.8" hidden="false" customHeight="false" outlineLevel="0" collapsed="false">
      <c r="A316" s="0" t="n">
        <v>315</v>
      </c>
      <c r="B316" s="7" t="n">
        <f aca="false">RANDBETWEEN(B315*0.97,B315*1.033)</f>
        <v>19512</v>
      </c>
      <c r="C316" s="7" t="n">
        <f aca="false">RANDBETWEEN(C315*0.97,C315*1.033)</f>
        <v>28805</v>
      </c>
      <c r="D316" s="7" t="n">
        <f aca="false">RANDBETWEEN(D315*0.97,D315*1.033)</f>
        <v>60774</v>
      </c>
      <c r="E316" s="7" t="n">
        <f aca="false">RANDBETWEEN(E315*0.97,E315*1.033)</f>
        <v>100604</v>
      </c>
      <c r="F316" s="7" t="n">
        <f aca="false">RANDBETWEEN(F315*0.97,F315*1.033)</f>
        <v>2327851</v>
      </c>
    </row>
    <row r="317" customFormat="false" ht="13.8" hidden="false" customHeight="false" outlineLevel="0" collapsed="false">
      <c r="A317" s="0" t="n">
        <v>316</v>
      </c>
      <c r="B317" s="7" t="n">
        <f aca="false">RANDBETWEEN(B316*0.97,B316*1.033)</f>
        <v>19138</v>
      </c>
      <c r="C317" s="7" t="n">
        <f aca="false">RANDBETWEEN(C316*0.97,C316*1.033)</f>
        <v>28440</v>
      </c>
      <c r="D317" s="7" t="n">
        <f aca="false">RANDBETWEEN(D316*0.97,D316*1.033)</f>
        <v>60928</v>
      </c>
      <c r="E317" s="7" t="n">
        <f aca="false">RANDBETWEEN(E316*0.97,E316*1.033)</f>
        <v>101118</v>
      </c>
      <c r="F317" s="7" t="n">
        <f aca="false">RANDBETWEEN(F316*0.97,F316*1.033)</f>
        <v>2401862</v>
      </c>
    </row>
    <row r="318" customFormat="false" ht="13.8" hidden="false" customHeight="false" outlineLevel="0" collapsed="false">
      <c r="A318" s="0" t="n">
        <v>317</v>
      </c>
      <c r="B318" s="7" t="n">
        <f aca="false">RANDBETWEEN(B317*0.97,B317*1.033)</f>
        <v>18674</v>
      </c>
      <c r="C318" s="7" t="n">
        <f aca="false">RANDBETWEEN(C317*0.97,C317*1.033)</f>
        <v>29026</v>
      </c>
      <c r="D318" s="7" t="n">
        <f aca="false">RANDBETWEEN(D317*0.97,D317*1.033)</f>
        <v>60277</v>
      </c>
      <c r="E318" s="7" t="n">
        <f aca="false">RANDBETWEEN(E317*0.97,E317*1.033)</f>
        <v>101309</v>
      </c>
      <c r="F318" s="7" t="n">
        <f aca="false">RANDBETWEEN(F317*0.97,F317*1.033)</f>
        <v>2432166</v>
      </c>
    </row>
    <row r="319" customFormat="false" ht="13.8" hidden="false" customHeight="false" outlineLevel="0" collapsed="false">
      <c r="A319" s="0" t="n">
        <v>318</v>
      </c>
      <c r="B319" s="7" t="n">
        <f aca="false">RANDBETWEEN(B318*0.97,B318*1.033)</f>
        <v>18653</v>
      </c>
      <c r="C319" s="7" t="n">
        <f aca="false">RANDBETWEEN(C318*0.97,C318*1.033)</f>
        <v>28343</v>
      </c>
      <c r="D319" s="7" t="n">
        <f aca="false">RANDBETWEEN(D318*0.97,D318*1.033)</f>
        <v>60976</v>
      </c>
      <c r="E319" s="7" t="n">
        <f aca="false">RANDBETWEEN(E318*0.97,E318*1.033)</f>
        <v>101677</v>
      </c>
      <c r="F319" s="7" t="n">
        <f aca="false">RANDBETWEEN(F318*0.97,F318*1.033)</f>
        <v>2512122</v>
      </c>
    </row>
    <row r="320" customFormat="false" ht="13.8" hidden="false" customHeight="false" outlineLevel="0" collapsed="false">
      <c r="A320" s="0" t="n">
        <v>319</v>
      </c>
      <c r="B320" s="7" t="n">
        <f aca="false">RANDBETWEEN(B319*0.97,B319*1.033)</f>
        <v>18417</v>
      </c>
      <c r="C320" s="7" t="n">
        <f aca="false">RANDBETWEEN(C319*0.97,C319*1.033)</f>
        <v>27670</v>
      </c>
      <c r="D320" s="7" t="n">
        <f aca="false">RANDBETWEEN(D319*0.97,D319*1.033)</f>
        <v>61608</v>
      </c>
      <c r="E320" s="7" t="n">
        <f aca="false">RANDBETWEEN(E319*0.97,E319*1.033)</f>
        <v>102760</v>
      </c>
      <c r="F320" s="7" t="n">
        <f aca="false">RANDBETWEEN(F319*0.97,F319*1.033)</f>
        <v>2526054</v>
      </c>
    </row>
    <row r="321" customFormat="false" ht="13.8" hidden="false" customHeight="false" outlineLevel="0" collapsed="false">
      <c r="A321" s="0" t="n">
        <v>320</v>
      </c>
      <c r="B321" s="7" t="n">
        <f aca="false">RANDBETWEEN(B320*0.97,B320*1.033)</f>
        <v>18083</v>
      </c>
      <c r="C321" s="7" t="n">
        <f aca="false">RANDBETWEEN(C320*0.97,C320*1.033)</f>
        <v>27637</v>
      </c>
      <c r="D321" s="7" t="n">
        <f aca="false">RANDBETWEEN(D320*0.97,D320*1.033)</f>
        <v>61251</v>
      </c>
      <c r="E321" s="7" t="n">
        <f aca="false">RANDBETWEEN(E320*0.97,E320*1.033)</f>
        <v>103593</v>
      </c>
      <c r="F321" s="7" t="n">
        <f aca="false">RANDBETWEEN(F320*0.97,F320*1.033)</f>
        <v>2588478</v>
      </c>
    </row>
    <row r="322" customFormat="false" ht="13.8" hidden="false" customHeight="false" outlineLevel="0" collapsed="false">
      <c r="A322" s="0" t="n">
        <v>321</v>
      </c>
      <c r="B322" s="7" t="n">
        <f aca="false">RANDBETWEEN(B321*0.97,B321*1.033)</f>
        <v>18173</v>
      </c>
      <c r="C322" s="7" t="n">
        <f aca="false">RANDBETWEEN(C321*0.97,C321*1.033)</f>
        <v>27366</v>
      </c>
      <c r="D322" s="7" t="n">
        <f aca="false">RANDBETWEEN(D321*0.97,D321*1.033)</f>
        <v>59989</v>
      </c>
      <c r="E322" s="7" t="n">
        <f aca="false">RANDBETWEEN(E321*0.97,E321*1.033)</f>
        <v>106450</v>
      </c>
      <c r="F322" s="7" t="n">
        <f aca="false">RANDBETWEEN(F321*0.97,F321*1.033)</f>
        <v>2575851</v>
      </c>
    </row>
    <row r="323" customFormat="false" ht="13.8" hidden="false" customHeight="false" outlineLevel="0" collapsed="false">
      <c r="A323" s="0" t="n">
        <v>322</v>
      </c>
      <c r="B323" s="7" t="n">
        <f aca="false">RANDBETWEEN(B322*0.97,B322*1.033)</f>
        <v>18029</v>
      </c>
      <c r="C323" s="7" t="n">
        <f aca="false">RANDBETWEEN(C322*0.97,C322*1.033)</f>
        <v>27217</v>
      </c>
      <c r="D323" s="7" t="n">
        <f aca="false">RANDBETWEEN(D322*0.97,D322*1.033)</f>
        <v>61189</v>
      </c>
      <c r="E323" s="7" t="n">
        <f aca="false">RANDBETWEEN(E322*0.97,E322*1.033)</f>
        <v>105744</v>
      </c>
      <c r="F323" s="7" t="n">
        <f aca="false">RANDBETWEEN(F322*0.97,F322*1.033)</f>
        <v>2611542</v>
      </c>
    </row>
    <row r="324" customFormat="false" ht="13.8" hidden="false" customHeight="false" outlineLevel="0" collapsed="false">
      <c r="A324" s="0" t="n">
        <v>323</v>
      </c>
      <c r="B324" s="7" t="n">
        <f aca="false">RANDBETWEEN(B323*0.97,B323*1.033)</f>
        <v>17644</v>
      </c>
      <c r="C324" s="7" t="n">
        <f aca="false">RANDBETWEEN(C323*0.97,C323*1.033)</f>
        <v>28045</v>
      </c>
      <c r="D324" s="7" t="n">
        <f aca="false">RANDBETWEEN(D323*0.97,D323*1.033)</f>
        <v>61694</v>
      </c>
      <c r="E324" s="7" t="n">
        <f aca="false">RANDBETWEEN(E323*0.97,E323*1.033)</f>
        <v>106822</v>
      </c>
      <c r="F324" s="7" t="n">
        <f aca="false">RANDBETWEEN(F323*0.97,F323*1.033)</f>
        <v>2578896</v>
      </c>
    </row>
    <row r="325" customFormat="false" ht="13.8" hidden="false" customHeight="false" outlineLevel="0" collapsed="false">
      <c r="A325" s="0" t="n">
        <v>324</v>
      </c>
      <c r="B325" s="7" t="n">
        <f aca="false">RANDBETWEEN(B324*0.97,B324*1.033)</f>
        <v>17939</v>
      </c>
      <c r="C325" s="7" t="n">
        <f aca="false">RANDBETWEEN(C324*0.97,C324*1.033)</f>
        <v>27250</v>
      </c>
      <c r="D325" s="7" t="n">
        <f aca="false">RANDBETWEEN(D324*0.97,D324*1.033)</f>
        <v>60725</v>
      </c>
      <c r="E325" s="7" t="n">
        <f aca="false">RANDBETWEEN(E324*0.97,E324*1.033)</f>
        <v>106175</v>
      </c>
      <c r="F325" s="7" t="n">
        <f aca="false">RANDBETWEEN(F324*0.97,F324*1.033)</f>
        <v>2575557</v>
      </c>
    </row>
    <row r="326" customFormat="false" ht="13.8" hidden="false" customHeight="false" outlineLevel="0" collapsed="false">
      <c r="A326" s="0" t="n">
        <v>325</v>
      </c>
      <c r="B326" s="7" t="n">
        <f aca="false">RANDBETWEEN(B325*0.97,B325*1.033)</f>
        <v>17409</v>
      </c>
      <c r="C326" s="7" t="n">
        <f aca="false">RANDBETWEEN(C325*0.97,C325*1.033)</f>
        <v>26760</v>
      </c>
      <c r="D326" s="7" t="n">
        <f aca="false">RANDBETWEEN(D325*0.97,D325*1.033)</f>
        <v>62237</v>
      </c>
      <c r="E326" s="7" t="n">
        <f aca="false">RANDBETWEEN(E325*0.97,E325*1.033)</f>
        <v>104972</v>
      </c>
      <c r="F326" s="7" t="n">
        <f aca="false">RANDBETWEEN(F325*0.97,F325*1.033)</f>
        <v>2554734</v>
      </c>
    </row>
    <row r="327" customFormat="false" ht="13.8" hidden="false" customHeight="false" outlineLevel="0" collapsed="false">
      <c r="A327" s="0" t="n">
        <v>326</v>
      </c>
      <c r="B327" s="7" t="n">
        <f aca="false">RANDBETWEEN(B326*0.97,B326*1.033)</f>
        <v>17482</v>
      </c>
      <c r="C327" s="7" t="n">
        <f aca="false">RANDBETWEEN(C326*0.97,C326*1.033)</f>
        <v>27395</v>
      </c>
      <c r="D327" s="7" t="n">
        <f aca="false">RANDBETWEEN(D326*0.97,D326*1.033)</f>
        <v>61329</v>
      </c>
      <c r="E327" s="7" t="n">
        <f aca="false">RANDBETWEEN(E326*0.97,E326*1.033)</f>
        <v>108330</v>
      </c>
      <c r="F327" s="7" t="n">
        <f aca="false">RANDBETWEEN(F326*0.97,F326*1.033)</f>
        <v>2527905</v>
      </c>
    </row>
    <row r="328" customFormat="false" ht="13.8" hidden="false" customHeight="false" outlineLevel="0" collapsed="false">
      <c r="A328" s="0" t="n">
        <v>327</v>
      </c>
      <c r="B328" s="7" t="n">
        <f aca="false">RANDBETWEEN(B327*0.97,B327*1.033)</f>
        <v>17287</v>
      </c>
      <c r="C328" s="7" t="n">
        <f aca="false">RANDBETWEEN(C327*0.97,C327*1.033)</f>
        <v>27474</v>
      </c>
      <c r="D328" s="7" t="n">
        <f aca="false">RANDBETWEEN(D327*0.97,D327*1.033)</f>
        <v>61728</v>
      </c>
      <c r="E328" s="7" t="n">
        <f aca="false">RANDBETWEEN(E327*0.97,E327*1.033)</f>
        <v>106849</v>
      </c>
      <c r="F328" s="7" t="n">
        <f aca="false">RANDBETWEEN(F327*0.97,F327*1.033)</f>
        <v>2485311</v>
      </c>
    </row>
    <row r="329" customFormat="false" ht="13.8" hidden="false" customHeight="false" outlineLevel="0" collapsed="false">
      <c r="A329" s="0" t="n">
        <v>328</v>
      </c>
      <c r="B329" s="7" t="n">
        <f aca="false">RANDBETWEEN(B328*0.97,B328*1.033)</f>
        <v>17017</v>
      </c>
      <c r="C329" s="7" t="n">
        <f aca="false">RANDBETWEEN(C328*0.97,C328*1.033)</f>
        <v>26680</v>
      </c>
      <c r="D329" s="7" t="n">
        <f aca="false">RANDBETWEEN(D328*0.97,D328*1.033)</f>
        <v>61604</v>
      </c>
      <c r="E329" s="7" t="n">
        <f aca="false">RANDBETWEEN(E328*0.97,E328*1.033)</f>
        <v>106525</v>
      </c>
      <c r="F329" s="7" t="n">
        <f aca="false">RANDBETWEEN(F328*0.97,F328*1.033)</f>
        <v>2502063</v>
      </c>
    </row>
    <row r="330" customFormat="false" ht="13.8" hidden="false" customHeight="false" outlineLevel="0" collapsed="false">
      <c r="A330" s="0" t="n">
        <v>329</v>
      </c>
      <c r="B330" s="7" t="n">
        <f aca="false">RANDBETWEEN(B329*0.97,B329*1.033)</f>
        <v>17127</v>
      </c>
      <c r="C330" s="7" t="n">
        <f aca="false">RANDBETWEEN(C329*0.97,C329*1.033)</f>
        <v>26492</v>
      </c>
      <c r="D330" s="7" t="n">
        <f aca="false">RANDBETWEEN(D329*0.97,D329*1.033)</f>
        <v>63546</v>
      </c>
      <c r="E330" s="7" t="n">
        <f aca="false">RANDBETWEEN(E329*0.97,E329*1.033)</f>
        <v>108286</v>
      </c>
      <c r="F330" s="7" t="n">
        <f aca="false">RANDBETWEEN(F329*0.97,F329*1.033)</f>
        <v>2437812</v>
      </c>
    </row>
    <row r="331" customFormat="false" ht="13.8" hidden="false" customHeight="false" outlineLevel="0" collapsed="false">
      <c r="A331" s="0" t="n">
        <v>330</v>
      </c>
      <c r="B331" s="7" t="n">
        <f aca="false">RANDBETWEEN(B330*0.97,B330*1.033)</f>
        <v>16992</v>
      </c>
      <c r="C331" s="7" t="n">
        <f aca="false">RANDBETWEEN(C330*0.97,C330*1.033)</f>
        <v>26092</v>
      </c>
      <c r="D331" s="7" t="n">
        <f aca="false">RANDBETWEEN(D330*0.97,D330*1.033)</f>
        <v>64063</v>
      </c>
      <c r="E331" s="7" t="n">
        <f aca="false">RANDBETWEEN(E330*0.97,E330*1.033)</f>
        <v>105684</v>
      </c>
      <c r="F331" s="7" t="n">
        <f aca="false">RANDBETWEEN(F330*0.97,F330*1.033)</f>
        <v>2455637</v>
      </c>
    </row>
    <row r="332" customFormat="false" ht="13.8" hidden="false" customHeight="false" outlineLevel="0" collapsed="false">
      <c r="A332" s="0" t="n">
        <v>331</v>
      </c>
      <c r="B332" s="7" t="n">
        <f aca="false">RANDBETWEEN(B331*0.97,B331*1.033)</f>
        <v>16971</v>
      </c>
      <c r="C332" s="7" t="n">
        <f aca="false">RANDBETWEEN(C331*0.97,C331*1.033)</f>
        <v>26306</v>
      </c>
      <c r="D332" s="7" t="n">
        <f aca="false">RANDBETWEEN(D331*0.97,D331*1.033)</f>
        <v>65334</v>
      </c>
      <c r="E332" s="7" t="n">
        <f aca="false">RANDBETWEEN(E331*0.97,E331*1.033)</f>
        <v>103687</v>
      </c>
      <c r="F332" s="7" t="n">
        <f aca="false">RANDBETWEEN(F331*0.97,F331*1.033)</f>
        <v>2534205</v>
      </c>
    </row>
    <row r="333" customFormat="false" ht="13.8" hidden="false" customHeight="false" outlineLevel="0" collapsed="false">
      <c r="A333" s="0" t="n">
        <v>332</v>
      </c>
      <c r="B333" s="7" t="n">
        <f aca="false">RANDBETWEEN(B332*0.97,B332*1.033)</f>
        <v>16625</v>
      </c>
      <c r="C333" s="7" t="n">
        <f aca="false">RANDBETWEEN(C332*0.97,C332*1.033)</f>
        <v>26182</v>
      </c>
      <c r="D333" s="7" t="n">
        <f aca="false">RANDBETWEEN(D332*0.97,D332*1.033)</f>
        <v>64146</v>
      </c>
      <c r="E333" s="7" t="n">
        <f aca="false">RANDBETWEEN(E332*0.97,E332*1.033)</f>
        <v>104899</v>
      </c>
      <c r="F333" s="7" t="n">
        <f aca="false">RANDBETWEEN(F332*0.97,F332*1.033)</f>
        <v>2512252</v>
      </c>
    </row>
    <row r="334" customFormat="false" ht="13.8" hidden="false" customHeight="false" outlineLevel="0" collapsed="false">
      <c r="A334" s="0" t="n">
        <v>333</v>
      </c>
      <c r="B334" s="7" t="n">
        <f aca="false">RANDBETWEEN(B333*0.97,B333*1.033)</f>
        <v>16350</v>
      </c>
      <c r="C334" s="7" t="n">
        <f aca="false">RANDBETWEEN(C333*0.97,C333*1.033)</f>
        <v>25930</v>
      </c>
      <c r="D334" s="7" t="n">
        <f aca="false">RANDBETWEEN(D333*0.97,D333*1.033)</f>
        <v>65973</v>
      </c>
      <c r="E334" s="7" t="n">
        <f aca="false">RANDBETWEEN(E333*0.97,E333*1.033)</f>
        <v>102988</v>
      </c>
      <c r="F334" s="7" t="n">
        <f aca="false">RANDBETWEEN(F333*0.97,F333*1.033)</f>
        <v>2513863</v>
      </c>
    </row>
    <row r="335" customFormat="false" ht="13.8" hidden="false" customHeight="false" outlineLevel="0" collapsed="false">
      <c r="A335" s="0" t="n">
        <v>334</v>
      </c>
      <c r="B335" s="7" t="n">
        <f aca="false">RANDBETWEEN(B334*0.97,B334*1.033)</f>
        <v>16522</v>
      </c>
      <c r="C335" s="7" t="n">
        <f aca="false">RANDBETWEEN(C334*0.97,C334*1.033)</f>
        <v>25333</v>
      </c>
      <c r="D335" s="7" t="n">
        <f aca="false">RANDBETWEEN(D334*0.97,D334*1.033)</f>
        <v>67735</v>
      </c>
      <c r="E335" s="7" t="n">
        <f aca="false">RANDBETWEEN(E334*0.97,E334*1.033)</f>
        <v>100763</v>
      </c>
      <c r="F335" s="7" t="n">
        <f aca="false">RANDBETWEEN(F334*0.97,F334*1.033)</f>
        <v>2449986</v>
      </c>
    </row>
    <row r="336" customFormat="false" ht="13.8" hidden="false" customHeight="false" outlineLevel="0" collapsed="false">
      <c r="A336" s="0" t="n">
        <v>335</v>
      </c>
      <c r="B336" s="7" t="n">
        <f aca="false">RANDBETWEEN(B335*0.97,B335*1.033)</f>
        <v>16695</v>
      </c>
      <c r="C336" s="7" t="n">
        <f aca="false">RANDBETWEEN(C335*0.97,C335*1.033)</f>
        <v>24918</v>
      </c>
      <c r="D336" s="7" t="n">
        <f aca="false">RANDBETWEEN(D335*0.97,D335*1.033)</f>
        <v>66422</v>
      </c>
      <c r="E336" s="7" t="n">
        <f aca="false">RANDBETWEEN(E335*0.97,E335*1.033)</f>
        <v>98597</v>
      </c>
      <c r="F336" s="7" t="n">
        <f aca="false">RANDBETWEEN(F335*0.97,F335*1.033)</f>
        <v>2385615</v>
      </c>
    </row>
    <row r="337" customFormat="false" ht="13.8" hidden="false" customHeight="false" outlineLevel="0" collapsed="false">
      <c r="A337" s="0" t="n">
        <v>336</v>
      </c>
      <c r="B337" s="7" t="n">
        <f aca="false">RANDBETWEEN(B336*0.97,B336*1.033)</f>
        <v>16828</v>
      </c>
      <c r="C337" s="7" t="n">
        <f aca="false">RANDBETWEEN(C336*0.97,C336*1.033)</f>
        <v>25049</v>
      </c>
      <c r="D337" s="7" t="n">
        <f aca="false">RANDBETWEEN(D336*0.97,D336*1.033)</f>
        <v>68360</v>
      </c>
      <c r="E337" s="7" t="n">
        <f aca="false">RANDBETWEEN(E336*0.97,E336*1.033)</f>
        <v>100322</v>
      </c>
      <c r="F337" s="7" t="n">
        <f aca="false">RANDBETWEEN(F336*0.97,F336*1.033)</f>
        <v>2435743</v>
      </c>
    </row>
    <row r="338" customFormat="false" ht="13.8" hidden="false" customHeight="false" outlineLevel="0" collapsed="false">
      <c r="A338" s="0" t="n">
        <v>337</v>
      </c>
      <c r="B338" s="7" t="n">
        <f aca="false">RANDBETWEEN(B337*0.97,B337*1.033)</f>
        <v>17152</v>
      </c>
      <c r="C338" s="7" t="n">
        <f aca="false">RANDBETWEEN(C337*0.97,C337*1.033)</f>
        <v>24790</v>
      </c>
      <c r="D338" s="7" t="n">
        <f aca="false">RANDBETWEEN(D337*0.97,D337*1.033)</f>
        <v>66846</v>
      </c>
      <c r="E338" s="7" t="n">
        <f aca="false">RANDBETWEEN(E337*0.97,E337*1.033)</f>
        <v>103286</v>
      </c>
      <c r="F338" s="7" t="n">
        <f aca="false">RANDBETWEEN(F337*0.97,F337*1.033)</f>
        <v>2458125</v>
      </c>
    </row>
    <row r="339" customFormat="false" ht="13.8" hidden="false" customHeight="false" outlineLevel="0" collapsed="false">
      <c r="A339" s="0" t="n">
        <v>338</v>
      </c>
      <c r="B339" s="7" t="n">
        <f aca="false">RANDBETWEEN(B338*0.97,B338*1.033)</f>
        <v>17451</v>
      </c>
      <c r="C339" s="7" t="n">
        <f aca="false">RANDBETWEEN(C338*0.97,C338*1.033)</f>
        <v>25478</v>
      </c>
      <c r="D339" s="7" t="n">
        <f aca="false">RANDBETWEEN(D338*0.97,D338*1.033)</f>
        <v>67887</v>
      </c>
      <c r="E339" s="7" t="n">
        <f aca="false">RANDBETWEEN(E338*0.97,E338*1.033)</f>
        <v>106364</v>
      </c>
      <c r="F339" s="7" t="n">
        <f aca="false">RANDBETWEEN(F338*0.97,F338*1.033)</f>
        <v>2527894</v>
      </c>
    </row>
    <row r="340" customFormat="false" ht="13.8" hidden="false" customHeight="false" outlineLevel="0" collapsed="false">
      <c r="A340" s="0" t="n">
        <v>339</v>
      </c>
      <c r="B340" s="7" t="n">
        <f aca="false">RANDBETWEEN(B339*0.97,B339*1.033)</f>
        <v>17035</v>
      </c>
      <c r="C340" s="7" t="n">
        <f aca="false">RANDBETWEEN(C339*0.97,C339*1.033)</f>
        <v>25114</v>
      </c>
      <c r="D340" s="7" t="n">
        <f aca="false">RANDBETWEEN(D339*0.97,D339*1.033)</f>
        <v>68408</v>
      </c>
      <c r="E340" s="7" t="n">
        <f aca="false">RANDBETWEEN(E339*0.97,E339*1.033)</f>
        <v>105555</v>
      </c>
      <c r="F340" s="7" t="n">
        <f aca="false">RANDBETWEEN(F339*0.97,F339*1.033)</f>
        <v>2491423</v>
      </c>
    </row>
    <row r="341" customFormat="false" ht="13.8" hidden="false" customHeight="false" outlineLevel="0" collapsed="false">
      <c r="A341" s="0" t="n">
        <v>340</v>
      </c>
      <c r="B341" s="7" t="n">
        <f aca="false">RANDBETWEEN(B340*0.97,B340*1.033)</f>
        <v>16960</v>
      </c>
      <c r="C341" s="7" t="n">
        <f aca="false">RANDBETWEEN(C340*0.97,C340*1.033)</f>
        <v>25502</v>
      </c>
      <c r="D341" s="7" t="n">
        <f aca="false">RANDBETWEEN(D340*0.97,D340*1.033)</f>
        <v>70429</v>
      </c>
      <c r="E341" s="7" t="n">
        <f aca="false">RANDBETWEEN(E340*0.97,E340*1.033)</f>
        <v>108471</v>
      </c>
      <c r="F341" s="7" t="n">
        <f aca="false">RANDBETWEEN(F340*0.97,F340*1.033)</f>
        <v>2450719</v>
      </c>
    </row>
    <row r="342" customFormat="false" ht="13.8" hidden="false" customHeight="false" outlineLevel="0" collapsed="false">
      <c r="A342" s="0" t="n">
        <v>341</v>
      </c>
      <c r="B342" s="7" t="n">
        <f aca="false">RANDBETWEEN(B341*0.97,B341*1.033)</f>
        <v>17267</v>
      </c>
      <c r="C342" s="7" t="n">
        <f aca="false">RANDBETWEEN(C341*0.97,C341*1.033)</f>
        <v>25145</v>
      </c>
      <c r="D342" s="7" t="n">
        <f aca="false">RANDBETWEEN(D341*0.97,D341*1.033)</f>
        <v>72670</v>
      </c>
      <c r="E342" s="7" t="n">
        <f aca="false">RANDBETWEEN(E341*0.97,E341*1.033)</f>
        <v>111372</v>
      </c>
      <c r="F342" s="7" t="n">
        <f aca="false">RANDBETWEEN(F341*0.97,F341*1.033)</f>
        <v>2387551</v>
      </c>
    </row>
    <row r="343" customFormat="false" ht="13.8" hidden="false" customHeight="false" outlineLevel="0" collapsed="false">
      <c r="A343" s="0" t="n">
        <v>342</v>
      </c>
      <c r="B343" s="7" t="n">
        <f aca="false">RANDBETWEEN(B342*0.97,B342*1.033)</f>
        <v>16882</v>
      </c>
      <c r="C343" s="7" t="n">
        <f aca="false">RANDBETWEEN(C342*0.97,C342*1.033)</f>
        <v>25820</v>
      </c>
      <c r="D343" s="7" t="n">
        <f aca="false">RANDBETWEEN(D342*0.97,D342*1.033)</f>
        <v>71749</v>
      </c>
      <c r="E343" s="7" t="n">
        <f aca="false">RANDBETWEEN(E342*0.97,E342*1.033)</f>
        <v>109443</v>
      </c>
      <c r="F343" s="7" t="n">
        <f aca="false">RANDBETWEEN(F342*0.97,F342*1.033)</f>
        <v>2440095</v>
      </c>
    </row>
    <row r="344" customFormat="false" ht="13.8" hidden="false" customHeight="false" outlineLevel="0" collapsed="false">
      <c r="A344" s="0" t="n">
        <v>343</v>
      </c>
      <c r="B344" s="7" t="n">
        <f aca="false">RANDBETWEEN(B343*0.97,B343*1.033)</f>
        <v>16576</v>
      </c>
      <c r="C344" s="7" t="n">
        <f aca="false">RANDBETWEEN(C343*0.97,C343*1.033)</f>
        <v>25600</v>
      </c>
      <c r="D344" s="7" t="n">
        <f aca="false">RANDBETWEEN(D343*0.97,D343*1.033)</f>
        <v>70507</v>
      </c>
      <c r="E344" s="7" t="n">
        <f aca="false">RANDBETWEEN(E343*0.97,E343*1.033)</f>
        <v>109842</v>
      </c>
      <c r="F344" s="7" t="n">
        <f aca="false">RANDBETWEEN(F343*0.97,F343*1.033)</f>
        <v>2391539</v>
      </c>
    </row>
    <row r="345" customFormat="false" ht="13.8" hidden="false" customHeight="false" outlineLevel="0" collapsed="false">
      <c r="A345" s="0" t="n">
        <v>344</v>
      </c>
      <c r="B345" s="7" t="n">
        <f aca="false">RANDBETWEEN(B344*0.97,B344*1.033)</f>
        <v>16338</v>
      </c>
      <c r="C345" s="7" t="n">
        <f aca="false">RANDBETWEEN(C344*0.97,C344*1.033)</f>
        <v>26256</v>
      </c>
      <c r="D345" s="7" t="n">
        <f aca="false">RANDBETWEEN(D344*0.97,D344*1.033)</f>
        <v>70087</v>
      </c>
      <c r="E345" s="7" t="n">
        <f aca="false">RANDBETWEEN(E344*0.97,E344*1.033)</f>
        <v>109982</v>
      </c>
      <c r="F345" s="7" t="n">
        <f aca="false">RANDBETWEEN(F344*0.97,F344*1.033)</f>
        <v>2411880</v>
      </c>
    </row>
    <row r="346" customFormat="false" ht="13.8" hidden="false" customHeight="false" outlineLevel="0" collapsed="false">
      <c r="A346" s="0" t="n">
        <v>345</v>
      </c>
      <c r="B346" s="7" t="n">
        <f aca="false">RANDBETWEEN(B345*0.97,B345*1.033)</f>
        <v>16619</v>
      </c>
      <c r="C346" s="7" t="n">
        <f aca="false">RANDBETWEEN(C345*0.97,C345*1.033)</f>
        <v>25955</v>
      </c>
      <c r="D346" s="7" t="n">
        <f aca="false">RANDBETWEEN(D345*0.97,D345*1.033)</f>
        <v>71026</v>
      </c>
      <c r="E346" s="7" t="n">
        <f aca="false">RANDBETWEEN(E345*0.97,E345*1.033)</f>
        <v>113226</v>
      </c>
      <c r="F346" s="7" t="n">
        <f aca="false">RANDBETWEEN(F345*0.97,F345*1.033)</f>
        <v>2451558</v>
      </c>
    </row>
    <row r="347" customFormat="false" ht="13.8" hidden="false" customHeight="false" outlineLevel="0" collapsed="false">
      <c r="A347" s="0" t="n">
        <v>346</v>
      </c>
      <c r="B347" s="7" t="n">
        <f aca="false">RANDBETWEEN(B346*0.97,B346*1.033)</f>
        <v>16872</v>
      </c>
      <c r="C347" s="7" t="n">
        <f aca="false">RANDBETWEEN(C346*0.97,C346*1.033)</f>
        <v>25451</v>
      </c>
      <c r="D347" s="7" t="n">
        <f aca="false">RANDBETWEEN(D346*0.97,D346*1.033)</f>
        <v>69468</v>
      </c>
      <c r="E347" s="7" t="n">
        <f aca="false">RANDBETWEEN(E346*0.97,E346*1.033)</f>
        <v>112492</v>
      </c>
      <c r="F347" s="7" t="n">
        <f aca="false">RANDBETWEEN(F346*0.97,F346*1.033)</f>
        <v>2468083</v>
      </c>
    </row>
    <row r="348" customFormat="false" ht="13.8" hidden="false" customHeight="false" outlineLevel="0" collapsed="false">
      <c r="A348" s="0" t="n">
        <v>347</v>
      </c>
      <c r="B348" s="7" t="n">
        <f aca="false">RANDBETWEEN(B347*0.97,B347*1.033)</f>
        <v>17024</v>
      </c>
      <c r="C348" s="7" t="n">
        <f aca="false">RANDBETWEEN(C347*0.97,C347*1.033)</f>
        <v>25857</v>
      </c>
      <c r="D348" s="7" t="n">
        <f aca="false">RANDBETWEEN(D347*0.97,D347*1.033)</f>
        <v>70645</v>
      </c>
      <c r="E348" s="7" t="n">
        <f aca="false">RANDBETWEEN(E347*0.97,E347*1.033)</f>
        <v>111913</v>
      </c>
      <c r="F348" s="7" t="n">
        <f aca="false">RANDBETWEEN(F347*0.97,F347*1.033)</f>
        <v>2425187</v>
      </c>
    </row>
    <row r="349" customFormat="false" ht="13.8" hidden="false" customHeight="false" outlineLevel="0" collapsed="false">
      <c r="A349" s="0" t="n">
        <v>348</v>
      </c>
      <c r="B349" s="7" t="n">
        <f aca="false">RANDBETWEEN(B348*0.97,B348*1.033)</f>
        <v>16775</v>
      </c>
      <c r="C349" s="7" t="n">
        <f aca="false">RANDBETWEEN(C348*0.97,C348*1.033)</f>
        <v>25596</v>
      </c>
      <c r="D349" s="7" t="n">
        <f aca="false">RANDBETWEEN(D348*0.97,D348*1.033)</f>
        <v>69704</v>
      </c>
      <c r="E349" s="7" t="n">
        <f aca="false">RANDBETWEEN(E348*0.97,E348*1.033)</f>
        <v>111328</v>
      </c>
      <c r="F349" s="7" t="n">
        <f aca="false">RANDBETWEEN(F348*0.97,F348*1.033)</f>
        <v>2500363</v>
      </c>
    </row>
    <row r="350" customFormat="false" ht="13.8" hidden="false" customHeight="false" outlineLevel="0" collapsed="false">
      <c r="A350" s="0" t="n">
        <v>349</v>
      </c>
      <c r="B350" s="7" t="n">
        <f aca="false">RANDBETWEEN(B349*0.97,B349*1.033)</f>
        <v>16648</v>
      </c>
      <c r="C350" s="7" t="n">
        <f aca="false">RANDBETWEEN(C349*0.97,C349*1.033)</f>
        <v>25452</v>
      </c>
      <c r="D350" s="7" t="n">
        <f aca="false">RANDBETWEEN(D349*0.97,D349*1.033)</f>
        <v>69932</v>
      </c>
      <c r="E350" s="7" t="n">
        <f aca="false">RANDBETWEEN(E349*0.97,E349*1.033)</f>
        <v>113509</v>
      </c>
      <c r="F350" s="7" t="n">
        <f aca="false">RANDBETWEEN(F349*0.97,F349*1.033)</f>
        <v>2536143</v>
      </c>
    </row>
    <row r="351" customFormat="false" ht="13.8" hidden="false" customHeight="false" outlineLevel="0" collapsed="false">
      <c r="A351" s="0" t="n">
        <v>350</v>
      </c>
      <c r="B351" s="7" t="n">
        <f aca="false">RANDBETWEEN(B350*0.97,B350*1.033)</f>
        <v>16447</v>
      </c>
      <c r="C351" s="7" t="n">
        <f aca="false">RANDBETWEEN(C350*0.97,C350*1.033)</f>
        <v>26139</v>
      </c>
      <c r="D351" s="7" t="n">
        <f aca="false">RANDBETWEEN(D350*0.97,D350*1.033)</f>
        <v>71783</v>
      </c>
      <c r="E351" s="7" t="n">
        <f aca="false">RANDBETWEEN(E350*0.97,E350*1.033)</f>
        <v>110664</v>
      </c>
      <c r="F351" s="7" t="n">
        <f aca="false">RANDBETWEEN(F350*0.97,F350*1.033)</f>
        <v>2555116</v>
      </c>
    </row>
    <row r="352" customFormat="false" ht="13.8" hidden="false" customHeight="false" outlineLevel="0" collapsed="false">
      <c r="A352" s="0" t="n">
        <v>351</v>
      </c>
      <c r="B352" s="7" t="n">
        <f aca="false">RANDBETWEEN(B351*0.97,B351*1.033)</f>
        <v>16503</v>
      </c>
      <c r="C352" s="7" t="n">
        <f aca="false">RANDBETWEEN(C351*0.97,C351*1.033)</f>
        <v>26882</v>
      </c>
      <c r="D352" s="7" t="n">
        <f aca="false">RANDBETWEEN(D351*0.97,D351*1.033)</f>
        <v>73198</v>
      </c>
      <c r="E352" s="7" t="n">
        <f aca="false">RANDBETWEEN(E351*0.97,E351*1.033)</f>
        <v>108877</v>
      </c>
      <c r="F352" s="7" t="n">
        <f aca="false">RANDBETWEEN(F351*0.97,F351*1.033)</f>
        <v>2611040</v>
      </c>
    </row>
    <row r="353" customFormat="false" ht="13.8" hidden="false" customHeight="false" outlineLevel="0" collapsed="false">
      <c r="A353" s="0" t="n">
        <v>352</v>
      </c>
      <c r="B353" s="7" t="n">
        <f aca="false">RANDBETWEEN(B352*0.97,B352*1.033)</f>
        <v>16440</v>
      </c>
      <c r="C353" s="7" t="n">
        <f aca="false">RANDBETWEEN(C352*0.97,C352*1.033)</f>
        <v>27406</v>
      </c>
      <c r="D353" s="7" t="n">
        <f aca="false">RANDBETWEEN(D352*0.97,D352*1.033)</f>
        <v>74136</v>
      </c>
      <c r="E353" s="7" t="n">
        <f aca="false">RANDBETWEEN(E352*0.97,E352*1.033)</f>
        <v>108997</v>
      </c>
      <c r="F353" s="7" t="n">
        <f aca="false">RANDBETWEEN(F352*0.97,F352*1.033)</f>
        <v>2670172</v>
      </c>
    </row>
    <row r="354" customFormat="false" ht="13.8" hidden="false" customHeight="false" outlineLevel="0" collapsed="false">
      <c r="A354" s="0" t="n">
        <v>353</v>
      </c>
      <c r="B354" s="7" t="n">
        <f aca="false">RANDBETWEEN(B353*0.97,B353*1.033)</f>
        <v>16523</v>
      </c>
      <c r="C354" s="7" t="n">
        <f aca="false">RANDBETWEEN(C353*0.97,C353*1.033)</f>
        <v>26948</v>
      </c>
      <c r="D354" s="7" t="n">
        <f aca="false">RANDBETWEEN(D353*0.97,D353*1.033)</f>
        <v>73753</v>
      </c>
      <c r="E354" s="7" t="n">
        <f aca="false">RANDBETWEEN(E353*0.97,E353*1.033)</f>
        <v>111877</v>
      </c>
      <c r="F354" s="7" t="n">
        <f aca="false">RANDBETWEEN(F353*0.97,F353*1.033)</f>
        <v>2618422</v>
      </c>
    </row>
    <row r="355" customFormat="false" ht="13.8" hidden="false" customHeight="false" outlineLevel="0" collapsed="false">
      <c r="A355" s="0" t="n">
        <v>354</v>
      </c>
      <c r="B355" s="7" t="n">
        <f aca="false">RANDBETWEEN(B354*0.97,B354*1.033)</f>
        <v>16799</v>
      </c>
      <c r="C355" s="7" t="n">
        <f aca="false">RANDBETWEEN(C354*0.97,C354*1.033)</f>
        <v>26818</v>
      </c>
      <c r="D355" s="7" t="n">
        <f aca="false">RANDBETWEEN(D354*0.97,D354*1.033)</f>
        <v>73763</v>
      </c>
      <c r="E355" s="7" t="n">
        <f aca="false">RANDBETWEEN(E354*0.97,E354*1.033)</f>
        <v>110102</v>
      </c>
      <c r="F355" s="7" t="n">
        <f aca="false">RANDBETWEEN(F354*0.97,F354*1.033)</f>
        <v>2558290</v>
      </c>
    </row>
    <row r="356" customFormat="false" ht="13.8" hidden="false" customHeight="false" outlineLevel="0" collapsed="false">
      <c r="A356" s="0" t="n">
        <v>355</v>
      </c>
      <c r="B356" s="7" t="n">
        <f aca="false">RANDBETWEEN(B355*0.97,B355*1.033)</f>
        <v>17179</v>
      </c>
      <c r="C356" s="7" t="n">
        <f aca="false">RANDBETWEEN(C355*0.97,C355*1.033)</f>
        <v>27085</v>
      </c>
      <c r="D356" s="7" t="n">
        <f aca="false">RANDBETWEEN(D355*0.97,D355*1.033)</f>
        <v>75396</v>
      </c>
      <c r="E356" s="7" t="n">
        <f aca="false">RANDBETWEEN(E355*0.97,E355*1.033)</f>
        <v>113371</v>
      </c>
      <c r="F356" s="7" t="n">
        <f aca="false">RANDBETWEEN(F355*0.97,F355*1.033)</f>
        <v>2591019</v>
      </c>
    </row>
    <row r="357" customFormat="false" ht="13.8" hidden="false" customHeight="false" outlineLevel="0" collapsed="false">
      <c r="A357" s="0" t="n">
        <v>356</v>
      </c>
      <c r="B357" s="7" t="n">
        <f aca="false">RANDBETWEEN(B356*0.97,B356*1.033)</f>
        <v>17690</v>
      </c>
      <c r="C357" s="7" t="n">
        <f aca="false">RANDBETWEEN(C356*0.97,C356*1.033)</f>
        <v>27158</v>
      </c>
      <c r="D357" s="7" t="n">
        <f aca="false">RANDBETWEEN(D356*0.97,D356*1.033)</f>
        <v>73902</v>
      </c>
      <c r="E357" s="7" t="n">
        <f aca="false">RANDBETWEEN(E356*0.97,E356*1.033)</f>
        <v>110190</v>
      </c>
      <c r="F357" s="7" t="n">
        <f aca="false">RANDBETWEEN(F356*0.97,F356*1.033)</f>
        <v>2607717</v>
      </c>
    </row>
    <row r="358" customFormat="false" ht="13.8" hidden="false" customHeight="false" outlineLevel="0" collapsed="false">
      <c r="A358" s="0" t="n">
        <v>357</v>
      </c>
      <c r="B358" s="7" t="n">
        <f aca="false">RANDBETWEEN(B357*0.97,B357*1.033)</f>
        <v>17792</v>
      </c>
      <c r="C358" s="7" t="n">
        <f aca="false">RANDBETWEEN(C357*0.97,C357*1.033)</f>
        <v>27474</v>
      </c>
      <c r="D358" s="7" t="n">
        <f aca="false">RANDBETWEEN(D357*0.97,D357*1.033)</f>
        <v>72694</v>
      </c>
      <c r="E358" s="7" t="n">
        <f aca="false">RANDBETWEEN(E357*0.97,E357*1.033)</f>
        <v>111290</v>
      </c>
      <c r="F358" s="7" t="n">
        <f aca="false">RANDBETWEEN(F357*0.97,F357*1.033)</f>
        <v>2558290</v>
      </c>
    </row>
    <row r="359" customFormat="false" ht="13.8" hidden="false" customHeight="false" outlineLevel="0" collapsed="false">
      <c r="A359" s="0" t="n">
        <v>358</v>
      </c>
      <c r="B359" s="7" t="n">
        <f aca="false">RANDBETWEEN(B358*0.97,B358*1.033)</f>
        <v>17476</v>
      </c>
      <c r="C359" s="7" t="n">
        <f aca="false">RANDBETWEEN(C358*0.97,C358*1.033)</f>
        <v>26684</v>
      </c>
      <c r="D359" s="7" t="n">
        <f aca="false">RANDBETWEEN(D358*0.97,D358*1.033)</f>
        <v>72040</v>
      </c>
      <c r="E359" s="7" t="n">
        <f aca="false">RANDBETWEEN(E358*0.97,E358*1.033)</f>
        <v>110564</v>
      </c>
      <c r="F359" s="7" t="n">
        <f aca="false">RANDBETWEEN(F358*0.97,F358*1.033)</f>
        <v>2584717</v>
      </c>
    </row>
    <row r="360" customFormat="false" ht="13.8" hidden="false" customHeight="false" outlineLevel="0" collapsed="false">
      <c r="A360" s="0" t="n">
        <v>359</v>
      </c>
      <c r="B360" s="7" t="n">
        <f aca="false">RANDBETWEEN(B359*0.97,B359*1.033)</f>
        <v>17465</v>
      </c>
      <c r="C360" s="7" t="n">
        <f aca="false">RANDBETWEEN(C359*0.97,C359*1.033)</f>
        <v>27557</v>
      </c>
      <c r="D360" s="7" t="n">
        <f aca="false">RANDBETWEEN(D359*0.97,D359*1.033)</f>
        <v>74020</v>
      </c>
      <c r="E360" s="7" t="n">
        <f aca="false">RANDBETWEEN(E359*0.97,E359*1.033)</f>
        <v>112694</v>
      </c>
      <c r="F360" s="7" t="n">
        <f aca="false">RANDBETWEEN(F359*0.97,F359*1.033)</f>
        <v>2594127</v>
      </c>
    </row>
    <row r="361" customFormat="false" ht="13.8" hidden="false" customHeight="false" outlineLevel="0" collapsed="false">
      <c r="A361" s="0" t="n">
        <v>360</v>
      </c>
      <c r="B361" s="7" t="n">
        <f aca="false">RANDBETWEEN(B360*0.97,B360*1.033)</f>
        <v>17124</v>
      </c>
      <c r="C361" s="7" t="n">
        <f aca="false">RANDBETWEEN(C360*0.97,C360*1.033)</f>
        <v>27860</v>
      </c>
      <c r="D361" s="7" t="n">
        <f aca="false">RANDBETWEEN(D360*0.97,D360*1.033)</f>
        <v>75674</v>
      </c>
      <c r="E361" s="7" t="n">
        <f aca="false">RANDBETWEEN(E360*0.97,E360*1.033)</f>
        <v>113529</v>
      </c>
      <c r="F361" s="7" t="n">
        <f aca="false">RANDBETWEEN(F360*0.97,F360*1.033)</f>
        <v>2613843</v>
      </c>
    </row>
    <row r="362" customFormat="false" ht="13.8" hidden="false" customHeight="false" outlineLevel="0" collapsed="false">
      <c r="A362" s="0" t="n">
        <v>361</v>
      </c>
      <c r="B362" s="7" t="n">
        <f aca="false">RANDBETWEEN(B361*0.97,B361*1.033)</f>
        <v>17684</v>
      </c>
      <c r="C362" s="7" t="n">
        <f aca="false">RANDBETWEEN(C361*0.97,C361*1.033)</f>
        <v>28028</v>
      </c>
      <c r="D362" s="7" t="n">
        <f aca="false">RANDBETWEEN(D361*0.97,D361*1.033)</f>
        <v>77779</v>
      </c>
      <c r="E362" s="7" t="n">
        <f aca="false">RANDBETWEEN(E361*0.97,E361*1.033)</f>
        <v>114079</v>
      </c>
      <c r="F362" s="7" t="n">
        <f aca="false">RANDBETWEEN(F361*0.97,F361*1.033)</f>
        <v>2677241</v>
      </c>
    </row>
    <row r="363" customFormat="false" ht="13.8" hidden="false" customHeight="false" outlineLevel="0" collapsed="false">
      <c r="A363" s="0" t="n">
        <v>362</v>
      </c>
      <c r="B363" s="7" t="n">
        <f aca="false">RANDBETWEEN(B362*0.97,B362*1.033)</f>
        <v>17507</v>
      </c>
      <c r="C363" s="7" t="n">
        <f aca="false">RANDBETWEEN(C362*0.97,C362*1.033)</f>
        <v>27820</v>
      </c>
      <c r="D363" s="7" t="n">
        <f aca="false">RANDBETWEEN(D362*0.97,D362*1.033)</f>
        <v>75515</v>
      </c>
      <c r="E363" s="7" t="n">
        <f aca="false">RANDBETWEEN(E362*0.97,E362*1.033)</f>
        <v>111405</v>
      </c>
      <c r="F363" s="7" t="n">
        <f aca="false">RANDBETWEEN(F362*0.97,F362*1.033)</f>
        <v>2729062</v>
      </c>
    </row>
    <row r="364" customFormat="false" ht="13.8" hidden="false" customHeight="false" outlineLevel="0" collapsed="false">
      <c r="A364" s="0" t="n">
        <v>363</v>
      </c>
      <c r="B364" s="7" t="n">
        <f aca="false">RANDBETWEEN(B363*0.97,B363*1.033)</f>
        <v>17165</v>
      </c>
      <c r="C364" s="7" t="n">
        <f aca="false">RANDBETWEEN(C363*0.97,C363*1.033)</f>
        <v>27197</v>
      </c>
      <c r="D364" s="7" t="n">
        <f aca="false">RANDBETWEEN(D363*0.97,D363*1.033)</f>
        <v>74531</v>
      </c>
      <c r="E364" s="7" t="n">
        <f aca="false">RANDBETWEEN(E363*0.97,E363*1.033)</f>
        <v>110488</v>
      </c>
      <c r="F364" s="7" t="n">
        <f aca="false">RANDBETWEEN(F363*0.97,F363*1.033)</f>
        <v>2786924</v>
      </c>
    </row>
    <row r="365" customFormat="false" ht="13.8" hidden="false" customHeight="false" outlineLevel="0" collapsed="false">
      <c r="A365" s="0" t="n">
        <v>364</v>
      </c>
      <c r="B365" s="7" t="n">
        <f aca="false">RANDBETWEEN(B364*0.97,B364*1.033)</f>
        <v>17336</v>
      </c>
      <c r="C365" s="7" t="n">
        <f aca="false">RANDBETWEEN(C364*0.97,C364*1.033)</f>
        <v>27713</v>
      </c>
      <c r="D365" s="7" t="n">
        <f aca="false">RANDBETWEEN(D364*0.97,D364*1.033)</f>
        <v>76756</v>
      </c>
      <c r="E365" s="7" t="n">
        <f aca="false">RANDBETWEEN(E364*0.97,E364*1.033)</f>
        <v>109211</v>
      </c>
      <c r="F365" s="7" t="n">
        <f aca="false">RANDBETWEEN(F364*0.97,F364*1.033)</f>
        <v>2807906</v>
      </c>
    </row>
    <row r="366" customFormat="false" ht="13.8" hidden="false" customHeight="false" outlineLevel="0" collapsed="false">
      <c r="A366" s="0" t="n">
        <v>365</v>
      </c>
      <c r="B366" s="7" t="n">
        <f aca="false">RANDBETWEEN(B365*0.97,B365*1.033)</f>
        <v>17374</v>
      </c>
      <c r="C366" s="7" t="n">
        <f aca="false">RANDBETWEEN(C365*0.97,C365*1.033)</f>
        <v>28014</v>
      </c>
      <c r="D366" s="7" t="n">
        <f aca="false">RANDBETWEEN(D365*0.97,D365*1.033)</f>
        <v>74930</v>
      </c>
      <c r="E366" s="7" t="n">
        <f aca="false">RANDBETWEEN(E365*0.97,E365*1.033)</f>
        <v>110410</v>
      </c>
      <c r="F366" s="7" t="n">
        <f aca="false">RANDBETWEEN(F365*0.97,F365*1.033)</f>
        <v>2824748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ColWidth="10.58203125" defaultRowHeight="13.8" zeroHeight="false" outlineLevelRow="0" outlineLevelCol="0"/>
  <cols>
    <col collapsed="false" customWidth="true" hidden="false" outlineLevel="0" max="3" min="2" style="7" width="14.86"/>
    <col collapsed="false" customWidth="true" hidden="false" outlineLevel="0" max="4" min="4" style="7" width="16.27"/>
    <col collapsed="false" customWidth="true" hidden="false" outlineLevel="0" max="5" min="5" style="7" width="14.86"/>
    <col collapsed="false" customWidth="true" hidden="false" outlineLevel="0" max="7" min="6" style="7" width="16.27"/>
    <col collapsed="false" customWidth="false" hidden="false" outlineLevel="0" max="8" min="8" style="9" width="10.6"/>
  </cols>
  <sheetData>
    <row r="1" customFormat="false" ht="16.4" hidden="false" customHeight="false" outlineLevel="0" collapsed="false">
      <c r="A1" s="4" t="s">
        <v>34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35</v>
      </c>
      <c r="H1" s="10" t="s">
        <v>36</v>
      </c>
    </row>
    <row r="2" customFormat="false" ht="13.8" hidden="false" customHeight="false" outlineLevel="0" collapsed="false">
      <c r="A2" s="0" t="n">
        <v>1</v>
      </c>
      <c r="B2" s="7" t="n">
        <f aca="false">'종목 기본정보'!B$2*'일자별 주가'!B2</f>
        <v>100000000000</v>
      </c>
      <c r="C2" s="7" t="n">
        <f aca="false">'종목 기본정보'!C$2*'일자별 주가'!C2</f>
        <v>100000000000</v>
      </c>
      <c r="D2" s="7" t="n">
        <f aca="false">'종목 기본정보'!D$2*'일자별 주가'!D2</f>
        <v>600000000000</v>
      </c>
      <c r="E2" s="7" t="n">
        <f aca="false">'종목 기본정보'!E$2*'일자별 주가'!E2</f>
        <v>100000000000</v>
      </c>
      <c r="F2" s="7" t="n">
        <f aca="false">'종목 기본정보'!F$2*'일자별 주가'!F2</f>
        <v>1000000000000</v>
      </c>
      <c r="G2" s="7" t="n">
        <f aca="false">SUM(B2:F2)</f>
        <v>1900000000000</v>
      </c>
      <c r="H2" s="9" t="n">
        <f aca="false">G2*100/G$2</f>
        <v>100</v>
      </c>
    </row>
    <row r="3" customFormat="false" ht="13.8" hidden="false" customHeight="false" outlineLevel="0" collapsed="false">
      <c r="A3" s="0" t="n">
        <v>2</v>
      </c>
      <c r="B3" s="7" t="n">
        <f aca="false">'종목 기본정보'!B$2*'일자별 주가'!B3</f>
        <v>99450000000</v>
      </c>
      <c r="C3" s="7" t="n">
        <f aca="false">'종목 기본정보'!C$2*'일자별 주가'!C3</f>
        <v>97430000000</v>
      </c>
      <c r="D3" s="7" t="n">
        <f aca="false">'종목 기본정보'!D$2*'일자별 주가'!D3</f>
        <v>593000000000</v>
      </c>
      <c r="E3" s="7" t="n">
        <f aca="false">'종목 기본정보'!E$2*'일자별 주가'!E3</f>
        <v>99269000000</v>
      </c>
      <c r="F3" s="7" t="n">
        <f aca="false">'종목 기본정보'!F$2*'일자별 주가'!F3</f>
        <v>1002417000000</v>
      </c>
      <c r="G3" s="7" t="n">
        <f aca="false">SUM(B3:F3)</f>
        <v>1891566000000</v>
      </c>
      <c r="H3" s="9" t="n">
        <f aca="false">G3*100/G$2</f>
        <v>99.5561052631579</v>
      </c>
    </row>
    <row r="4" customFormat="false" ht="13.8" hidden="false" customHeight="false" outlineLevel="0" collapsed="false">
      <c r="A4" s="0" t="n">
        <v>3</v>
      </c>
      <c r="B4" s="7" t="n">
        <f aca="false">'종목 기본정보'!B$2*'일자별 주가'!B4</f>
        <v>101120000000</v>
      </c>
      <c r="C4" s="7" t="n">
        <f aca="false">'종목 기본정보'!C$2*'일자별 주가'!C4</f>
        <v>99090000000</v>
      </c>
      <c r="D4" s="7" t="n">
        <f aca="false">'종목 기본정보'!D$2*'일자별 주가'!D4</f>
        <v>595120000000</v>
      </c>
      <c r="E4" s="7" t="n">
        <f aca="false">'종목 기본정보'!E$2*'일자별 주가'!E4</f>
        <v>100443000000</v>
      </c>
      <c r="F4" s="7" t="n">
        <f aca="false">'종목 기본정보'!F$2*'일자별 주가'!F4</f>
        <v>982924000000</v>
      </c>
      <c r="G4" s="7" t="n">
        <f aca="false">SUM(B4:F4)</f>
        <v>1878697000000</v>
      </c>
      <c r="H4" s="9" t="n">
        <f aca="false">G4*100/G$2</f>
        <v>98.8787894736842</v>
      </c>
    </row>
    <row r="5" customFormat="false" ht="13.8" hidden="false" customHeight="false" outlineLevel="0" collapsed="false">
      <c r="A5" s="0" t="n">
        <v>4</v>
      </c>
      <c r="B5" s="7" t="n">
        <f aca="false">'종목 기본정보'!B$2*'일자별 주가'!B5</f>
        <v>98850000000</v>
      </c>
      <c r="C5" s="7" t="n">
        <f aca="false">'종목 기본정보'!C$2*'일자별 주가'!C5</f>
        <v>101230000000</v>
      </c>
      <c r="D5" s="7" t="n">
        <f aca="false">'종목 기본정보'!D$2*'일자별 주가'!D5</f>
        <v>605840000000</v>
      </c>
      <c r="E5" s="7" t="n">
        <f aca="false">'종목 기본정보'!E$2*'일자별 주가'!E5</f>
        <v>100388000000</v>
      </c>
      <c r="F5" s="7" t="n">
        <f aca="false">'종목 기본정보'!F$2*'일자별 주가'!F5</f>
        <v>1012472000000</v>
      </c>
      <c r="G5" s="7" t="n">
        <f aca="false">SUM(B5:F5)</f>
        <v>1918780000000</v>
      </c>
      <c r="H5" s="9" t="n">
        <f aca="false">G5*100/G$2</f>
        <v>100.988421052632</v>
      </c>
    </row>
    <row r="6" customFormat="false" ht="13.8" hidden="false" customHeight="false" outlineLevel="0" collapsed="false">
      <c r="A6" s="0" t="n">
        <v>5</v>
      </c>
      <c r="B6" s="7" t="n">
        <f aca="false">'종목 기본정보'!B$2*'일자별 주가'!B6</f>
        <v>98230000000</v>
      </c>
      <c r="C6" s="7" t="n">
        <f aca="false">'종목 기본정보'!C$2*'일자별 주가'!C6</f>
        <v>103170000000</v>
      </c>
      <c r="D6" s="7" t="n">
        <f aca="false">'종목 기본정보'!D$2*'일자별 주가'!D6</f>
        <v>603420000000</v>
      </c>
      <c r="E6" s="7" t="n">
        <f aca="false">'종목 기본정보'!E$2*'일자별 주가'!E6</f>
        <v>101056000000</v>
      </c>
      <c r="F6" s="7" t="n">
        <f aca="false">'종목 기본정보'!F$2*'일자별 주가'!F6</f>
        <v>994912000000</v>
      </c>
      <c r="G6" s="7" t="n">
        <f aca="false">SUM(B6:F6)</f>
        <v>1900788000000</v>
      </c>
      <c r="H6" s="9" t="n">
        <f aca="false">G6*100/G$2</f>
        <v>100.041473684211</v>
      </c>
    </row>
    <row r="7" customFormat="false" ht="13.8" hidden="false" customHeight="false" outlineLevel="0" collapsed="false">
      <c r="A7" s="0" t="n">
        <v>6</v>
      </c>
      <c r="B7" s="7" t="n">
        <f aca="false">'종목 기본정보'!B$2*'일자별 주가'!B7</f>
        <v>98220000000</v>
      </c>
      <c r="C7" s="7" t="n">
        <f aca="false">'종목 기본정보'!C$2*'일자별 주가'!C7</f>
        <v>105570000000</v>
      </c>
      <c r="D7" s="7" t="n">
        <f aca="false">'종목 기본정보'!D$2*'일자별 주가'!D7</f>
        <v>620720000000</v>
      </c>
      <c r="E7" s="7" t="n">
        <f aca="false">'종목 기본정보'!E$2*'일자별 주가'!E7</f>
        <v>103996000000</v>
      </c>
      <c r="F7" s="7" t="n">
        <f aca="false">'종목 기본정보'!F$2*'일자별 주가'!F7</f>
        <v>985374000000</v>
      </c>
      <c r="G7" s="7" t="n">
        <f aca="false">SUM(B7:F7)</f>
        <v>1913880000000</v>
      </c>
      <c r="H7" s="9" t="n">
        <f aca="false">G7*100/G$2</f>
        <v>100.730526315789</v>
      </c>
    </row>
    <row r="8" customFormat="false" ht="13.8" hidden="false" customHeight="false" outlineLevel="0" collapsed="false">
      <c r="A8" s="0" t="n">
        <v>7</v>
      </c>
      <c r="B8" s="7" t="n">
        <f aca="false">'종목 기본정보'!B$2*'일자별 주가'!B8</f>
        <v>95960000000</v>
      </c>
      <c r="C8" s="7" t="n">
        <f aca="false">'종목 기본정보'!C$2*'일자별 주가'!C8</f>
        <v>107075000000</v>
      </c>
      <c r="D8" s="7" t="n">
        <f aca="false">'종목 기본정보'!D$2*'일자별 주가'!D8</f>
        <v>607400000000</v>
      </c>
      <c r="E8" s="7" t="n">
        <f aca="false">'종목 기본정보'!E$2*'일자별 주가'!E8</f>
        <v>106378000000</v>
      </c>
      <c r="F8" s="7" t="n">
        <f aca="false">'종목 기본정보'!F$2*'일자별 주가'!F8</f>
        <v>1007167000000</v>
      </c>
      <c r="G8" s="7" t="n">
        <f aca="false">SUM(B8:F8)</f>
        <v>1923980000000</v>
      </c>
      <c r="H8" s="9" t="n">
        <f aca="false">G8*100/G$2</f>
        <v>101.262105263158</v>
      </c>
    </row>
    <row r="9" customFormat="false" ht="13.8" hidden="false" customHeight="false" outlineLevel="0" collapsed="false">
      <c r="A9" s="0" t="n">
        <v>8</v>
      </c>
      <c r="B9" s="7" t="n">
        <f aca="false">'종목 기본정보'!B$2*'일자별 주가'!B9</f>
        <v>94770000000</v>
      </c>
      <c r="C9" s="7" t="n">
        <f aca="false">'종목 기본정보'!C$2*'일자별 주가'!C9</f>
        <v>107510000000</v>
      </c>
      <c r="D9" s="7" t="n">
        <f aca="false">'종목 기본정보'!D$2*'일자별 주가'!D9</f>
        <v>594040000000</v>
      </c>
      <c r="E9" s="7" t="n">
        <f aca="false">'종목 기본정보'!E$2*'일자별 주가'!E9</f>
        <v>104658000000</v>
      </c>
      <c r="F9" s="7" t="n">
        <f aca="false">'종목 기본정보'!F$2*'일자별 주가'!F9</f>
        <v>1034284000000</v>
      </c>
      <c r="G9" s="7" t="n">
        <f aca="false">SUM(B9:F9)</f>
        <v>1935262000000</v>
      </c>
      <c r="H9" s="9" t="n">
        <f aca="false">G9*100/G$2</f>
        <v>101.855894736842</v>
      </c>
    </row>
    <row r="10" customFormat="false" ht="13.8" hidden="false" customHeight="false" outlineLevel="0" collapsed="false">
      <c r="A10" s="0" t="n">
        <v>9</v>
      </c>
      <c r="B10" s="7" t="n">
        <f aca="false">'종목 기본정보'!B$2*'일자별 주가'!B10</f>
        <v>96970000000</v>
      </c>
      <c r="C10" s="7" t="n">
        <f aca="false">'종목 기본정보'!C$2*'일자별 주가'!C10</f>
        <v>105410000000</v>
      </c>
      <c r="D10" s="7" t="n">
        <f aca="false">'종목 기본정보'!D$2*'일자별 주가'!D10</f>
        <v>585000000000</v>
      </c>
      <c r="E10" s="7" t="n">
        <f aca="false">'종목 기본정보'!E$2*'일자별 주가'!E10</f>
        <v>105395000000</v>
      </c>
      <c r="F10" s="7" t="n">
        <f aca="false">'종목 기본정보'!F$2*'일자별 주가'!F10</f>
        <v>1046768000000</v>
      </c>
      <c r="G10" s="7" t="n">
        <f aca="false">SUM(B10:F10)</f>
        <v>1939543000000</v>
      </c>
      <c r="H10" s="9" t="n">
        <f aca="false">G10*100/G$2</f>
        <v>102.081210526316</v>
      </c>
    </row>
    <row r="11" customFormat="false" ht="13.8" hidden="false" customHeight="false" outlineLevel="0" collapsed="false">
      <c r="A11" s="0" t="n">
        <v>10</v>
      </c>
      <c r="B11" s="7" t="n">
        <f aca="false">'종목 기본정보'!B$2*'일자별 주가'!B11</f>
        <v>96940000000</v>
      </c>
      <c r="C11" s="7" t="n">
        <f aca="false">'종목 기본정보'!C$2*'일자별 주가'!C11</f>
        <v>105215000000</v>
      </c>
      <c r="D11" s="7" t="n">
        <f aca="false">'종목 기본정보'!D$2*'일자별 주가'!D11</f>
        <v>583120000000</v>
      </c>
      <c r="E11" s="7" t="n">
        <f aca="false">'종목 기본정보'!E$2*'일자별 주가'!E11</f>
        <v>107106000000</v>
      </c>
      <c r="F11" s="7" t="n">
        <f aca="false">'종목 기본정보'!F$2*'일자별 주가'!F11</f>
        <v>1061015000000</v>
      </c>
      <c r="G11" s="7" t="n">
        <f aca="false">SUM(B11:F11)</f>
        <v>1953396000000</v>
      </c>
      <c r="H11" s="9" t="n">
        <f aca="false">G11*100/G$2</f>
        <v>102.810315789474</v>
      </c>
    </row>
    <row r="12" customFormat="false" ht="13.8" hidden="false" customHeight="false" outlineLevel="0" collapsed="false">
      <c r="A12" s="0" t="n">
        <v>11</v>
      </c>
      <c r="B12" s="7" t="n">
        <f aca="false">'종목 기본정보'!B$2*'일자별 주가'!B12</f>
        <v>99100000000</v>
      </c>
      <c r="C12" s="7" t="n">
        <f aca="false">'종목 기본정보'!C$2*'일자별 주가'!C12</f>
        <v>106230000000</v>
      </c>
      <c r="D12" s="7" t="n">
        <f aca="false">'종목 기본정보'!D$2*'일자별 주가'!D12</f>
        <v>582200000000</v>
      </c>
      <c r="E12" s="7" t="n">
        <f aca="false">'종목 기본정보'!E$2*'일자별 주가'!E12</f>
        <v>109881000000</v>
      </c>
      <c r="F12" s="7" t="n">
        <f aca="false">'종목 기본정보'!F$2*'일자별 주가'!F12</f>
        <v>1074420000000</v>
      </c>
      <c r="G12" s="7" t="n">
        <f aca="false">SUM(B12:F12)</f>
        <v>1971831000000</v>
      </c>
      <c r="H12" s="9" t="n">
        <f aca="false">G12*100/G$2</f>
        <v>103.780578947368</v>
      </c>
    </row>
    <row r="13" customFormat="false" ht="13.8" hidden="false" customHeight="false" outlineLevel="0" collapsed="false">
      <c r="A13" s="0" t="n">
        <v>12</v>
      </c>
      <c r="B13" s="7" t="n">
        <f aca="false">'종목 기본정보'!B$2*'일자별 주가'!B13</f>
        <v>98870000000</v>
      </c>
      <c r="C13" s="7" t="n">
        <f aca="false">'종목 기본정보'!C$2*'일자별 주가'!C13</f>
        <v>106090000000</v>
      </c>
      <c r="D13" s="7" t="n">
        <f aca="false">'종목 기본정보'!D$2*'일자별 주가'!D13</f>
        <v>573980000000</v>
      </c>
      <c r="E13" s="7" t="n">
        <f aca="false">'종목 기본정보'!E$2*'일자별 주가'!E13</f>
        <v>109750000000</v>
      </c>
      <c r="F13" s="7" t="n">
        <f aca="false">'종목 기본정보'!F$2*'일자별 주가'!F13</f>
        <v>1065459000000</v>
      </c>
      <c r="G13" s="7" t="n">
        <f aca="false">SUM(B13:F13)</f>
        <v>1954149000000</v>
      </c>
      <c r="H13" s="9" t="n">
        <f aca="false">G13*100/G$2</f>
        <v>102.849947368421</v>
      </c>
    </row>
    <row r="14" customFormat="false" ht="13.8" hidden="false" customHeight="false" outlineLevel="0" collapsed="false">
      <c r="A14" s="0" t="n">
        <v>13</v>
      </c>
      <c r="B14" s="7" t="n">
        <f aca="false">'종목 기본정보'!B$2*'일자별 주가'!B14</f>
        <v>100080000000</v>
      </c>
      <c r="C14" s="7" t="n">
        <f aca="false">'종목 기본정보'!C$2*'일자별 주가'!C14</f>
        <v>105060000000</v>
      </c>
      <c r="D14" s="7" t="n">
        <f aca="false">'종목 기본정보'!D$2*'일자별 주가'!D14</f>
        <v>592920000000</v>
      </c>
      <c r="E14" s="7" t="n">
        <f aca="false">'종목 기본정보'!E$2*'일자별 주가'!E14</f>
        <v>107235000000</v>
      </c>
      <c r="F14" s="7" t="n">
        <f aca="false">'종목 기본정보'!F$2*'일자별 주가'!F14</f>
        <v>1081999000000</v>
      </c>
      <c r="G14" s="7" t="n">
        <f aca="false">SUM(B14:F14)</f>
        <v>1987294000000</v>
      </c>
      <c r="H14" s="9" t="n">
        <f aca="false">G14*100/G$2</f>
        <v>104.594421052632</v>
      </c>
    </row>
    <row r="15" customFormat="false" ht="13.8" hidden="false" customHeight="false" outlineLevel="0" collapsed="false">
      <c r="A15" s="0" t="n">
        <v>14</v>
      </c>
      <c r="B15" s="7" t="n">
        <f aca="false">'종목 기본정보'!B$2*'일자별 주가'!B15</f>
        <v>102300000000</v>
      </c>
      <c r="C15" s="7" t="n">
        <f aca="false">'종목 기본정보'!C$2*'일자별 주가'!C15</f>
        <v>106440000000</v>
      </c>
      <c r="D15" s="7" t="n">
        <f aca="false">'종목 기본정보'!D$2*'일자별 주가'!D15</f>
        <v>599540000000</v>
      </c>
      <c r="E15" s="7" t="n">
        <f aca="false">'종목 기본정보'!E$2*'일자별 주가'!E15</f>
        <v>109303000000</v>
      </c>
      <c r="F15" s="7" t="n">
        <f aca="false">'종목 기본정보'!F$2*'일자별 주가'!F15</f>
        <v>1111514000000</v>
      </c>
      <c r="G15" s="7" t="n">
        <f aca="false">SUM(B15:F15)</f>
        <v>2029097000000</v>
      </c>
      <c r="H15" s="9" t="n">
        <f aca="false">G15*100/G$2</f>
        <v>106.794578947368</v>
      </c>
    </row>
    <row r="16" customFormat="false" ht="13.8" hidden="false" customHeight="false" outlineLevel="0" collapsed="false">
      <c r="A16" s="0" t="n">
        <v>15</v>
      </c>
      <c r="B16" s="7" t="n">
        <f aca="false">'종목 기본정보'!B$2*'일자별 주가'!B16</f>
        <v>99390000000</v>
      </c>
      <c r="C16" s="7" t="n">
        <f aca="false">'종목 기본정보'!C$2*'일자별 주가'!C16</f>
        <v>105910000000</v>
      </c>
      <c r="D16" s="7" t="n">
        <f aca="false">'종목 기본정보'!D$2*'일자별 주가'!D16</f>
        <v>593180000000</v>
      </c>
      <c r="E16" s="7" t="n">
        <f aca="false">'종목 기본정보'!E$2*'일자별 주가'!E16</f>
        <v>109599000000</v>
      </c>
      <c r="F16" s="7" t="n">
        <f aca="false">'종목 기본정보'!F$2*'일자별 주가'!F16</f>
        <v>1101077000000</v>
      </c>
      <c r="G16" s="7" t="n">
        <f aca="false">SUM(B16:F16)</f>
        <v>2009156000000</v>
      </c>
      <c r="H16" s="9" t="n">
        <f aca="false">G16*100/G$2</f>
        <v>105.745052631579</v>
      </c>
    </row>
    <row r="17" customFormat="false" ht="13.8" hidden="false" customHeight="false" outlineLevel="0" collapsed="false">
      <c r="A17" s="0" t="n">
        <v>16</v>
      </c>
      <c r="B17" s="7" t="n">
        <f aca="false">'종목 기본정보'!B$2*'일자별 주가'!B17</f>
        <v>99950000000</v>
      </c>
      <c r="C17" s="7" t="n">
        <f aca="false">'종목 기본정보'!C$2*'일자별 주가'!C17</f>
        <v>108125000000</v>
      </c>
      <c r="D17" s="7" t="n">
        <f aca="false">'종목 기본정보'!D$2*'일자별 주가'!D17</f>
        <v>590360000000</v>
      </c>
      <c r="E17" s="7" t="n">
        <f aca="false">'종목 기본정보'!E$2*'일자별 주가'!E17</f>
        <v>106417000000</v>
      </c>
      <c r="F17" s="7" t="n">
        <f aca="false">'종목 기본정보'!F$2*'일자별 주가'!F17</f>
        <v>1106723000000</v>
      </c>
      <c r="G17" s="7" t="n">
        <f aca="false">SUM(B17:F17)</f>
        <v>2011575000000</v>
      </c>
      <c r="H17" s="9" t="n">
        <f aca="false">G17*100/G$2</f>
        <v>105.872368421053</v>
      </c>
    </row>
    <row r="18" customFormat="false" ht="13.8" hidden="false" customHeight="false" outlineLevel="0" collapsed="false">
      <c r="A18" s="0" t="n">
        <v>17</v>
      </c>
      <c r="B18" s="7" t="n">
        <f aca="false">'종목 기본정보'!B$2*'일자별 주가'!B18</f>
        <v>101050000000</v>
      </c>
      <c r="C18" s="7" t="n">
        <f aca="false">'종목 기본정보'!C$2*'일자별 주가'!C18</f>
        <v>110150000000</v>
      </c>
      <c r="D18" s="7" t="n">
        <f aca="false">'종목 기본정보'!D$2*'일자별 주가'!D18</f>
        <v>575440000000</v>
      </c>
      <c r="E18" s="7" t="n">
        <f aca="false">'종목 기본정보'!E$2*'일자별 주가'!E18</f>
        <v>108766000000</v>
      </c>
      <c r="F18" s="7" t="n">
        <f aca="false">'종목 기본정보'!F$2*'일자별 주가'!F18</f>
        <v>1118916000000</v>
      </c>
      <c r="G18" s="7" t="n">
        <f aca="false">SUM(B18:F18)</f>
        <v>2014322000000</v>
      </c>
      <c r="H18" s="9" t="n">
        <f aca="false">G18*100/G$2</f>
        <v>106.016947368421</v>
      </c>
    </row>
    <row r="19" customFormat="false" ht="13.8" hidden="false" customHeight="false" outlineLevel="0" collapsed="false">
      <c r="A19" s="0" t="n">
        <v>18</v>
      </c>
      <c r="B19" s="7" t="n">
        <f aca="false">'종목 기본정보'!B$2*'일자별 주가'!B19</f>
        <v>98890000000</v>
      </c>
      <c r="C19" s="7" t="n">
        <f aca="false">'종목 기본정보'!C$2*'일자별 주가'!C19</f>
        <v>113165000000</v>
      </c>
      <c r="D19" s="7" t="n">
        <f aca="false">'종목 기본정보'!D$2*'일자별 주가'!D19</f>
        <v>583480000000</v>
      </c>
      <c r="E19" s="7" t="n">
        <f aca="false">'종목 기본정보'!E$2*'일자별 주가'!E19</f>
        <v>108874000000</v>
      </c>
      <c r="F19" s="7" t="n">
        <f aca="false">'종목 기본정보'!F$2*'일자별 주가'!F19</f>
        <v>1151540000000</v>
      </c>
      <c r="G19" s="7" t="n">
        <f aca="false">SUM(B19:F19)</f>
        <v>2055949000000</v>
      </c>
      <c r="H19" s="9" t="n">
        <f aca="false">G19*100/G$2</f>
        <v>108.207842105263</v>
      </c>
    </row>
    <row r="20" customFormat="false" ht="13.8" hidden="false" customHeight="false" outlineLevel="0" collapsed="false">
      <c r="A20" s="0" t="n">
        <v>19</v>
      </c>
      <c r="B20" s="7" t="n">
        <f aca="false">'종목 기본정보'!B$2*'일자별 주가'!B20</f>
        <v>101340000000</v>
      </c>
      <c r="C20" s="7" t="n">
        <f aca="false">'종목 기본정보'!C$2*'일자별 주가'!C20</f>
        <v>113185000000</v>
      </c>
      <c r="D20" s="7" t="n">
        <f aca="false">'종목 기본정보'!D$2*'일자별 주가'!D20</f>
        <v>586380000000</v>
      </c>
      <c r="E20" s="7" t="n">
        <f aca="false">'종목 기본정보'!E$2*'일자별 주가'!E20</f>
        <v>111424000000</v>
      </c>
      <c r="F20" s="7" t="n">
        <f aca="false">'종목 기본정보'!F$2*'일자별 주가'!F20</f>
        <v>1137599000000</v>
      </c>
      <c r="G20" s="7" t="n">
        <f aca="false">SUM(B20:F20)</f>
        <v>2049928000000</v>
      </c>
      <c r="H20" s="9" t="n">
        <f aca="false">G20*100/G$2</f>
        <v>107.890947368421</v>
      </c>
    </row>
    <row r="21" customFormat="false" ht="13.8" hidden="false" customHeight="false" outlineLevel="0" collapsed="false">
      <c r="A21" s="0" t="n">
        <v>20</v>
      </c>
      <c r="B21" s="7" t="n">
        <f aca="false">'종목 기본정보'!B$2*'일자별 주가'!B21</f>
        <v>104330000000</v>
      </c>
      <c r="C21" s="7" t="n">
        <f aca="false">'종목 기본정보'!C$2*'일자별 주가'!C21</f>
        <v>111420000000</v>
      </c>
      <c r="D21" s="7" t="n">
        <f aca="false">'종목 기본정보'!D$2*'일자별 주가'!D21</f>
        <v>598360000000</v>
      </c>
      <c r="E21" s="7" t="n">
        <f aca="false">'종목 기본정보'!E$2*'일자별 주가'!E21</f>
        <v>112241000000</v>
      </c>
      <c r="F21" s="7" t="n">
        <f aca="false">'종목 기본정보'!F$2*'일자별 주가'!F21</f>
        <v>1132463000000</v>
      </c>
      <c r="G21" s="7" t="n">
        <f aca="false">SUM(B21:F21)</f>
        <v>2058814000000</v>
      </c>
      <c r="H21" s="9" t="n">
        <f aca="false">G21*100/G$2</f>
        <v>108.358631578947</v>
      </c>
    </row>
    <row r="22" customFormat="false" ht="13.8" hidden="false" customHeight="false" outlineLevel="0" collapsed="false">
      <c r="A22" s="0" t="n">
        <v>21</v>
      </c>
      <c r="B22" s="7" t="n">
        <f aca="false">'종목 기본정보'!B$2*'일자별 주가'!B22</f>
        <v>103870000000</v>
      </c>
      <c r="C22" s="7" t="n">
        <f aca="false">'종목 기본정보'!C$2*'일자별 주가'!C22</f>
        <v>111275000000</v>
      </c>
      <c r="D22" s="7" t="n">
        <f aca="false">'종목 기본정보'!D$2*'일자별 주가'!D22</f>
        <v>603480000000</v>
      </c>
      <c r="E22" s="7" t="n">
        <f aca="false">'종목 기본정보'!E$2*'일자별 주가'!E22</f>
        <v>111032000000</v>
      </c>
      <c r="F22" s="7" t="n">
        <f aca="false">'종목 기본정보'!F$2*'일자별 주가'!F22</f>
        <v>1115856000000</v>
      </c>
      <c r="G22" s="7" t="n">
        <f aca="false">SUM(B22:F22)</f>
        <v>2045513000000</v>
      </c>
      <c r="H22" s="9" t="n">
        <f aca="false">G22*100/G$2</f>
        <v>107.658578947368</v>
      </c>
    </row>
    <row r="23" customFormat="false" ht="13.8" hidden="false" customHeight="false" outlineLevel="0" collapsed="false">
      <c r="A23" s="0" t="n">
        <v>22</v>
      </c>
      <c r="B23" s="7" t="n">
        <f aca="false">'종목 기본정보'!B$2*'일자별 주가'!B23</f>
        <v>106560000000</v>
      </c>
      <c r="C23" s="7" t="n">
        <f aca="false">'종목 기본정보'!C$2*'일자별 주가'!C23</f>
        <v>110305000000</v>
      </c>
      <c r="D23" s="7" t="n">
        <f aca="false">'종목 기본정보'!D$2*'일자별 주가'!D23</f>
        <v>597820000000</v>
      </c>
      <c r="E23" s="7" t="n">
        <f aca="false">'종목 기본정보'!E$2*'일자별 주가'!E23</f>
        <v>108280000000</v>
      </c>
      <c r="F23" s="7" t="n">
        <f aca="false">'종목 기본정보'!F$2*'일자별 주가'!F23</f>
        <v>1143190000000</v>
      </c>
      <c r="G23" s="7" t="n">
        <f aca="false">SUM(B23:F23)</f>
        <v>2066155000000</v>
      </c>
      <c r="H23" s="9" t="n">
        <f aca="false">G23*100/G$2</f>
        <v>108.745</v>
      </c>
    </row>
    <row r="24" customFormat="false" ht="13.8" hidden="false" customHeight="false" outlineLevel="0" collapsed="false">
      <c r="A24" s="0" t="n">
        <v>23</v>
      </c>
      <c r="B24" s="7" t="n">
        <f aca="false">'종목 기본정보'!B$2*'일자별 주가'!B24</f>
        <v>106790000000</v>
      </c>
      <c r="C24" s="7" t="n">
        <f aca="false">'종목 기본정보'!C$2*'일자별 주가'!C24</f>
        <v>113595000000</v>
      </c>
      <c r="D24" s="7" t="n">
        <f aca="false">'종목 기본정보'!D$2*'일자별 주가'!D24</f>
        <v>605760000000</v>
      </c>
      <c r="E24" s="7" t="n">
        <f aca="false">'종목 기본정보'!E$2*'일자별 주가'!E24</f>
        <v>106169000000</v>
      </c>
      <c r="F24" s="7" t="n">
        <f aca="false">'종목 기본정보'!F$2*'일자별 주가'!F24</f>
        <v>1117669000000</v>
      </c>
      <c r="G24" s="7" t="n">
        <f aca="false">SUM(B24:F24)</f>
        <v>2049983000000</v>
      </c>
      <c r="H24" s="9" t="n">
        <f aca="false">G24*100/G$2</f>
        <v>107.893842105263</v>
      </c>
    </row>
    <row r="25" customFormat="false" ht="13.8" hidden="false" customHeight="false" outlineLevel="0" collapsed="false">
      <c r="A25" s="0" t="n">
        <v>24</v>
      </c>
      <c r="B25" s="7" t="n">
        <f aca="false">'종목 기본정보'!B$2*'일자별 주가'!B25</f>
        <v>109250000000</v>
      </c>
      <c r="C25" s="7" t="n">
        <f aca="false">'종목 기본정보'!C$2*'일자별 주가'!C25</f>
        <v>115625000000</v>
      </c>
      <c r="D25" s="7" t="n">
        <f aca="false">'종목 기본정보'!D$2*'일자별 주가'!D25</f>
        <v>615440000000</v>
      </c>
      <c r="E25" s="7" t="n">
        <f aca="false">'종목 기본정보'!E$2*'일자별 주가'!E25</f>
        <v>103510000000</v>
      </c>
      <c r="F25" s="7" t="n">
        <f aca="false">'종목 기본정보'!F$2*'일자별 주가'!F25</f>
        <v>1150702000000</v>
      </c>
      <c r="G25" s="7" t="n">
        <f aca="false">SUM(B25:F25)</f>
        <v>2094527000000</v>
      </c>
      <c r="H25" s="9" t="n">
        <f aca="false">G25*100/G$2</f>
        <v>110.238263157895</v>
      </c>
    </row>
    <row r="26" customFormat="false" ht="13.8" hidden="false" customHeight="false" outlineLevel="0" collapsed="false">
      <c r="A26" s="0" t="n">
        <v>25</v>
      </c>
      <c r="B26" s="7" t="n">
        <f aca="false">'종목 기본정보'!B$2*'일자별 주가'!B26</f>
        <v>109570000000</v>
      </c>
      <c r="C26" s="7" t="n">
        <f aca="false">'종목 기본정보'!C$2*'일자별 주가'!C26</f>
        <v>115795000000</v>
      </c>
      <c r="D26" s="7" t="n">
        <f aca="false">'종목 기본정보'!D$2*'일자별 주가'!D26</f>
        <v>611880000000</v>
      </c>
      <c r="E26" s="7" t="n">
        <f aca="false">'종목 기본정보'!E$2*'일자별 주가'!E26</f>
        <v>103649000000</v>
      </c>
      <c r="F26" s="7" t="n">
        <f aca="false">'종목 기본정보'!F$2*'일자별 주가'!F26</f>
        <v>1124079000000</v>
      </c>
      <c r="G26" s="7" t="n">
        <f aca="false">SUM(B26:F26)</f>
        <v>2064973000000</v>
      </c>
      <c r="H26" s="9" t="n">
        <f aca="false">G26*100/G$2</f>
        <v>108.682789473684</v>
      </c>
    </row>
    <row r="27" customFormat="false" ht="13.8" hidden="false" customHeight="false" outlineLevel="0" collapsed="false">
      <c r="A27" s="0" t="n">
        <v>26</v>
      </c>
      <c r="B27" s="7" t="n">
        <f aca="false">'종목 기본정보'!B$2*'일자별 주가'!B27</f>
        <v>111420000000</v>
      </c>
      <c r="C27" s="7" t="n">
        <f aca="false">'종목 기본정보'!C$2*'일자별 주가'!C27</f>
        <v>113395000000</v>
      </c>
      <c r="D27" s="7" t="n">
        <f aca="false">'종목 기본정보'!D$2*'일자별 주가'!D27</f>
        <v>623400000000</v>
      </c>
      <c r="E27" s="7" t="n">
        <f aca="false">'종목 기본정보'!E$2*'일자별 주가'!E27</f>
        <v>104967000000</v>
      </c>
      <c r="F27" s="7" t="n">
        <f aca="false">'종목 기본정보'!F$2*'일자별 주가'!F27</f>
        <v>1095487000000</v>
      </c>
      <c r="G27" s="7" t="n">
        <f aca="false">SUM(B27:F27)</f>
        <v>2048669000000</v>
      </c>
      <c r="H27" s="9" t="n">
        <f aca="false">G27*100/G$2</f>
        <v>107.824684210526</v>
      </c>
    </row>
    <row r="28" customFormat="false" ht="13.8" hidden="false" customHeight="false" outlineLevel="0" collapsed="false">
      <c r="A28" s="0" t="n">
        <v>27</v>
      </c>
      <c r="B28" s="7" t="n">
        <f aca="false">'종목 기본정보'!B$2*'일자별 주가'!B28</f>
        <v>108870000000</v>
      </c>
      <c r="C28" s="7" t="n">
        <f aca="false">'종목 기본정보'!C$2*'일자별 주가'!C28</f>
        <v>110725000000</v>
      </c>
      <c r="D28" s="7" t="n">
        <f aca="false">'종목 기본정보'!D$2*'일자별 주가'!D28</f>
        <v>641040000000</v>
      </c>
      <c r="E28" s="7" t="n">
        <f aca="false">'종목 기본정보'!E$2*'일자별 주가'!E28</f>
        <v>104200000000</v>
      </c>
      <c r="F28" s="7" t="n">
        <f aca="false">'종목 기본정보'!F$2*'일자별 주가'!F28</f>
        <v>1084883000000</v>
      </c>
      <c r="G28" s="7" t="n">
        <f aca="false">SUM(B28:F28)</f>
        <v>2049718000000</v>
      </c>
      <c r="H28" s="9" t="n">
        <f aca="false">G28*100/G$2</f>
        <v>107.879894736842</v>
      </c>
    </row>
    <row r="29" customFormat="false" ht="13.8" hidden="false" customHeight="false" outlineLevel="0" collapsed="false">
      <c r="A29" s="0" t="n">
        <v>28</v>
      </c>
      <c r="B29" s="7" t="n">
        <f aca="false">'종목 기본정보'!B$2*'일자별 주가'!B29</f>
        <v>106360000000</v>
      </c>
      <c r="C29" s="7" t="n">
        <f aca="false">'종목 기본정보'!C$2*'일자별 주가'!C29</f>
        <v>113580000000</v>
      </c>
      <c r="D29" s="7" t="n">
        <f aca="false">'종목 기본정보'!D$2*'일자별 주가'!D29</f>
        <v>635240000000</v>
      </c>
      <c r="E29" s="7" t="n">
        <f aca="false">'종목 기본정보'!E$2*'일자별 주가'!E29</f>
        <v>101642000000</v>
      </c>
      <c r="F29" s="7" t="n">
        <f aca="false">'종목 기본정보'!F$2*'일자별 주가'!F29</f>
        <v>1078430000000</v>
      </c>
      <c r="G29" s="7" t="n">
        <f aca="false">SUM(B29:F29)</f>
        <v>2035252000000</v>
      </c>
      <c r="H29" s="9" t="n">
        <f aca="false">G29*100/G$2</f>
        <v>107.118526315789</v>
      </c>
    </row>
    <row r="30" customFormat="false" ht="13.8" hidden="false" customHeight="false" outlineLevel="0" collapsed="false">
      <c r="A30" s="0" t="n">
        <v>29</v>
      </c>
      <c r="B30" s="7" t="n">
        <f aca="false">'종목 기본정보'!B$2*'일자별 주가'!B30</f>
        <v>104150000000</v>
      </c>
      <c r="C30" s="7" t="n">
        <f aca="false">'종목 기본정보'!C$2*'일자별 주가'!C30</f>
        <v>117315000000</v>
      </c>
      <c r="D30" s="7" t="n">
        <f aca="false">'종목 기본정보'!D$2*'일자별 주가'!D30</f>
        <v>635360000000</v>
      </c>
      <c r="E30" s="7" t="n">
        <f aca="false">'종목 기본정보'!E$2*'일자별 주가'!E30</f>
        <v>102893000000</v>
      </c>
      <c r="F30" s="7" t="n">
        <f aca="false">'종목 기본정보'!F$2*'일자별 주가'!F30</f>
        <v>1091214000000</v>
      </c>
      <c r="G30" s="7" t="n">
        <f aca="false">SUM(B30:F30)</f>
        <v>2050932000000</v>
      </c>
      <c r="H30" s="9" t="n">
        <f aca="false">G30*100/G$2</f>
        <v>107.943789473684</v>
      </c>
    </row>
    <row r="31" customFormat="false" ht="13.8" hidden="false" customHeight="false" outlineLevel="0" collapsed="false">
      <c r="A31" s="0" t="n">
        <v>30</v>
      </c>
      <c r="B31" s="7" t="n">
        <f aca="false">'종목 기본정보'!B$2*'일자별 주가'!B31</f>
        <v>104660000000</v>
      </c>
      <c r="C31" s="7" t="n">
        <f aca="false">'종목 기본정보'!C$2*'일자별 주가'!C31</f>
        <v>118390000000</v>
      </c>
      <c r="D31" s="7" t="n">
        <f aca="false">'종목 기본정보'!D$2*'일자별 주가'!D31</f>
        <v>638560000000</v>
      </c>
      <c r="E31" s="7" t="n">
        <f aca="false">'종목 기본정보'!E$2*'일자별 주가'!E31</f>
        <v>102154000000</v>
      </c>
      <c r="F31" s="7" t="n">
        <f aca="false">'종목 기본정보'!F$2*'일자별 주가'!F31</f>
        <v>1116351000000</v>
      </c>
      <c r="G31" s="7" t="n">
        <f aca="false">SUM(B31:F31)</f>
        <v>2080115000000</v>
      </c>
      <c r="H31" s="9" t="n">
        <f aca="false">G31*100/G$2</f>
        <v>109.479736842105</v>
      </c>
    </row>
    <row r="32" customFormat="false" ht="13.8" hidden="false" customHeight="false" outlineLevel="0" collapsed="false">
      <c r="A32" s="0" t="n">
        <v>31</v>
      </c>
      <c r="B32" s="7" t="n">
        <f aca="false">'종목 기본정보'!B$2*'일자별 주가'!B32</f>
        <v>105400000000</v>
      </c>
      <c r="C32" s="7" t="n">
        <f aca="false">'종목 기본정보'!C$2*'일자별 주가'!C32</f>
        <v>122270000000</v>
      </c>
      <c r="D32" s="7" t="n">
        <f aca="false">'종목 기본정보'!D$2*'일자별 주가'!D32</f>
        <v>654920000000</v>
      </c>
      <c r="E32" s="7" t="n">
        <f aca="false">'종목 기본정보'!E$2*'일자별 주가'!E32</f>
        <v>102192000000</v>
      </c>
      <c r="F32" s="7" t="n">
        <f aca="false">'종목 기본정보'!F$2*'일자별 주가'!F32</f>
        <v>1144855000000</v>
      </c>
      <c r="G32" s="7" t="n">
        <f aca="false">SUM(B32:F32)</f>
        <v>2129637000000</v>
      </c>
      <c r="H32" s="9" t="n">
        <f aca="false">G32*100/G$2</f>
        <v>112.086157894737</v>
      </c>
    </row>
    <row r="33" customFormat="false" ht="13.8" hidden="false" customHeight="false" outlineLevel="0" collapsed="false">
      <c r="A33" s="0" t="n">
        <v>32</v>
      </c>
      <c r="B33" s="7" t="n">
        <f aca="false">'종목 기본정보'!B$2*'일자별 주가'!B33</f>
        <v>108310000000</v>
      </c>
      <c r="C33" s="7" t="n">
        <f aca="false">'종목 기본정보'!C$2*'일자별 주가'!C33</f>
        <v>121385000000</v>
      </c>
      <c r="D33" s="7" t="n">
        <f aca="false">'종목 기본정보'!D$2*'일자별 주가'!D33</f>
        <v>646060000000</v>
      </c>
      <c r="E33" s="7" t="n">
        <f aca="false">'종목 기본정보'!E$2*'일자별 주가'!E33</f>
        <v>105238000000</v>
      </c>
      <c r="F33" s="7" t="n">
        <f aca="false">'종목 기본정보'!F$2*'일자별 주가'!F33</f>
        <v>1120095000000</v>
      </c>
      <c r="G33" s="7" t="n">
        <f aca="false">SUM(B33:F33)</f>
        <v>2101088000000</v>
      </c>
      <c r="H33" s="9" t="n">
        <f aca="false">G33*100/G$2</f>
        <v>110.583578947368</v>
      </c>
    </row>
    <row r="34" customFormat="false" ht="13.8" hidden="false" customHeight="false" outlineLevel="0" collapsed="false">
      <c r="A34" s="0" t="n">
        <v>33</v>
      </c>
      <c r="B34" s="7" t="n">
        <f aca="false">'종목 기본정보'!B$2*'일자별 주가'!B34</f>
        <v>110110000000</v>
      </c>
      <c r="C34" s="7" t="n">
        <f aca="false">'종목 기본정보'!C$2*'일자별 주가'!C34</f>
        <v>124660000000</v>
      </c>
      <c r="D34" s="7" t="n">
        <f aca="false">'종목 기본정보'!D$2*'일자별 주가'!D34</f>
        <v>640140000000</v>
      </c>
      <c r="E34" s="7" t="n">
        <f aca="false">'종목 기본정보'!E$2*'일자별 주가'!E34</f>
        <v>106025000000</v>
      </c>
      <c r="F34" s="7" t="n">
        <f aca="false">'종목 기본정보'!F$2*'일자별 주가'!F34</f>
        <v>1088153000000</v>
      </c>
      <c r="G34" s="7" t="n">
        <f aca="false">SUM(B34:F34)</f>
        <v>2069088000000</v>
      </c>
      <c r="H34" s="9" t="n">
        <f aca="false">G34*100/G$2</f>
        <v>108.899368421053</v>
      </c>
    </row>
    <row r="35" customFormat="false" ht="13.8" hidden="false" customHeight="false" outlineLevel="0" collapsed="false">
      <c r="A35" s="0" t="n">
        <v>34</v>
      </c>
      <c r="B35" s="7" t="n">
        <f aca="false">'종목 기본정보'!B$2*'일자별 주가'!B35</f>
        <v>113540000000</v>
      </c>
      <c r="C35" s="7" t="n">
        <f aca="false">'종목 기본정보'!C$2*'일자별 주가'!C35</f>
        <v>121155000000</v>
      </c>
      <c r="D35" s="7" t="n">
        <f aca="false">'종목 기본정보'!D$2*'일자별 주가'!D35</f>
        <v>641100000000</v>
      </c>
      <c r="E35" s="7" t="n">
        <f aca="false">'종목 기본정보'!E$2*'일자별 주가'!E35</f>
        <v>104786000000</v>
      </c>
      <c r="F35" s="7" t="n">
        <f aca="false">'종목 기본정보'!F$2*'일자별 주가'!F35</f>
        <v>1089685000000</v>
      </c>
      <c r="G35" s="7" t="n">
        <f aca="false">SUM(B35:F35)</f>
        <v>2070266000000</v>
      </c>
      <c r="H35" s="9" t="n">
        <f aca="false">G35*100/G$2</f>
        <v>108.961368421053</v>
      </c>
    </row>
    <row r="36" customFormat="false" ht="13.8" hidden="false" customHeight="false" outlineLevel="0" collapsed="false">
      <c r="A36" s="0" t="n">
        <v>35</v>
      </c>
      <c r="B36" s="7" t="n">
        <f aca="false">'종목 기본정보'!B$2*'일자별 주가'!B36</f>
        <v>111660000000</v>
      </c>
      <c r="C36" s="7" t="n">
        <f aca="false">'종목 기본정보'!C$2*'일자별 주가'!C36</f>
        <v>121405000000</v>
      </c>
      <c r="D36" s="7" t="n">
        <f aca="false">'종목 기본정보'!D$2*'일자별 주가'!D36</f>
        <v>637840000000</v>
      </c>
      <c r="E36" s="7" t="n">
        <f aca="false">'종목 기본정보'!E$2*'일자별 주가'!E36</f>
        <v>106430000000</v>
      </c>
      <c r="F36" s="7" t="n">
        <f aca="false">'종목 기본정보'!F$2*'일자별 주가'!F36</f>
        <v>1093366000000</v>
      </c>
      <c r="G36" s="7" t="n">
        <f aca="false">SUM(B36:F36)</f>
        <v>2070701000000</v>
      </c>
      <c r="H36" s="9" t="n">
        <f aca="false">G36*100/G$2</f>
        <v>108.984263157895</v>
      </c>
    </row>
    <row r="37" customFormat="false" ht="13.8" hidden="false" customHeight="false" outlineLevel="0" collapsed="false">
      <c r="A37" s="0" t="n">
        <v>36</v>
      </c>
      <c r="B37" s="7" t="n">
        <f aca="false">'종목 기본정보'!B$2*'일자별 주가'!B37</f>
        <v>115340000000</v>
      </c>
      <c r="C37" s="7" t="n">
        <f aca="false">'종목 기본정보'!C$2*'일자별 주가'!C37</f>
        <v>118310000000</v>
      </c>
      <c r="D37" s="7" t="n">
        <f aca="false">'종목 기본정보'!D$2*'일자별 주가'!D37</f>
        <v>638960000000</v>
      </c>
      <c r="E37" s="7" t="n">
        <f aca="false">'종목 기본정보'!E$2*'일자별 주가'!E37</f>
        <v>105445000000</v>
      </c>
      <c r="F37" s="7" t="n">
        <f aca="false">'종목 기본정보'!F$2*'일자별 주가'!F37</f>
        <v>1124846000000</v>
      </c>
      <c r="G37" s="7" t="n">
        <f aca="false">SUM(B37:F37)</f>
        <v>2102901000000</v>
      </c>
      <c r="H37" s="9" t="n">
        <f aca="false">G37*100/G$2</f>
        <v>110.679</v>
      </c>
    </row>
    <row r="38" customFormat="false" ht="13.8" hidden="false" customHeight="false" outlineLevel="0" collapsed="false">
      <c r="A38" s="0" t="n">
        <v>37</v>
      </c>
      <c r="B38" s="7" t="n">
        <f aca="false">'종목 기본정보'!B$2*'일자별 주가'!B38</f>
        <v>115640000000</v>
      </c>
      <c r="C38" s="7" t="n">
        <f aca="false">'종목 기본정보'!C$2*'일자별 주가'!C38</f>
        <v>118725000000</v>
      </c>
      <c r="D38" s="7" t="n">
        <f aca="false">'종목 기본정보'!D$2*'일자별 주가'!D38</f>
        <v>648160000000</v>
      </c>
      <c r="E38" s="7" t="n">
        <f aca="false">'종목 기본정보'!E$2*'일자별 주가'!E38</f>
        <v>104443000000</v>
      </c>
      <c r="F38" s="7" t="n">
        <f aca="false">'종목 기본정보'!F$2*'일자별 주가'!F38</f>
        <v>1136179000000</v>
      </c>
      <c r="G38" s="7" t="n">
        <f aca="false">SUM(B38:F38)</f>
        <v>2123147000000</v>
      </c>
      <c r="H38" s="9" t="n">
        <f aca="false">G38*100/G$2</f>
        <v>111.744578947368</v>
      </c>
    </row>
    <row r="39" customFormat="false" ht="13.8" hidden="false" customHeight="false" outlineLevel="0" collapsed="false">
      <c r="A39" s="0" t="n">
        <v>38</v>
      </c>
      <c r="B39" s="7" t="n">
        <f aca="false">'종목 기본정보'!B$2*'일자별 주가'!B39</f>
        <v>118740000000</v>
      </c>
      <c r="C39" s="7" t="n">
        <f aca="false">'종목 기본정보'!C$2*'일자별 주가'!C39</f>
        <v>122105000000</v>
      </c>
      <c r="D39" s="7" t="n">
        <f aca="false">'종목 기본정보'!D$2*'일자별 주가'!D39</f>
        <v>636980000000</v>
      </c>
      <c r="E39" s="7" t="n">
        <f aca="false">'종목 기본정보'!E$2*'일자별 주가'!E39</f>
        <v>102790000000</v>
      </c>
      <c r="F39" s="7" t="n">
        <f aca="false">'종목 기본정보'!F$2*'일자별 주가'!F39</f>
        <v>1118597000000</v>
      </c>
      <c r="G39" s="7" t="n">
        <f aca="false">SUM(B39:F39)</f>
        <v>2099212000000</v>
      </c>
      <c r="H39" s="9" t="n">
        <f aca="false">G39*100/G$2</f>
        <v>110.484842105263</v>
      </c>
    </row>
    <row r="40" customFormat="false" ht="13.8" hidden="false" customHeight="false" outlineLevel="0" collapsed="false">
      <c r="A40" s="0" t="n">
        <v>39</v>
      </c>
      <c r="B40" s="7" t="n">
        <f aca="false">'종목 기본정보'!B$2*'일자별 주가'!B40</f>
        <v>117370000000</v>
      </c>
      <c r="C40" s="7" t="n">
        <f aca="false">'종목 기본정보'!C$2*'일자별 주가'!C40</f>
        <v>123275000000</v>
      </c>
      <c r="D40" s="7" t="n">
        <f aca="false">'종목 기본정보'!D$2*'일자별 주가'!D40</f>
        <v>657880000000</v>
      </c>
      <c r="E40" s="7" t="n">
        <f aca="false">'종목 기본정보'!E$2*'일자별 주가'!E40</f>
        <v>104751000000</v>
      </c>
      <c r="F40" s="7" t="n">
        <f aca="false">'종목 기본정보'!F$2*'일자별 주가'!F40</f>
        <v>1130427000000</v>
      </c>
      <c r="G40" s="7" t="n">
        <f aca="false">SUM(B40:F40)</f>
        <v>2133703000000</v>
      </c>
      <c r="H40" s="9" t="n">
        <f aca="false">G40*100/G$2</f>
        <v>112.300157894737</v>
      </c>
    </row>
    <row r="41" customFormat="false" ht="13.8" hidden="false" customHeight="false" outlineLevel="0" collapsed="false">
      <c r="A41" s="0" t="n">
        <v>40</v>
      </c>
      <c r="B41" s="7" t="n">
        <f aca="false">'종목 기본정보'!B$2*'일자별 주가'!B41</f>
        <v>116200000000</v>
      </c>
      <c r="C41" s="7" t="n">
        <f aca="false">'종목 기본정보'!C$2*'일자별 주가'!C41</f>
        <v>127125000000</v>
      </c>
      <c r="D41" s="7" t="n">
        <f aca="false">'종목 기본정보'!D$2*'일자별 주가'!D41</f>
        <v>638320000000</v>
      </c>
      <c r="E41" s="7" t="n">
        <f aca="false">'종목 기본정보'!E$2*'일자별 주가'!E41</f>
        <v>104008000000</v>
      </c>
      <c r="F41" s="7" t="n">
        <f aca="false">'종목 기본정보'!F$2*'일자별 주가'!F41</f>
        <v>1159663000000</v>
      </c>
      <c r="G41" s="7" t="n">
        <f aca="false">SUM(B41:F41)</f>
        <v>2145316000000</v>
      </c>
      <c r="H41" s="9" t="n">
        <f aca="false">G41*100/G$2</f>
        <v>112.911368421053</v>
      </c>
    </row>
    <row r="42" customFormat="false" ht="13.8" hidden="false" customHeight="false" outlineLevel="0" collapsed="false">
      <c r="A42" s="0" t="n">
        <v>41</v>
      </c>
      <c r="B42" s="7" t="n">
        <f aca="false">'종목 기본정보'!B$2*'일자별 주가'!B42</f>
        <v>118190000000</v>
      </c>
      <c r="C42" s="7" t="n">
        <f aca="false">'종목 기본정보'!C$2*'일자별 주가'!C42</f>
        <v>126315000000</v>
      </c>
      <c r="D42" s="7" t="n">
        <f aca="false">'종목 기본정보'!D$2*'일자별 주가'!D42</f>
        <v>622060000000</v>
      </c>
      <c r="E42" s="7" t="n">
        <f aca="false">'종목 기본정보'!E$2*'일자별 주가'!E42</f>
        <v>103503000000</v>
      </c>
      <c r="F42" s="7" t="n">
        <f aca="false">'종목 기본정보'!F$2*'일자별 주가'!F42</f>
        <v>1188708000000</v>
      </c>
      <c r="G42" s="7" t="n">
        <f aca="false">SUM(B42:F42)</f>
        <v>2158776000000</v>
      </c>
      <c r="H42" s="9" t="n">
        <f aca="false">G42*100/G$2</f>
        <v>113.619789473684</v>
      </c>
    </row>
    <row r="43" customFormat="false" ht="13.8" hidden="false" customHeight="false" outlineLevel="0" collapsed="false">
      <c r="A43" s="0" t="n">
        <v>42</v>
      </c>
      <c r="B43" s="7" t="n">
        <f aca="false">'종목 기본정보'!B$2*'일자별 주가'!B43</f>
        <v>117610000000</v>
      </c>
      <c r="C43" s="7" t="n">
        <f aca="false">'종목 기본정보'!C$2*'일자별 주가'!C43</f>
        <v>125580000000</v>
      </c>
      <c r="D43" s="7" t="n">
        <f aca="false">'종목 기본정보'!D$2*'일자별 주가'!D43</f>
        <v>607260000000</v>
      </c>
      <c r="E43" s="7" t="n">
        <f aca="false">'종목 기본정보'!E$2*'일자별 주가'!E43</f>
        <v>103614000000</v>
      </c>
      <c r="F43" s="7" t="n">
        <f aca="false">'종목 기본정보'!F$2*'일자별 주가'!F43</f>
        <v>1218966000000</v>
      </c>
      <c r="G43" s="7" t="n">
        <f aca="false">SUM(B43:F43)</f>
        <v>2173030000000</v>
      </c>
      <c r="H43" s="9" t="n">
        <f aca="false">G43*100/G$2</f>
        <v>114.37</v>
      </c>
    </row>
    <row r="44" customFormat="false" ht="13.8" hidden="false" customHeight="false" outlineLevel="0" collapsed="false">
      <c r="A44" s="0" t="n">
        <v>43</v>
      </c>
      <c r="B44" s="7" t="n">
        <f aca="false">'종목 기본정보'!B$2*'일자별 주가'!B44</f>
        <v>119980000000</v>
      </c>
      <c r="C44" s="7" t="n">
        <f aca="false">'종목 기본정보'!C$2*'일자별 주가'!C44</f>
        <v>125425000000</v>
      </c>
      <c r="D44" s="7" t="n">
        <f aca="false">'종목 기본정보'!D$2*'일자별 주가'!D44</f>
        <v>621100000000</v>
      </c>
      <c r="E44" s="7" t="n">
        <f aca="false">'종목 기본정보'!E$2*'일자별 주가'!E44</f>
        <v>104446000000</v>
      </c>
      <c r="F44" s="7" t="n">
        <f aca="false">'종목 기본정보'!F$2*'일자별 주가'!F44</f>
        <v>1215683000000</v>
      </c>
      <c r="G44" s="7" t="n">
        <f aca="false">SUM(B44:F44)</f>
        <v>2186634000000</v>
      </c>
      <c r="H44" s="9" t="n">
        <f aca="false">G44*100/G$2</f>
        <v>115.086</v>
      </c>
    </row>
    <row r="45" customFormat="false" ht="13.8" hidden="false" customHeight="false" outlineLevel="0" collapsed="false">
      <c r="A45" s="0" t="n">
        <v>44</v>
      </c>
      <c r="B45" s="7" t="n">
        <f aca="false">'종목 기본정보'!B$2*'일자별 주가'!B45</f>
        <v>123380000000</v>
      </c>
      <c r="C45" s="7" t="n">
        <f aca="false">'종목 기본정보'!C$2*'일자별 주가'!C45</f>
        <v>128650000000</v>
      </c>
      <c r="D45" s="7" t="n">
        <f aca="false">'종목 기본정보'!D$2*'일자별 주가'!D45</f>
        <v>614560000000</v>
      </c>
      <c r="E45" s="7" t="n">
        <f aca="false">'종목 기본정보'!E$2*'일자별 주가'!E45</f>
        <v>104561000000</v>
      </c>
      <c r="F45" s="7" t="n">
        <f aca="false">'종목 기본정보'!F$2*'일자별 주가'!F45</f>
        <v>1244184000000</v>
      </c>
      <c r="G45" s="7" t="n">
        <f aca="false">SUM(B45:F45)</f>
        <v>2215335000000</v>
      </c>
      <c r="H45" s="9" t="n">
        <f aca="false">G45*100/G$2</f>
        <v>116.596578947368</v>
      </c>
    </row>
    <row r="46" customFormat="false" ht="13.8" hidden="false" customHeight="false" outlineLevel="0" collapsed="false">
      <c r="A46" s="0" t="n">
        <v>45</v>
      </c>
      <c r="B46" s="7" t="n">
        <f aca="false">'종목 기본정보'!B$2*'일자별 주가'!B46</f>
        <v>125950000000</v>
      </c>
      <c r="C46" s="7" t="n">
        <f aca="false">'종목 기본정보'!C$2*'일자별 주가'!C46</f>
        <v>125090000000</v>
      </c>
      <c r="D46" s="7" t="n">
        <f aca="false">'종목 기본정보'!D$2*'일자별 주가'!D46</f>
        <v>601780000000</v>
      </c>
      <c r="E46" s="7" t="n">
        <f aca="false">'종목 기본정보'!E$2*'일자별 주가'!E46</f>
        <v>103418000000</v>
      </c>
      <c r="F46" s="7" t="n">
        <f aca="false">'종목 기본정보'!F$2*'일자별 주가'!F46</f>
        <v>1250934000000</v>
      </c>
      <c r="G46" s="7" t="n">
        <f aca="false">SUM(B46:F46)</f>
        <v>2207172000000</v>
      </c>
      <c r="H46" s="9" t="n">
        <f aca="false">G46*100/G$2</f>
        <v>116.166947368421</v>
      </c>
    </row>
    <row r="47" customFormat="false" ht="13.8" hidden="false" customHeight="false" outlineLevel="0" collapsed="false">
      <c r="A47" s="0" t="n">
        <v>46</v>
      </c>
      <c r="B47" s="7" t="n">
        <f aca="false">'종목 기본정보'!B$2*'일자별 주가'!B47</f>
        <v>125420000000</v>
      </c>
      <c r="C47" s="7" t="n">
        <f aca="false">'종목 기본정보'!C$2*'일자별 주가'!C47</f>
        <v>128430000000</v>
      </c>
      <c r="D47" s="7" t="n">
        <f aca="false">'종목 기본정보'!D$2*'일자별 주가'!D47</f>
        <v>590040000000</v>
      </c>
      <c r="E47" s="7" t="n">
        <f aca="false">'종목 기본정보'!E$2*'일자별 주가'!E47</f>
        <v>103461000000</v>
      </c>
      <c r="F47" s="7" t="n">
        <f aca="false">'종목 기본정보'!F$2*'일자별 주가'!F47</f>
        <v>1255778000000</v>
      </c>
      <c r="G47" s="7" t="n">
        <f aca="false">SUM(B47:F47)</f>
        <v>2203129000000</v>
      </c>
      <c r="H47" s="9" t="n">
        <f aca="false">G47*100/G$2</f>
        <v>115.954157894737</v>
      </c>
    </row>
    <row r="48" customFormat="false" ht="13.8" hidden="false" customHeight="false" outlineLevel="0" collapsed="false">
      <c r="A48" s="0" t="n">
        <v>47</v>
      </c>
      <c r="B48" s="7" t="n">
        <f aca="false">'종목 기본정보'!B$2*'일자별 주가'!B48</f>
        <v>129010000000</v>
      </c>
      <c r="C48" s="7" t="n">
        <f aca="false">'종목 기본정보'!C$2*'일자별 주가'!C48</f>
        <v>128470000000</v>
      </c>
      <c r="D48" s="7" t="n">
        <f aca="false">'종목 기본정보'!D$2*'일자별 주가'!D48</f>
        <v>601960000000</v>
      </c>
      <c r="E48" s="7" t="n">
        <f aca="false">'종목 기본정보'!E$2*'일자별 주가'!E48</f>
        <v>106216000000</v>
      </c>
      <c r="F48" s="7" t="n">
        <f aca="false">'종목 기본정보'!F$2*'일자별 주가'!F48</f>
        <v>1286191000000</v>
      </c>
      <c r="G48" s="7" t="n">
        <f aca="false">SUM(B48:F48)</f>
        <v>2251847000000</v>
      </c>
      <c r="H48" s="9" t="n">
        <f aca="false">G48*100/G$2</f>
        <v>118.518263157895</v>
      </c>
    </row>
    <row r="49" customFormat="false" ht="13.8" hidden="false" customHeight="false" outlineLevel="0" collapsed="false">
      <c r="A49" s="0" t="n">
        <v>48</v>
      </c>
      <c r="B49" s="7" t="n">
        <f aca="false">'종목 기본정보'!B$2*'일자별 주가'!B49</f>
        <v>131960000000</v>
      </c>
      <c r="C49" s="7" t="n">
        <f aca="false">'종목 기본정보'!C$2*'일자별 주가'!C49</f>
        <v>130635000000</v>
      </c>
      <c r="D49" s="7" t="n">
        <f aca="false">'종목 기본정보'!D$2*'일자별 주가'!D49</f>
        <v>618960000000</v>
      </c>
      <c r="E49" s="7" t="n">
        <f aca="false">'종목 기본정보'!E$2*'일자별 주가'!E49</f>
        <v>103836000000</v>
      </c>
      <c r="F49" s="7" t="n">
        <f aca="false">'종목 기본정보'!F$2*'일자별 주가'!F49</f>
        <v>1287273000000</v>
      </c>
      <c r="G49" s="7" t="n">
        <f aca="false">SUM(B49:F49)</f>
        <v>2272664000000</v>
      </c>
      <c r="H49" s="9" t="n">
        <f aca="false">G49*100/G$2</f>
        <v>119.613894736842</v>
      </c>
    </row>
    <row r="50" customFormat="false" ht="13.8" hidden="false" customHeight="false" outlineLevel="0" collapsed="false">
      <c r="A50" s="0" t="n">
        <v>49</v>
      </c>
      <c r="B50" s="7" t="n">
        <f aca="false">'종목 기본정보'!B$2*'일자별 주가'!B50</f>
        <v>129930000000</v>
      </c>
      <c r="C50" s="7" t="n">
        <f aca="false">'종목 기본정보'!C$2*'일자별 주가'!C50</f>
        <v>132965000000</v>
      </c>
      <c r="D50" s="7" t="n">
        <f aca="false">'종목 기본정보'!D$2*'일자별 주가'!D50</f>
        <v>629300000000</v>
      </c>
      <c r="E50" s="7" t="n">
        <f aca="false">'종목 기본정보'!E$2*'일자별 주가'!E50</f>
        <v>105185000000</v>
      </c>
      <c r="F50" s="7" t="n">
        <f aca="false">'종목 기본정보'!F$2*'일자별 주가'!F50</f>
        <v>1303288000000</v>
      </c>
      <c r="G50" s="7" t="n">
        <f aca="false">SUM(B50:F50)</f>
        <v>2300668000000</v>
      </c>
      <c r="H50" s="9" t="n">
        <f aca="false">G50*100/G$2</f>
        <v>121.087789473684</v>
      </c>
    </row>
    <row r="51" customFormat="false" ht="13.8" hidden="false" customHeight="false" outlineLevel="0" collapsed="false">
      <c r="A51" s="0" t="n">
        <v>50</v>
      </c>
      <c r="B51" s="7" t="n">
        <f aca="false">'종목 기본정보'!B$2*'일자별 주가'!B51</f>
        <v>132120000000</v>
      </c>
      <c r="C51" s="7" t="n">
        <f aca="false">'종목 기본정보'!C$2*'일자별 주가'!C51</f>
        <v>135090000000</v>
      </c>
      <c r="D51" s="7" t="n">
        <f aca="false">'종목 기본정보'!D$2*'일자별 주가'!D51</f>
        <v>637080000000</v>
      </c>
      <c r="E51" s="7" t="n">
        <f aca="false">'종목 기본정보'!E$2*'일자별 주가'!E51</f>
        <v>106486000000</v>
      </c>
      <c r="F51" s="7" t="n">
        <f aca="false">'종목 기본정보'!F$2*'일자별 주가'!F51</f>
        <v>1286164000000</v>
      </c>
      <c r="G51" s="7" t="n">
        <f aca="false">SUM(B51:F51)</f>
        <v>2296940000000</v>
      </c>
      <c r="H51" s="9" t="n">
        <f aca="false">G51*100/G$2</f>
        <v>120.891578947368</v>
      </c>
    </row>
    <row r="52" customFormat="false" ht="13.8" hidden="false" customHeight="false" outlineLevel="0" collapsed="false">
      <c r="A52" s="0" t="n">
        <v>51</v>
      </c>
      <c r="B52" s="7" t="n">
        <f aca="false">'종목 기본정보'!B$2*'일자별 주가'!B52</f>
        <v>130960000000</v>
      </c>
      <c r="C52" s="7" t="n">
        <f aca="false">'종목 기본정보'!C$2*'일자별 주가'!C52</f>
        <v>137550000000</v>
      </c>
      <c r="D52" s="7" t="n">
        <f aca="false">'종목 기본정보'!D$2*'일자별 주가'!D52</f>
        <v>632780000000</v>
      </c>
      <c r="E52" s="7" t="n">
        <f aca="false">'종목 기본정보'!E$2*'일자별 주가'!E52</f>
        <v>105981000000</v>
      </c>
      <c r="F52" s="7" t="n">
        <f aca="false">'종목 기본정보'!F$2*'일자별 주가'!F52</f>
        <v>1321855000000</v>
      </c>
      <c r="G52" s="7" t="n">
        <f aca="false">SUM(B52:F52)</f>
        <v>2329126000000</v>
      </c>
      <c r="H52" s="9" t="n">
        <f aca="false">G52*100/G$2</f>
        <v>122.585578947368</v>
      </c>
    </row>
    <row r="53" customFormat="false" ht="13.8" hidden="false" customHeight="false" outlineLevel="0" collapsed="false">
      <c r="A53" s="0" t="n">
        <v>52</v>
      </c>
      <c r="B53" s="7" t="n">
        <f aca="false">'종목 기본정보'!B$2*'일자별 주가'!B53</f>
        <v>129790000000</v>
      </c>
      <c r="C53" s="7" t="n">
        <f aca="false">'종목 기본정보'!C$2*'일자별 주가'!C53</f>
        <v>133680000000</v>
      </c>
      <c r="D53" s="7" t="n">
        <f aca="false">'종목 기본정보'!D$2*'일자별 주가'!D53</f>
        <v>635480000000</v>
      </c>
      <c r="E53" s="7" t="n">
        <f aca="false">'종목 기본정보'!E$2*'일자별 주가'!E53</f>
        <v>106413000000</v>
      </c>
      <c r="F53" s="7" t="n">
        <f aca="false">'종목 기본정보'!F$2*'일자별 주가'!F53</f>
        <v>1342478000000</v>
      </c>
      <c r="G53" s="7" t="n">
        <f aca="false">SUM(B53:F53)</f>
        <v>2347841000000</v>
      </c>
      <c r="H53" s="9" t="n">
        <f aca="false">G53*100/G$2</f>
        <v>123.570578947368</v>
      </c>
    </row>
    <row r="54" customFormat="false" ht="13.8" hidden="false" customHeight="false" outlineLevel="0" collapsed="false">
      <c r="A54" s="0" t="n">
        <v>53</v>
      </c>
      <c r="B54" s="7" t="n">
        <f aca="false">'종목 기본정보'!B$2*'일자별 주가'!B54</f>
        <v>127110000000</v>
      </c>
      <c r="C54" s="7" t="n">
        <f aca="false">'종목 기본정보'!C$2*'일자별 주가'!C54</f>
        <v>134735000000</v>
      </c>
      <c r="D54" s="7" t="n">
        <f aca="false">'종목 기본정보'!D$2*'일자별 주가'!D54</f>
        <v>636660000000</v>
      </c>
      <c r="E54" s="7" t="n">
        <f aca="false">'종목 기본정보'!E$2*'일자별 주가'!E54</f>
        <v>108807000000</v>
      </c>
      <c r="F54" s="7" t="n">
        <f aca="false">'종목 기본정보'!F$2*'일자별 주가'!F54</f>
        <v>1386360000000</v>
      </c>
      <c r="G54" s="7" t="n">
        <f aca="false">SUM(B54:F54)</f>
        <v>2393672000000</v>
      </c>
      <c r="H54" s="9" t="n">
        <f aca="false">G54*100/G$2</f>
        <v>125.982736842105</v>
      </c>
    </row>
    <row r="55" customFormat="false" ht="13.8" hidden="false" customHeight="false" outlineLevel="0" collapsed="false">
      <c r="A55" s="0" t="n">
        <v>54</v>
      </c>
      <c r="B55" s="7" t="n">
        <f aca="false">'종목 기본정보'!B$2*'일자별 주가'!B55</f>
        <v>123510000000</v>
      </c>
      <c r="C55" s="7" t="n">
        <f aca="false">'종목 기본정보'!C$2*'일자별 주가'!C55</f>
        <v>132395000000</v>
      </c>
      <c r="D55" s="7" t="n">
        <f aca="false">'종목 기본정보'!D$2*'일자별 주가'!D55</f>
        <v>648980000000</v>
      </c>
      <c r="E55" s="7" t="n">
        <f aca="false">'종목 기본정보'!E$2*'일자별 주가'!E55</f>
        <v>112390000000</v>
      </c>
      <c r="F55" s="7" t="n">
        <f aca="false">'종목 기본정보'!F$2*'일자별 주가'!F55</f>
        <v>1371700000000</v>
      </c>
      <c r="G55" s="7" t="n">
        <f aca="false">SUM(B55:F55)</f>
        <v>2388975000000</v>
      </c>
      <c r="H55" s="9" t="n">
        <f aca="false">G55*100/G$2</f>
        <v>125.735526315789</v>
      </c>
    </row>
    <row r="56" customFormat="false" ht="13.8" hidden="false" customHeight="false" outlineLevel="0" collapsed="false">
      <c r="A56" s="0" t="n">
        <v>55</v>
      </c>
      <c r="B56" s="7" t="n">
        <f aca="false">'종목 기본정보'!B$2*'일자별 주가'!B56</f>
        <v>123100000000</v>
      </c>
      <c r="C56" s="7" t="n">
        <f aca="false">'종목 기본정보'!C$2*'일자별 주가'!C56</f>
        <v>135260000000</v>
      </c>
      <c r="D56" s="7" t="n">
        <f aca="false">'종목 기본정보'!D$2*'일자별 주가'!D56</f>
        <v>642620000000</v>
      </c>
      <c r="E56" s="7" t="n">
        <f aca="false">'종목 기본정보'!E$2*'일자별 주가'!E56</f>
        <v>111688000000</v>
      </c>
      <c r="F56" s="7" t="n">
        <f aca="false">'종목 기본정보'!F$2*'일자별 주가'!F56</f>
        <v>1390271000000</v>
      </c>
      <c r="G56" s="7" t="n">
        <f aca="false">SUM(B56:F56)</f>
        <v>2402939000000</v>
      </c>
      <c r="H56" s="9" t="n">
        <f aca="false">G56*100/G$2</f>
        <v>126.470473684211</v>
      </c>
    </row>
    <row r="57" customFormat="false" ht="13.8" hidden="false" customHeight="false" outlineLevel="0" collapsed="false">
      <c r="A57" s="0" t="n">
        <v>56</v>
      </c>
      <c r="B57" s="7" t="n">
        <f aca="false">'종목 기본정보'!B$2*'일자별 주가'!B57</f>
        <v>122220000000</v>
      </c>
      <c r="C57" s="7" t="n">
        <f aca="false">'종목 기본정보'!C$2*'일자별 주가'!C57</f>
        <v>134650000000</v>
      </c>
      <c r="D57" s="7" t="n">
        <f aca="false">'종목 기본정보'!D$2*'일자별 주가'!D57</f>
        <v>634000000000</v>
      </c>
      <c r="E57" s="7" t="n">
        <f aca="false">'종목 기본정보'!E$2*'일자별 주가'!E57</f>
        <v>110048000000</v>
      </c>
      <c r="F57" s="7" t="n">
        <f aca="false">'종목 기본정보'!F$2*'일자별 주가'!F57</f>
        <v>1432224000000</v>
      </c>
      <c r="G57" s="7" t="n">
        <f aca="false">SUM(B57:F57)</f>
        <v>2433142000000</v>
      </c>
      <c r="H57" s="9" t="n">
        <f aca="false">G57*100/G$2</f>
        <v>128.060105263158</v>
      </c>
    </row>
    <row r="58" customFormat="false" ht="13.8" hidden="false" customHeight="false" outlineLevel="0" collapsed="false">
      <c r="A58" s="0" t="n">
        <v>57</v>
      </c>
      <c r="B58" s="7" t="n">
        <f aca="false">'종목 기본정보'!B$2*'일자별 주가'!B58</f>
        <v>126070000000</v>
      </c>
      <c r="C58" s="7" t="n">
        <f aca="false">'종목 기본정보'!C$2*'일자별 주가'!C58</f>
        <v>134265000000</v>
      </c>
      <c r="D58" s="7" t="n">
        <f aca="false">'종목 기본정보'!D$2*'일자별 주가'!D58</f>
        <v>627440000000</v>
      </c>
      <c r="E58" s="7" t="n">
        <f aca="false">'종목 기본정보'!E$2*'일자별 주가'!E58</f>
        <v>112348000000</v>
      </c>
      <c r="F58" s="7" t="n">
        <f aca="false">'종목 기본정보'!F$2*'일자별 주가'!F58</f>
        <v>1433727000000</v>
      </c>
      <c r="G58" s="7" t="n">
        <f aca="false">SUM(B58:F58)</f>
        <v>2433850000000</v>
      </c>
      <c r="H58" s="9" t="n">
        <f aca="false">G58*100/G$2</f>
        <v>128.097368421053</v>
      </c>
    </row>
    <row r="59" customFormat="false" ht="13.8" hidden="false" customHeight="false" outlineLevel="0" collapsed="false">
      <c r="A59" s="0" t="n">
        <v>58</v>
      </c>
      <c r="B59" s="7" t="n">
        <f aca="false">'종목 기본정보'!B$2*'일자별 주가'!B59</f>
        <v>123320000000</v>
      </c>
      <c r="C59" s="7" t="n">
        <f aca="false">'종목 기본정보'!C$2*'일자별 주가'!C59</f>
        <v>138020000000</v>
      </c>
      <c r="D59" s="7" t="n">
        <f aca="false">'종목 기본정보'!D$2*'일자별 주가'!D59</f>
        <v>624020000000</v>
      </c>
      <c r="E59" s="7" t="n">
        <f aca="false">'종목 기본정보'!E$2*'일자별 주가'!E59</f>
        <v>112464000000</v>
      </c>
      <c r="F59" s="7" t="n">
        <f aca="false">'종목 기본정보'!F$2*'일자별 주가'!F59</f>
        <v>1398907000000</v>
      </c>
      <c r="G59" s="7" t="n">
        <f aca="false">SUM(B59:F59)</f>
        <v>2396731000000</v>
      </c>
      <c r="H59" s="9" t="n">
        <f aca="false">G59*100/G$2</f>
        <v>126.143736842105</v>
      </c>
    </row>
    <row r="60" customFormat="false" ht="13.8" hidden="false" customHeight="false" outlineLevel="0" collapsed="false">
      <c r="A60" s="0" t="n">
        <v>59</v>
      </c>
      <c r="B60" s="7" t="n">
        <f aca="false">'종목 기본정보'!B$2*'일자별 주가'!B60</f>
        <v>124270000000</v>
      </c>
      <c r="C60" s="7" t="n">
        <f aca="false">'종목 기본정보'!C$2*'일자별 주가'!C60</f>
        <v>134785000000</v>
      </c>
      <c r="D60" s="7" t="n">
        <f aca="false">'종목 기본정보'!D$2*'일자별 주가'!D60</f>
        <v>624140000000</v>
      </c>
      <c r="E60" s="7" t="n">
        <f aca="false">'종목 기본정보'!E$2*'일자별 주가'!E60</f>
        <v>114494000000</v>
      </c>
      <c r="F60" s="7" t="n">
        <f aca="false">'종목 기본정보'!F$2*'일자별 주가'!F60</f>
        <v>1362127000000</v>
      </c>
      <c r="G60" s="7" t="n">
        <f aca="false">SUM(B60:F60)</f>
        <v>2359816000000</v>
      </c>
      <c r="H60" s="9" t="n">
        <f aca="false">G60*100/G$2</f>
        <v>124.200842105263</v>
      </c>
    </row>
    <row r="61" customFormat="false" ht="13.8" hidden="false" customHeight="false" outlineLevel="0" collapsed="false">
      <c r="A61" s="0" t="n">
        <v>60</v>
      </c>
      <c r="B61" s="7" t="n">
        <f aca="false">'종목 기본정보'!B$2*'일자별 주가'!B61</f>
        <v>127840000000</v>
      </c>
      <c r="C61" s="7" t="n">
        <f aca="false">'종목 기본정보'!C$2*'일자별 주가'!C61</f>
        <v>136885000000</v>
      </c>
      <c r="D61" s="7" t="n">
        <f aca="false">'종목 기본정보'!D$2*'일자별 주가'!D61</f>
        <v>609160000000</v>
      </c>
      <c r="E61" s="7" t="n">
        <f aca="false">'종목 기본정보'!E$2*'일자별 주가'!E61</f>
        <v>112713000000</v>
      </c>
      <c r="F61" s="7" t="n">
        <f aca="false">'종목 기본정보'!F$2*'일자별 주가'!F61</f>
        <v>1379617000000</v>
      </c>
      <c r="G61" s="7" t="n">
        <f aca="false">SUM(B61:F61)</f>
        <v>2366215000000</v>
      </c>
      <c r="H61" s="9" t="n">
        <f aca="false">G61*100/G$2</f>
        <v>124.537631578947</v>
      </c>
    </row>
    <row r="62" customFormat="false" ht="13.8" hidden="false" customHeight="false" outlineLevel="0" collapsed="false">
      <c r="A62" s="0" t="n">
        <v>61</v>
      </c>
      <c r="B62" s="7" t="n">
        <f aca="false">'종목 기본정보'!B$2*'일자별 주가'!B62</f>
        <v>129470000000</v>
      </c>
      <c r="C62" s="7" t="n">
        <f aca="false">'종목 기본정보'!C$2*'일자별 주가'!C62</f>
        <v>134920000000</v>
      </c>
      <c r="D62" s="7" t="n">
        <f aca="false">'종목 기본정보'!D$2*'일자별 주가'!D62</f>
        <v>604660000000</v>
      </c>
      <c r="E62" s="7" t="n">
        <f aca="false">'종목 기본정보'!E$2*'일자별 주가'!E62</f>
        <v>110205000000</v>
      </c>
      <c r="F62" s="7" t="n">
        <f aca="false">'종목 기본정보'!F$2*'일자별 주가'!F62</f>
        <v>1403841000000</v>
      </c>
      <c r="G62" s="7" t="n">
        <f aca="false">SUM(B62:F62)</f>
        <v>2383096000000</v>
      </c>
      <c r="H62" s="9" t="n">
        <f aca="false">G62*100/G$2</f>
        <v>125.426105263158</v>
      </c>
    </row>
    <row r="63" customFormat="false" ht="13.8" hidden="false" customHeight="false" outlineLevel="0" collapsed="false">
      <c r="A63" s="0" t="n">
        <v>62</v>
      </c>
      <c r="B63" s="7" t="n">
        <f aca="false">'종목 기본정보'!B$2*'일자별 주가'!B63</f>
        <v>127090000000</v>
      </c>
      <c r="C63" s="7" t="n">
        <f aca="false">'종목 기본정보'!C$2*'일자별 주가'!C63</f>
        <v>136965000000</v>
      </c>
      <c r="D63" s="7" t="n">
        <f aca="false">'종목 기본정보'!D$2*'일자별 주가'!D63</f>
        <v>601080000000</v>
      </c>
      <c r="E63" s="7" t="n">
        <f aca="false">'종목 기본정보'!E$2*'일자별 주가'!E63</f>
        <v>108118000000</v>
      </c>
      <c r="F63" s="7" t="n">
        <f aca="false">'종목 기본정보'!F$2*'일자별 주가'!F63</f>
        <v>1384894000000</v>
      </c>
      <c r="G63" s="7" t="n">
        <f aca="false">SUM(B63:F63)</f>
        <v>2358147000000</v>
      </c>
      <c r="H63" s="9" t="n">
        <f aca="false">G63*100/G$2</f>
        <v>124.113</v>
      </c>
    </row>
    <row r="64" customFormat="false" ht="13.8" hidden="false" customHeight="false" outlineLevel="0" collapsed="false">
      <c r="A64" s="0" t="n">
        <v>63</v>
      </c>
      <c r="B64" s="7" t="n">
        <f aca="false">'종목 기본정보'!B$2*'일자별 주가'!B64</f>
        <v>131220000000</v>
      </c>
      <c r="C64" s="7" t="n">
        <f aca="false">'종목 기본정보'!C$2*'일자별 주가'!C64</f>
        <v>134215000000</v>
      </c>
      <c r="D64" s="7" t="n">
        <f aca="false">'종목 기본정보'!D$2*'일자별 주가'!D64</f>
        <v>617420000000</v>
      </c>
      <c r="E64" s="7" t="n">
        <f aca="false">'종목 기본정보'!E$2*'일자별 주가'!E64</f>
        <v>106485000000</v>
      </c>
      <c r="F64" s="7" t="n">
        <f aca="false">'종목 기본정보'!F$2*'일자별 주가'!F64</f>
        <v>1416564000000</v>
      </c>
      <c r="G64" s="7" t="n">
        <f aca="false">SUM(B64:F64)</f>
        <v>2405904000000</v>
      </c>
      <c r="H64" s="9" t="n">
        <f aca="false">G64*100/G$2</f>
        <v>126.626526315789</v>
      </c>
    </row>
    <row r="65" customFormat="false" ht="13.8" hidden="false" customHeight="false" outlineLevel="0" collapsed="false">
      <c r="A65" s="0" t="n">
        <v>64</v>
      </c>
      <c r="B65" s="7" t="n">
        <f aca="false">'종목 기본정보'!B$2*'일자별 주가'!B65</f>
        <v>133810000000</v>
      </c>
      <c r="C65" s="7" t="n">
        <f aca="false">'종목 기본정보'!C$2*'일자별 주가'!C65</f>
        <v>132070000000</v>
      </c>
      <c r="D65" s="7" t="n">
        <f aca="false">'종목 기본정보'!D$2*'일자별 주가'!D65</f>
        <v>604240000000</v>
      </c>
      <c r="E65" s="7" t="n">
        <f aca="false">'종목 기본정보'!E$2*'일자별 주가'!E65</f>
        <v>107867000000</v>
      </c>
      <c r="F65" s="7" t="n">
        <f aca="false">'종목 기본정보'!F$2*'일자별 주가'!F65</f>
        <v>1415061000000</v>
      </c>
      <c r="G65" s="7" t="n">
        <f aca="false">SUM(B65:F65)</f>
        <v>2393048000000</v>
      </c>
      <c r="H65" s="9" t="n">
        <f aca="false">G65*100/G$2</f>
        <v>125.949894736842</v>
      </c>
    </row>
    <row r="66" customFormat="false" ht="13.8" hidden="false" customHeight="false" outlineLevel="0" collapsed="false">
      <c r="A66" s="0" t="n">
        <v>65</v>
      </c>
      <c r="B66" s="7" t="n">
        <f aca="false">'종목 기본정보'!B$2*'일자별 주가'!B66</f>
        <v>130070000000</v>
      </c>
      <c r="C66" s="7" t="n">
        <f aca="false">'종목 기본정보'!C$2*'일자별 주가'!C66</f>
        <v>129005000000</v>
      </c>
      <c r="D66" s="7" t="n">
        <f aca="false">'종목 기본정보'!D$2*'일자별 주가'!D66</f>
        <v>589080000000</v>
      </c>
      <c r="E66" s="7" t="n">
        <f aca="false">'종목 기본정보'!E$2*'일자별 주가'!E66</f>
        <v>105527000000</v>
      </c>
      <c r="F66" s="7" t="n">
        <f aca="false">'종목 기본정보'!F$2*'일자별 주가'!F66</f>
        <v>1398503000000</v>
      </c>
      <c r="G66" s="7" t="n">
        <f aca="false">SUM(B66:F66)</f>
        <v>2352185000000</v>
      </c>
      <c r="H66" s="9" t="n">
        <f aca="false">G66*100/G$2</f>
        <v>123.799210526316</v>
      </c>
    </row>
    <row r="67" customFormat="false" ht="13.8" hidden="false" customHeight="false" outlineLevel="0" collapsed="false">
      <c r="A67" s="0" t="n">
        <v>66</v>
      </c>
      <c r="B67" s="7" t="n">
        <f aca="false">'종목 기본정보'!B$2*'일자별 주가'!B67</f>
        <v>131510000000</v>
      </c>
      <c r="C67" s="7" t="n">
        <f aca="false">'종목 기본정보'!C$2*'일자별 주가'!C67</f>
        <v>129360000000</v>
      </c>
      <c r="D67" s="7" t="n">
        <f aca="false">'종목 기본정보'!D$2*'일자별 주가'!D67</f>
        <v>575980000000</v>
      </c>
      <c r="E67" s="7" t="n">
        <f aca="false">'종목 기본정보'!E$2*'일자별 주가'!E67</f>
        <v>103921000000</v>
      </c>
      <c r="F67" s="7" t="n">
        <f aca="false">'종목 기본정보'!F$2*'일자별 주가'!F67</f>
        <v>1437111000000</v>
      </c>
      <c r="G67" s="7" t="n">
        <f aca="false">SUM(B67:F67)</f>
        <v>2377882000000</v>
      </c>
      <c r="H67" s="9" t="n">
        <f aca="false">G67*100/G$2</f>
        <v>125.151684210526</v>
      </c>
    </row>
    <row r="68" customFormat="false" ht="13.8" hidden="false" customHeight="false" outlineLevel="0" collapsed="false">
      <c r="A68" s="0" t="n">
        <v>67</v>
      </c>
      <c r="B68" s="7" t="n">
        <f aca="false">'종목 기본정보'!B$2*'일자별 주가'!B68</f>
        <v>134960000000</v>
      </c>
      <c r="C68" s="7" t="n">
        <f aca="false">'종목 기본정보'!C$2*'일자별 주가'!C68</f>
        <v>130755000000</v>
      </c>
      <c r="D68" s="7" t="n">
        <f aca="false">'종목 기본정보'!D$2*'일자별 주가'!D68</f>
        <v>589980000000</v>
      </c>
      <c r="E68" s="7" t="n">
        <f aca="false">'종목 기본정보'!E$2*'일자별 주가'!E68</f>
        <v>105990000000</v>
      </c>
      <c r="F68" s="7" t="n">
        <f aca="false">'종목 기본정보'!F$2*'일자별 주가'!F68</f>
        <v>1429852000000</v>
      </c>
      <c r="G68" s="7" t="n">
        <f aca="false">SUM(B68:F68)</f>
        <v>2391537000000</v>
      </c>
      <c r="H68" s="9" t="n">
        <f aca="false">G68*100/G$2</f>
        <v>125.870368421053</v>
      </c>
    </row>
    <row r="69" customFormat="false" ht="13.8" hidden="false" customHeight="false" outlineLevel="0" collapsed="false">
      <c r="A69" s="0" t="n">
        <v>68</v>
      </c>
      <c r="B69" s="7" t="n">
        <f aca="false">'종목 기본정보'!B$2*'일자별 주가'!B69</f>
        <v>135720000000</v>
      </c>
      <c r="C69" s="7" t="n">
        <f aca="false">'종목 기본정보'!C$2*'일자별 주가'!C69</f>
        <v>129745000000</v>
      </c>
      <c r="D69" s="7" t="n">
        <f aca="false">'종목 기본정보'!D$2*'일자별 주가'!D69</f>
        <v>584260000000</v>
      </c>
      <c r="E69" s="7" t="n">
        <f aca="false">'종목 기본정보'!E$2*'일자별 주가'!E69</f>
        <v>107106000000</v>
      </c>
      <c r="F69" s="7" t="n">
        <f aca="false">'종목 기본정보'!F$2*'일자별 주가'!F69</f>
        <v>1416491000000</v>
      </c>
      <c r="G69" s="7" t="n">
        <f aca="false">SUM(B69:F69)</f>
        <v>2373322000000</v>
      </c>
      <c r="H69" s="9" t="n">
        <f aca="false">G69*100/G$2</f>
        <v>124.911684210526</v>
      </c>
    </row>
    <row r="70" customFormat="false" ht="13.8" hidden="false" customHeight="false" outlineLevel="0" collapsed="false">
      <c r="A70" s="0" t="n">
        <v>69</v>
      </c>
      <c r="B70" s="7" t="n">
        <f aca="false">'종목 기본정보'!B$2*'일자별 주가'!B70</f>
        <v>139410000000</v>
      </c>
      <c r="C70" s="7" t="n">
        <f aca="false">'종목 기본정보'!C$2*'일자별 주가'!C70</f>
        <v>131285000000</v>
      </c>
      <c r="D70" s="7" t="n">
        <f aca="false">'종목 기본정보'!D$2*'일자별 주가'!D70</f>
        <v>579160000000</v>
      </c>
      <c r="E70" s="7" t="n">
        <f aca="false">'종목 기본정보'!E$2*'일자별 주가'!E70</f>
        <v>108729000000</v>
      </c>
      <c r="F70" s="7" t="n">
        <f aca="false">'종목 기본정보'!F$2*'일자별 주가'!F70</f>
        <v>1416747000000</v>
      </c>
      <c r="G70" s="7" t="n">
        <f aca="false">SUM(B70:F70)</f>
        <v>2375331000000</v>
      </c>
      <c r="H70" s="9" t="n">
        <f aca="false">G70*100/G$2</f>
        <v>125.017421052632</v>
      </c>
    </row>
    <row r="71" customFormat="false" ht="13.8" hidden="false" customHeight="false" outlineLevel="0" collapsed="false">
      <c r="A71" s="0" t="n">
        <v>70</v>
      </c>
      <c r="B71" s="7" t="n">
        <f aca="false">'종목 기본정보'!B$2*'일자별 주가'!B71</f>
        <v>136170000000</v>
      </c>
      <c r="C71" s="7" t="n">
        <f aca="false">'종목 기본정보'!C$2*'일자별 주가'!C71</f>
        <v>130665000000</v>
      </c>
      <c r="D71" s="7" t="n">
        <f aca="false">'종목 기본정보'!D$2*'일자별 주가'!D71</f>
        <v>582440000000</v>
      </c>
      <c r="E71" s="7" t="n">
        <f aca="false">'종목 기본정보'!E$2*'일자별 주가'!E71</f>
        <v>108403000000</v>
      </c>
      <c r="F71" s="7" t="n">
        <f aca="false">'종목 기본정보'!F$2*'일자별 주가'!F71</f>
        <v>1445065000000</v>
      </c>
      <c r="G71" s="7" t="n">
        <f aca="false">SUM(B71:F71)</f>
        <v>2402743000000</v>
      </c>
      <c r="H71" s="9" t="n">
        <f aca="false">G71*100/G$2</f>
        <v>126.460157894737</v>
      </c>
    </row>
    <row r="72" customFormat="false" ht="13.8" hidden="false" customHeight="false" outlineLevel="0" collapsed="false">
      <c r="A72" s="0" t="n">
        <v>71</v>
      </c>
      <c r="B72" s="7" t="n">
        <f aca="false">'종목 기본정보'!B$2*'일자별 주가'!B72</f>
        <v>139420000000</v>
      </c>
      <c r="C72" s="7" t="n">
        <f aca="false">'종목 기본정보'!C$2*'일자별 주가'!C72</f>
        <v>132580000000</v>
      </c>
      <c r="D72" s="7" t="n">
        <f aca="false">'종목 기본정보'!D$2*'일자별 주가'!D72</f>
        <v>591480000000</v>
      </c>
      <c r="E72" s="7" t="n">
        <f aca="false">'종목 기본정보'!E$2*'일자별 주가'!E72</f>
        <v>108202000000</v>
      </c>
      <c r="F72" s="7" t="n">
        <f aca="false">'종목 기본정보'!F$2*'일자별 주가'!F72</f>
        <v>1475578000000</v>
      </c>
      <c r="G72" s="7" t="n">
        <f aca="false">SUM(B72:F72)</f>
        <v>2447260000000</v>
      </c>
      <c r="H72" s="9" t="n">
        <f aca="false">G72*100/G$2</f>
        <v>128.803157894737</v>
      </c>
    </row>
    <row r="73" customFormat="false" ht="13.8" hidden="false" customHeight="false" outlineLevel="0" collapsed="false">
      <c r="A73" s="0" t="n">
        <v>72</v>
      </c>
      <c r="B73" s="7" t="n">
        <f aca="false">'종목 기본정보'!B$2*'일자별 주가'!B73</f>
        <v>138150000000</v>
      </c>
      <c r="C73" s="7" t="n">
        <f aca="false">'종목 기본정보'!C$2*'일자별 주가'!C73</f>
        <v>134535000000</v>
      </c>
      <c r="D73" s="7" t="n">
        <f aca="false">'종목 기본정보'!D$2*'일자별 주가'!D73</f>
        <v>581500000000</v>
      </c>
      <c r="E73" s="7" t="n">
        <f aca="false">'종목 기본정보'!E$2*'일자별 주가'!E73</f>
        <v>110340000000</v>
      </c>
      <c r="F73" s="7" t="n">
        <f aca="false">'종목 기본정보'!F$2*'일자별 주가'!F73</f>
        <v>1472355000000</v>
      </c>
      <c r="G73" s="7" t="n">
        <f aca="false">SUM(B73:F73)</f>
        <v>2436880000000</v>
      </c>
      <c r="H73" s="9" t="n">
        <f aca="false">G73*100/G$2</f>
        <v>128.256842105263</v>
      </c>
    </row>
    <row r="74" customFormat="false" ht="13.8" hidden="false" customHeight="false" outlineLevel="0" collapsed="false">
      <c r="A74" s="0" t="n">
        <v>73</v>
      </c>
      <c r="B74" s="7" t="n">
        <f aca="false">'종목 기본정보'!B$2*'일자별 주가'!B74</f>
        <v>137610000000</v>
      </c>
      <c r="C74" s="7" t="n">
        <f aca="false">'종목 기본정보'!C$2*'일자별 주가'!C74</f>
        <v>132195000000</v>
      </c>
      <c r="D74" s="7" t="n">
        <f aca="false">'종목 기본정보'!D$2*'일자별 주가'!D74</f>
        <v>570800000000</v>
      </c>
      <c r="E74" s="7" t="n">
        <f aca="false">'종목 기본정보'!E$2*'일자별 주가'!E74</f>
        <v>111787000000</v>
      </c>
      <c r="F74" s="7" t="n">
        <f aca="false">'종목 기본정보'!F$2*'일자별 주가'!F74</f>
        <v>1467062000000</v>
      </c>
      <c r="G74" s="7" t="n">
        <f aca="false">SUM(B74:F74)</f>
        <v>2419454000000</v>
      </c>
      <c r="H74" s="9" t="n">
        <f aca="false">G74*100/G$2</f>
        <v>127.339684210526</v>
      </c>
    </row>
    <row r="75" customFormat="false" ht="13.8" hidden="false" customHeight="false" outlineLevel="0" collapsed="false">
      <c r="A75" s="0" t="n">
        <v>74</v>
      </c>
      <c r="B75" s="7" t="n">
        <f aca="false">'종목 기본정보'!B$2*'일자별 주가'!B75</f>
        <v>137890000000</v>
      </c>
      <c r="C75" s="7" t="n">
        <f aca="false">'종목 기본정보'!C$2*'일자별 주가'!C75</f>
        <v>129720000000</v>
      </c>
      <c r="D75" s="7" t="n">
        <f aca="false">'종목 기본정보'!D$2*'일자별 주가'!D75</f>
        <v>576320000000</v>
      </c>
      <c r="E75" s="7" t="n">
        <f aca="false">'종목 기본정보'!E$2*'일자별 주가'!E75</f>
        <v>110806000000</v>
      </c>
      <c r="F75" s="7" t="n">
        <f aca="false">'종목 기본정보'!F$2*'일자별 주가'!F75</f>
        <v>1457130000000</v>
      </c>
      <c r="G75" s="7" t="n">
        <f aca="false">SUM(B75:F75)</f>
        <v>2411866000000</v>
      </c>
      <c r="H75" s="9" t="n">
        <f aca="false">G75*100/G$2</f>
        <v>126.940315789474</v>
      </c>
    </row>
    <row r="76" customFormat="false" ht="13.8" hidden="false" customHeight="false" outlineLevel="0" collapsed="false">
      <c r="A76" s="0" t="n">
        <v>75</v>
      </c>
      <c r="B76" s="7" t="n">
        <f aca="false">'종목 기본정보'!B$2*'일자별 주가'!B76</f>
        <v>135040000000</v>
      </c>
      <c r="C76" s="7" t="n">
        <f aca="false">'종목 기본정보'!C$2*'일자별 주가'!C76</f>
        <v>126995000000</v>
      </c>
      <c r="D76" s="7" t="n">
        <f aca="false">'종목 기본정보'!D$2*'일자별 주가'!D76</f>
        <v>588840000000</v>
      </c>
      <c r="E76" s="7" t="n">
        <f aca="false">'종목 기본정보'!E$2*'일자별 주가'!E76</f>
        <v>107744000000</v>
      </c>
      <c r="F76" s="7" t="n">
        <f aca="false">'종목 기본정보'!F$2*'일자별 주가'!F76</f>
        <v>1442939000000</v>
      </c>
      <c r="G76" s="7" t="n">
        <f aca="false">SUM(B76:F76)</f>
        <v>2401558000000</v>
      </c>
      <c r="H76" s="9" t="n">
        <f aca="false">G76*100/G$2</f>
        <v>126.397789473684</v>
      </c>
    </row>
    <row r="77" customFormat="false" ht="13.8" hidden="false" customHeight="false" outlineLevel="0" collapsed="false">
      <c r="A77" s="0" t="n">
        <v>76</v>
      </c>
      <c r="B77" s="7" t="n">
        <f aca="false">'종목 기본정보'!B$2*'일자별 주가'!B77</f>
        <v>135100000000</v>
      </c>
      <c r="C77" s="7" t="n">
        <f aca="false">'종목 기본정보'!C$2*'일자별 주가'!C77</f>
        <v>130355000000</v>
      </c>
      <c r="D77" s="7" t="n">
        <f aca="false">'종목 기본정보'!D$2*'일자별 주가'!D77</f>
        <v>607900000000</v>
      </c>
      <c r="E77" s="7" t="n">
        <f aca="false">'종목 기본정보'!E$2*'일자별 주가'!E77</f>
        <v>107428000000</v>
      </c>
      <c r="F77" s="7" t="n">
        <f aca="false">'종목 기본정보'!F$2*'일자별 주가'!F77</f>
        <v>1455064000000</v>
      </c>
      <c r="G77" s="7" t="n">
        <f aca="false">SUM(B77:F77)</f>
        <v>2435847000000</v>
      </c>
      <c r="H77" s="9" t="n">
        <f aca="false">G77*100/G$2</f>
        <v>128.202473684211</v>
      </c>
    </row>
    <row r="78" customFormat="false" ht="13.8" hidden="false" customHeight="false" outlineLevel="0" collapsed="false">
      <c r="A78" s="0" t="n">
        <v>77</v>
      </c>
      <c r="B78" s="7" t="n">
        <f aca="false">'종목 기본정보'!B$2*'일자별 주가'!B78</f>
        <v>136240000000</v>
      </c>
      <c r="C78" s="7" t="n">
        <f aca="false">'종목 기본정보'!C$2*'일자별 주가'!C78</f>
        <v>131865000000</v>
      </c>
      <c r="D78" s="7" t="n">
        <f aca="false">'종목 기본정보'!D$2*'일자별 주가'!D78</f>
        <v>619860000000</v>
      </c>
      <c r="E78" s="7" t="n">
        <f aca="false">'종목 기본정보'!E$2*'일자별 주가'!E78</f>
        <v>104599000000</v>
      </c>
      <c r="F78" s="7" t="n">
        <f aca="false">'종목 기본정보'!F$2*'일자별 주가'!F78</f>
        <v>1421994000000</v>
      </c>
      <c r="G78" s="7" t="n">
        <f aca="false">SUM(B78:F78)</f>
        <v>2414558000000</v>
      </c>
      <c r="H78" s="9" t="n">
        <f aca="false">G78*100/G$2</f>
        <v>127.082</v>
      </c>
    </row>
    <row r="79" customFormat="false" ht="13.8" hidden="false" customHeight="false" outlineLevel="0" collapsed="false">
      <c r="A79" s="0" t="n">
        <v>78</v>
      </c>
      <c r="B79" s="7" t="n">
        <f aca="false">'종목 기본정보'!B$2*'일자별 주가'!B79</f>
        <v>136610000000</v>
      </c>
      <c r="C79" s="7" t="n">
        <f aca="false">'종목 기본정보'!C$2*'일자별 주가'!C79</f>
        <v>134475000000</v>
      </c>
      <c r="D79" s="7" t="n">
        <f aca="false">'종목 기본정보'!D$2*'일자별 주가'!D79</f>
        <v>637060000000</v>
      </c>
      <c r="E79" s="7" t="n">
        <f aca="false">'종목 기본정보'!E$2*'일자별 주가'!E79</f>
        <v>101620000000</v>
      </c>
      <c r="F79" s="7" t="n">
        <f aca="false">'종목 기본정보'!F$2*'일자별 주가'!F79</f>
        <v>1381621000000</v>
      </c>
      <c r="G79" s="7" t="n">
        <f aca="false">SUM(B79:F79)</f>
        <v>2391386000000</v>
      </c>
      <c r="H79" s="9" t="n">
        <f aca="false">G79*100/G$2</f>
        <v>125.862421052632</v>
      </c>
    </row>
    <row r="80" customFormat="false" ht="13.8" hidden="false" customHeight="false" outlineLevel="0" collapsed="false">
      <c r="A80" s="0" t="n">
        <v>79</v>
      </c>
      <c r="B80" s="7" t="n">
        <f aca="false">'종목 기본정보'!B$2*'일자별 주가'!B80</f>
        <v>139380000000</v>
      </c>
      <c r="C80" s="7" t="n">
        <f aca="false">'종목 기본정보'!C$2*'일자별 주가'!C80</f>
        <v>138425000000</v>
      </c>
      <c r="D80" s="7" t="n">
        <f aca="false">'종목 기본정보'!D$2*'일자별 주가'!D80</f>
        <v>644840000000</v>
      </c>
      <c r="E80" s="7" t="n">
        <f aca="false">'종목 기본정보'!E$2*'일자별 주가'!E80</f>
        <v>99537000000</v>
      </c>
      <c r="F80" s="7" t="n">
        <f aca="false">'종목 기본정보'!F$2*'일자별 주가'!F80</f>
        <v>1390791000000</v>
      </c>
      <c r="G80" s="7" t="n">
        <f aca="false">SUM(B80:F80)</f>
        <v>2412973000000</v>
      </c>
      <c r="H80" s="9" t="n">
        <f aca="false">G80*100/G$2</f>
        <v>126.998578947368</v>
      </c>
    </row>
    <row r="81" customFormat="false" ht="13.8" hidden="false" customHeight="false" outlineLevel="0" collapsed="false">
      <c r="A81" s="0" t="n">
        <v>80</v>
      </c>
      <c r="B81" s="7" t="n">
        <f aca="false">'종목 기본정보'!B$2*'일자별 주가'!B81</f>
        <v>143840000000</v>
      </c>
      <c r="C81" s="7" t="n">
        <f aca="false">'종목 기본정보'!C$2*'일자별 주가'!C81</f>
        <v>139630000000</v>
      </c>
      <c r="D81" s="7" t="n">
        <f aca="false">'종목 기본정보'!D$2*'일자별 주가'!D81</f>
        <v>656000000000</v>
      </c>
      <c r="E81" s="7" t="n">
        <f aca="false">'종목 기본정보'!E$2*'일자별 주가'!E81</f>
        <v>98937000000</v>
      </c>
      <c r="F81" s="7" t="n">
        <f aca="false">'종목 기본정보'!F$2*'일자별 주가'!F81</f>
        <v>1434176000000</v>
      </c>
      <c r="G81" s="7" t="n">
        <f aca="false">SUM(B81:F81)</f>
        <v>2472583000000</v>
      </c>
      <c r="H81" s="9" t="n">
        <f aca="false">G81*100/G$2</f>
        <v>130.135947368421</v>
      </c>
    </row>
    <row r="82" customFormat="false" ht="13.8" hidden="false" customHeight="false" outlineLevel="0" collapsed="false">
      <c r="A82" s="0" t="n">
        <v>81</v>
      </c>
      <c r="B82" s="7" t="n">
        <f aca="false">'종목 기본정보'!B$2*'일자별 주가'!B82</f>
        <v>146530000000</v>
      </c>
      <c r="C82" s="7" t="n">
        <f aca="false">'종목 기본정보'!C$2*'일자별 주가'!C82</f>
        <v>142500000000</v>
      </c>
      <c r="D82" s="7" t="n">
        <f aca="false">'종목 기본정보'!D$2*'일자별 주가'!D82</f>
        <v>675760000000</v>
      </c>
      <c r="E82" s="7" t="n">
        <f aca="false">'종목 기본정보'!E$2*'일자별 주가'!E82</f>
        <v>100657000000</v>
      </c>
      <c r="F82" s="7" t="n">
        <f aca="false">'종목 기본정보'!F$2*'일자별 주가'!F82</f>
        <v>1472932000000</v>
      </c>
      <c r="G82" s="7" t="n">
        <f aca="false">SUM(B82:F82)</f>
        <v>2538379000000</v>
      </c>
      <c r="H82" s="9" t="n">
        <f aca="false">G82*100/G$2</f>
        <v>133.598894736842</v>
      </c>
    </row>
    <row r="83" customFormat="false" ht="13.8" hidden="false" customHeight="false" outlineLevel="0" collapsed="false">
      <c r="A83" s="0" t="n">
        <v>82</v>
      </c>
      <c r="B83" s="7" t="n">
        <f aca="false">'종목 기본정보'!B$2*'일자별 주가'!B83</f>
        <v>148780000000</v>
      </c>
      <c r="C83" s="7" t="n">
        <f aca="false">'종목 기본정보'!C$2*'일자별 주가'!C83</f>
        <v>140260000000</v>
      </c>
      <c r="D83" s="7" t="n">
        <f aca="false">'종목 기본정보'!D$2*'일자별 주가'!D83</f>
        <v>690220000000</v>
      </c>
      <c r="E83" s="7" t="n">
        <f aca="false">'종목 기본정보'!E$2*'일자별 주가'!E83</f>
        <v>99066000000</v>
      </c>
      <c r="F83" s="7" t="n">
        <f aca="false">'종목 기본정보'!F$2*'일자별 주가'!F83</f>
        <v>1480481000000</v>
      </c>
      <c r="G83" s="7" t="n">
        <f aca="false">SUM(B83:F83)</f>
        <v>2558807000000</v>
      </c>
      <c r="H83" s="9" t="n">
        <f aca="false">G83*100/G$2</f>
        <v>134.674052631579</v>
      </c>
    </row>
    <row r="84" customFormat="false" ht="13.8" hidden="false" customHeight="false" outlineLevel="0" collapsed="false">
      <c r="A84" s="0" t="n">
        <v>83</v>
      </c>
      <c r="B84" s="7" t="n">
        <f aca="false">'종목 기본정보'!B$2*'일자별 주가'!B84</f>
        <v>147880000000</v>
      </c>
      <c r="C84" s="7" t="n">
        <f aca="false">'종목 기본정보'!C$2*'일자별 주가'!C84</f>
        <v>139865000000</v>
      </c>
      <c r="D84" s="7" t="n">
        <f aca="false">'종목 기본정보'!D$2*'일자별 주가'!D84</f>
        <v>689920000000</v>
      </c>
      <c r="E84" s="7" t="n">
        <f aca="false">'종목 기본정보'!E$2*'일자별 주가'!E84</f>
        <v>97097000000</v>
      </c>
      <c r="F84" s="7" t="n">
        <f aca="false">'종목 기본정보'!F$2*'일자별 주가'!F84</f>
        <v>1524653000000</v>
      </c>
      <c r="G84" s="7" t="n">
        <f aca="false">SUM(B84:F84)</f>
        <v>2599415000000</v>
      </c>
      <c r="H84" s="9" t="n">
        <f aca="false">G84*100/G$2</f>
        <v>136.811315789474</v>
      </c>
    </row>
    <row r="85" customFormat="false" ht="13.8" hidden="false" customHeight="false" outlineLevel="0" collapsed="false">
      <c r="A85" s="0" t="n">
        <v>84</v>
      </c>
      <c r="B85" s="7" t="n">
        <f aca="false">'종목 기본정보'!B$2*'일자별 주가'!B85</f>
        <v>148080000000</v>
      </c>
      <c r="C85" s="7" t="n">
        <f aca="false">'종목 기본정보'!C$2*'일자별 주가'!C85</f>
        <v>143825000000</v>
      </c>
      <c r="D85" s="7" t="n">
        <f aca="false">'종목 기본정보'!D$2*'일자별 주가'!D85</f>
        <v>706920000000</v>
      </c>
      <c r="E85" s="7" t="n">
        <f aca="false">'종목 기본정보'!E$2*'일자별 주가'!E85</f>
        <v>96665000000</v>
      </c>
      <c r="F85" s="7" t="n">
        <f aca="false">'종목 기본정보'!F$2*'일자별 주가'!F85</f>
        <v>1564947000000</v>
      </c>
      <c r="G85" s="7" t="n">
        <f aca="false">SUM(B85:F85)</f>
        <v>2660437000000</v>
      </c>
      <c r="H85" s="9" t="n">
        <f aca="false">G85*100/G$2</f>
        <v>140.023</v>
      </c>
    </row>
    <row r="86" customFormat="false" ht="13.8" hidden="false" customHeight="false" outlineLevel="0" collapsed="false">
      <c r="A86" s="0" t="n">
        <v>85</v>
      </c>
      <c r="B86" s="7" t="n">
        <f aca="false">'종목 기본정보'!B$2*'일자별 주가'!B86</f>
        <v>149680000000</v>
      </c>
      <c r="C86" s="7" t="n">
        <f aca="false">'종목 기본정보'!C$2*'일자별 주가'!C86</f>
        <v>145735000000</v>
      </c>
      <c r="D86" s="7" t="n">
        <f aca="false">'종목 기본정보'!D$2*'일자별 주가'!D86</f>
        <v>689040000000</v>
      </c>
      <c r="E86" s="7" t="n">
        <f aca="false">'종목 기본정보'!E$2*'일자별 주가'!E86</f>
        <v>94697000000</v>
      </c>
      <c r="F86" s="7" t="n">
        <f aca="false">'종목 기본정보'!F$2*'일자별 주가'!F86</f>
        <v>1588825000000</v>
      </c>
      <c r="G86" s="7" t="n">
        <f aca="false">SUM(B86:F86)</f>
        <v>2667977000000</v>
      </c>
      <c r="H86" s="9" t="n">
        <f aca="false">G86*100/G$2</f>
        <v>140.419842105263</v>
      </c>
    </row>
    <row r="87" customFormat="false" ht="13.8" hidden="false" customHeight="false" outlineLevel="0" collapsed="false">
      <c r="A87" s="0" t="n">
        <v>86</v>
      </c>
      <c r="B87" s="7" t="n">
        <f aca="false">'종목 기본정보'!B$2*'일자별 주가'!B87</f>
        <v>151730000000</v>
      </c>
      <c r="C87" s="7" t="n">
        <f aca="false">'종목 기본정보'!C$2*'일자별 주가'!C87</f>
        <v>144235000000</v>
      </c>
      <c r="D87" s="7" t="n">
        <f aca="false">'종목 기본정보'!D$2*'일자별 주가'!D87</f>
        <v>674020000000</v>
      </c>
      <c r="E87" s="7" t="n">
        <f aca="false">'종목 기본정보'!E$2*'일자별 주가'!E87</f>
        <v>91992000000</v>
      </c>
      <c r="F87" s="7" t="n">
        <f aca="false">'종목 기본정보'!F$2*'일자별 주가'!F87</f>
        <v>1567832000000</v>
      </c>
      <c r="G87" s="7" t="n">
        <f aca="false">SUM(B87:F87)</f>
        <v>2629809000000</v>
      </c>
      <c r="H87" s="9" t="n">
        <f aca="false">G87*100/G$2</f>
        <v>138.411</v>
      </c>
    </row>
    <row r="88" customFormat="false" ht="13.8" hidden="false" customHeight="false" outlineLevel="0" collapsed="false">
      <c r="A88" s="0" t="n">
        <v>87</v>
      </c>
      <c r="B88" s="7" t="n">
        <f aca="false">'종목 기본정보'!B$2*'일자별 주가'!B88</f>
        <v>153900000000</v>
      </c>
      <c r="C88" s="7" t="n">
        <f aca="false">'종목 기본정보'!C$2*'일자별 주가'!C88</f>
        <v>148030000000</v>
      </c>
      <c r="D88" s="7" t="n">
        <f aca="false">'종목 기본정보'!D$2*'일자별 주가'!D88</f>
        <v>671280000000</v>
      </c>
      <c r="E88" s="7" t="n">
        <f aca="false">'종목 기본정보'!E$2*'일자별 주가'!E88</f>
        <v>94809000000</v>
      </c>
      <c r="F88" s="7" t="n">
        <f aca="false">'종목 기본정보'!F$2*'일자별 주가'!F88</f>
        <v>1599379000000</v>
      </c>
      <c r="G88" s="7" t="n">
        <f aca="false">SUM(B88:F88)</f>
        <v>2667398000000</v>
      </c>
      <c r="H88" s="9" t="n">
        <f aca="false">G88*100/G$2</f>
        <v>140.389368421053</v>
      </c>
    </row>
    <row r="89" customFormat="false" ht="13.8" hidden="false" customHeight="false" outlineLevel="0" collapsed="false">
      <c r="A89" s="0" t="n">
        <v>88</v>
      </c>
      <c r="B89" s="7" t="n">
        <f aca="false">'종목 기본정보'!B$2*'일자별 주가'!B89</f>
        <v>158390000000</v>
      </c>
      <c r="C89" s="7" t="n">
        <f aca="false">'종목 기본정보'!C$2*'일자별 주가'!C89</f>
        <v>148710000000</v>
      </c>
      <c r="D89" s="7" t="n">
        <f aca="false">'종목 기본정보'!D$2*'일자별 주가'!D89</f>
        <v>685100000000</v>
      </c>
      <c r="E89" s="7" t="n">
        <f aca="false">'종목 기본정보'!E$2*'일자별 주가'!E89</f>
        <v>93163000000</v>
      </c>
      <c r="F89" s="7" t="n">
        <f aca="false">'종목 기본정보'!F$2*'일자별 주가'!F89</f>
        <v>1641958000000</v>
      </c>
      <c r="G89" s="7" t="n">
        <f aca="false">SUM(B89:F89)</f>
        <v>2727321000000</v>
      </c>
      <c r="H89" s="9" t="n">
        <f aca="false">G89*100/G$2</f>
        <v>143.543210526316</v>
      </c>
    </row>
    <row r="90" customFormat="false" ht="13.8" hidden="false" customHeight="false" outlineLevel="0" collapsed="false">
      <c r="A90" s="0" t="n">
        <v>89</v>
      </c>
      <c r="B90" s="7" t="n">
        <f aca="false">'종목 기본정보'!B$2*'일자별 주가'!B90</f>
        <v>163170000000</v>
      </c>
      <c r="C90" s="7" t="n">
        <f aca="false">'종목 기본정보'!C$2*'일자별 주가'!C90</f>
        <v>147930000000</v>
      </c>
      <c r="D90" s="7" t="n">
        <f aca="false">'종목 기본정보'!D$2*'일자별 주가'!D90</f>
        <v>670260000000</v>
      </c>
      <c r="E90" s="7" t="n">
        <f aca="false">'종목 기본정보'!E$2*'일자별 주가'!E90</f>
        <v>95153000000</v>
      </c>
      <c r="F90" s="7" t="n">
        <f aca="false">'종목 기본정보'!F$2*'일자별 주가'!F90</f>
        <v>1597044000000</v>
      </c>
      <c r="G90" s="7" t="n">
        <f aca="false">SUM(B90:F90)</f>
        <v>2673557000000</v>
      </c>
      <c r="H90" s="9" t="n">
        <f aca="false">G90*100/G$2</f>
        <v>140.713526315789</v>
      </c>
    </row>
    <row r="91" customFormat="false" ht="13.8" hidden="false" customHeight="false" outlineLevel="0" collapsed="false">
      <c r="A91" s="0" t="n">
        <v>90</v>
      </c>
      <c r="B91" s="7" t="n">
        <f aca="false">'종목 기본정보'!B$2*'일자별 주가'!B91</f>
        <v>168490000000</v>
      </c>
      <c r="C91" s="7" t="n">
        <f aca="false">'종목 기본정보'!C$2*'일자별 주가'!C91</f>
        <v>146135000000</v>
      </c>
      <c r="D91" s="7" t="n">
        <f aca="false">'종목 기본정보'!D$2*'일자별 주가'!D91</f>
        <v>662960000000</v>
      </c>
      <c r="E91" s="7" t="n">
        <f aca="false">'종목 기본정보'!E$2*'일자별 주가'!E91</f>
        <v>96106000000</v>
      </c>
      <c r="F91" s="7" t="n">
        <f aca="false">'종목 기본정보'!F$2*'일자별 주가'!F91</f>
        <v>1598292000000</v>
      </c>
      <c r="G91" s="7" t="n">
        <f aca="false">SUM(B91:F91)</f>
        <v>2671983000000</v>
      </c>
      <c r="H91" s="9" t="n">
        <f aca="false">G91*100/G$2</f>
        <v>140.630684210526</v>
      </c>
    </row>
    <row r="92" customFormat="false" ht="13.8" hidden="false" customHeight="false" outlineLevel="0" collapsed="false">
      <c r="A92" s="0" t="n">
        <v>91</v>
      </c>
      <c r="B92" s="7" t="n">
        <f aca="false">'종목 기본정보'!B$2*'일자별 주가'!B92</f>
        <v>168100000000</v>
      </c>
      <c r="C92" s="7" t="n">
        <f aca="false">'종목 기본정보'!C$2*'일자별 주가'!C92</f>
        <v>146695000000</v>
      </c>
      <c r="D92" s="7" t="n">
        <f aca="false">'종목 기본정보'!D$2*'일자별 주가'!D92</f>
        <v>674860000000</v>
      </c>
      <c r="E92" s="7" t="n">
        <f aca="false">'종목 기본정보'!E$2*'일자별 주가'!E92</f>
        <v>95505000000</v>
      </c>
      <c r="F92" s="7" t="n">
        <f aca="false">'종목 기본정보'!F$2*'일자별 주가'!F92</f>
        <v>1594451000000</v>
      </c>
      <c r="G92" s="7" t="n">
        <f aca="false">SUM(B92:F92)</f>
        <v>2679611000000</v>
      </c>
      <c r="H92" s="9" t="n">
        <f aca="false">G92*100/G$2</f>
        <v>141.032157894737</v>
      </c>
    </row>
    <row r="93" customFormat="false" ht="13.8" hidden="false" customHeight="false" outlineLevel="0" collapsed="false">
      <c r="A93" s="0" t="n">
        <v>92</v>
      </c>
      <c r="B93" s="7" t="n">
        <f aca="false">'종목 기본정보'!B$2*'일자별 주가'!B93</f>
        <v>168080000000</v>
      </c>
      <c r="C93" s="7" t="n">
        <f aca="false">'종목 기본정보'!C$2*'일자별 주가'!C93</f>
        <v>146835000000</v>
      </c>
      <c r="D93" s="7" t="n">
        <f aca="false">'종목 기본정보'!D$2*'일자별 주가'!D93</f>
        <v>686580000000</v>
      </c>
      <c r="E93" s="7" t="n">
        <f aca="false">'종목 기본정보'!E$2*'일자별 주가'!E93</f>
        <v>93662000000</v>
      </c>
      <c r="F93" s="7" t="n">
        <f aca="false">'종목 기본정보'!F$2*'일자별 주가'!F93</f>
        <v>1606402000000</v>
      </c>
      <c r="G93" s="7" t="n">
        <f aca="false">SUM(B93:F93)</f>
        <v>2701559000000</v>
      </c>
      <c r="H93" s="9" t="n">
        <f aca="false">G93*100/G$2</f>
        <v>142.187315789474</v>
      </c>
    </row>
    <row r="94" customFormat="false" ht="13.8" hidden="false" customHeight="false" outlineLevel="0" collapsed="false">
      <c r="A94" s="0" t="n">
        <v>93</v>
      </c>
      <c r="B94" s="7" t="n">
        <f aca="false">'종목 기본정보'!B$2*'일자별 주가'!B94</f>
        <v>172410000000</v>
      </c>
      <c r="C94" s="7" t="n">
        <f aca="false">'종목 기본정보'!C$2*'일자별 주가'!C94</f>
        <v>148445000000</v>
      </c>
      <c r="D94" s="7" t="n">
        <f aca="false">'종목 기본정보'!D$2*'일자별 주가'!D94</f>
        <v>697340000000</v>
      </c>
      <c r="E94" s="7" t="n">
        <f aca="false">'종목 기본정보'!E$2*'일자별 주가'!E94</f>
        <v>93908000000</v>
      </c>
      <c r="F94" s="7" t="n">
        <f aca="false">'종목 기본정보'!F$2*'일자별 주가'!F94</f>
        <v>1561028000000</v>
      </c>
      <c r="G94" s="7" t="n">
        <f aca="false">SUM(B94:F94)</f>
        <v>2673131000000</v>
      </c>
      <c r="H94" s="9" t="n">
        <f aca="false">G94*100/G$2</f>
        <v>140.691105263158</v>
      </c>
    </row>
    <row r="95" customFormat="false" ht="13.8" hidden="false" customHeight="false" outlineLevel="0" collapsed="false">
      <c r="A95" s="0" t="n">
        <v>94</v>
      </c>
      <c r="B95" s="7" t="n">
        <f aca="false">'종목 기본정보'!B$2*'일자별 주가'!B95</f>
        <v>171060000000</v>
      </c>
      <c r="C95" s="7" t="n">
        <f aca="false">'종목 기본정보'!C$2*'일자별 주가'!C95</f>
        <v>144300000000</v>
      </c>
      <c r="D95" s="7" t="n">
        <f aca="false">'종목 기본정보'!D$2*'일자별 주가'!D95</f>
        <v>714180000000</v>
      </c>
      <c r="E95" s="7" t="n">
        <f aca="false">'종목 기본정보'!E$2*'일자별 주가'!E95</f>
        <v>95689000000</v>
      </c>
      <c r="F95" s="7" t="n">
        <f aca="false">'종목 기본정보'!F$2*'일자별 주가'!F95</f>
        <v>1538569000000</v>
      </c>
      <c r="G95" s="7" t="n">
        <f aca="false">SUM(B95:F95)</f>
        <v>2663798000000</v>
      </c>
      <c r="H95" s="9" t="n">
        <f aca="false">G95*100/G$2</f>
        <v>140.199894736842</v>
      </c>
    </row>
    <row r="96" customFormat="false" ht="13.8" hidden="false" customHeight="false" outlineLevel="0" collapsed="false">
      <c r="A96" s="0" t="n">
        <v>95</v>
      </c>
      <c r="B96" s="7" t="n">
        <f aca="false">'종목 기본정보'!B$2*'일자별 주가'!B96</f>
        <v>174020000000</v>
      </c>
      <c r="C96" s="7" t="n">
        <f aca="false">'종목 기본정보'!C$2*'일자별 주가'!C96</f>
        <v>142280000000</v>
      </c>
      <c r="D96" s="7" t="n">
        <f aca="false">'종목 기본정보'!D$2*'일자별 주가'!D96</f>
        <v>732140000000</v>
      </c>
      <c r="E96" s="7" t="n">
        <f aca="false">'종목 기본정보'!E$2*'일자별 주가'!E96</f>
        <v>96600000000</v>
      </c>
      <c r="F96" s="7" t="n">
        <f aca="false">'종목 기본정보'!F$2*'일자별 주가'!F96</f>
        <v>1530911000000</v>
      </c>
      <c r="G96" s="7" t="n">
        <f aca="false">SUM(B96:F96)</f>
        <v>2675951000000</v>
      </c>
      <c r="H96" s="9" t="n">
        <f aca="false">G96*100/G$2</f>
        <v>140.839526315789</v>
      </c>
    </row>
    <row r="97" customFormat="false" ht="13.8" hidden="false" customHeight="false" outlineLevel="0" collapsed="false">
      <c r="A97" s="0" t="n">
        <v>96</v>
      </c>
      <c r="B97" s="7" t="n">
        <f aca="false">'종목 기본정보'!B$2*'일자별 주가'!B97</f>
        <v>173150000000</v>
      </c>
      <c r="C97" s="7" t="n">
        <f aca="false">'종목 기본정보'!C$2*'일자별 주가'!C97</f>
        <v>139795000000</v>
      </c>
      <c r="D97" s="7" t="n">
        <f aca="false">'종목 기본정보'!D$2*'일자별 주가'!D97</f>
        <v>724680000000</v>
      </c>
      <c r="E97" s="7" t="n">
        <f aca="false">'종목 기본정보'!E$2*'일자별 주가'!E97</f>
        <v>99350000000</v>
      </c>
      <c r="F97" s="7" t="n">
        <f aca="false">'종목 기본정보'!F$2*'일자별 주가'!F97</f>
        <v>1501090000000</v>
      </c>
      <c r="G97" s="7" t="n">
        <f aca="false">SUM(B97:F97)</f>
        <v>2638065000000</v>
      </c>
      <c r="H97" s="9" t="n">
        <f aca="false">G97*100/G$2</f>
        <v>138.845526315789</v>
      </c>
    </row>
    <row r="98" customFormat="false" ht="13.8" hidden="false" customHeight="false" outlineLevel="0" collapsed="false">
      <c r="A98" s="0" t="n">
        <v>97</v>
      </c>
      <c r="B98" s="7" t="n">
        <f aca="false">'종목 기본정보'!B$2*'일자별 주가'!B98</f>
        <v>171990000000</v>
      </c>
      <c r="C98" s="7" t="n">
        <f aca="false">'종목 기본정보'!C$2*'일자별 주가'!C98</f>
        <v>141240000000</v>
      </c>
      <c r="D98" s="7" t="n">
        <f aca="false">'종목 기본정보'!D$2*'일자별 주가'!D98</f>
        <v>741480000000</v>
      </c>
      <c r="E98" s="7" t="n">
        <f aca="false">'종목 기본정보'!E$2*'일자별 주가'!E98</f>
        <v>98862000000</v>
      </c>
      <c r="F98" s="7" t="n">
        <f aca="false">'종목 기본정보'!F$2*'일자별 주가'!F98</f>
        <v>1478147000000</v>
      </c>
      <c r="G98" s="7" t="n">
        <f aca="false">SUM(B98:F98)</f>
        <v>2631719000000</v>
      </c>
      <c r="H98" s="9" t="n">
        <f aca="false">G98*100/G$2</f>
        <v>138.511526315789</v>
      </c>
    </row>
    <row r="99" customFormat="false" ht="13.8" hidden="false" customHeight="false" outlineLevel="0" collapsed="false">
      <c r="A99" s="0" t="n">
        <v>98</v>
      </c>
      <c r="B99" s="7" t="n">
        <f aca="false">'종목 기본정보'!B$2*'일자별 주가'!B99</f>
        <v>173740000000</v>
      </c>
      <c r="C99" s="7" t="n">
        <f aca="false">'종목 기본정보'!C$2*'일자별 주가'!C99</f>
        <v>143590000000</v>
      </c>
      <c r="D99" s="7" t="n">
        <f aca="false">'종목 기본정보'!D$2*'일자별 주가'!D99</f>
        <v>741120000000</v>
      </c>
      <c r="E99" s="7" t="n">
        <f aca="false">'종목 기본정보'!E$2*'일자별 주가'!E99</f>
        <v>99516000000</v>
      </c>
      <c r="F99" s="7" t="n">
        <f aca="false">'종목 기본정보'!F$2*'일자별 주가'!F99</f>
        <v>1450170000000</v>
      </c>
      <c r="G99" s="7" t="n">
        <f aca="false">SUM(B99:F99)</f>
        <v>2608136000000</v>
      </c>
      <c r="H99" s="9" t="n">
        <f aca="false">G99*100/G$2</f>
        <v>137.270315789474</v>
      </c>
    </row>
    <row r="100" customFormat="false" ht="13.8" hidden="false" customHeight="false" outlineLevel="0" collapsed="false">
      <c r="A100" s="0" t="n">
        <v>99</v>
      </c>
      <c r="B100" s="7" t="n">
        <f aca="false">'종목 기본정보'!B$2*'일자별 주가'!B100</f>
        <v>177320000000</v>
      </c>
      <c r="C100" s="7" t="n">
        <f aca="false">'종목 기본정보'!C$2*'일자별 주가'!C100</f>
        <v>141020000000</v>
      </c>
      <c r="D100" s="7" t="n">
        <f aca="false">'종목 기본정보'!D$2*'일자별 주가'!D100</f>
        <v>742080000000</v>
      </c>
      <c r="E100" s="7" t="n">
        <f aca="false">'종목 기본정보'!E$2*'일자별 주가'!E100</f>
        <v>98531000000</v>
      </c>
      <c r="F100" s="7" t="n">
        <f aca="false">'종목 기본정보'!F$2*'일자별 주가'!F100</f>
        <v>1425478000000</v>
      </c>
      <c r="G100" s="7" t="n">
        <f aca="false">SUM(B100:F100)</f>
        <v>2584429000000</v>
      </c>
      <c r="H100" s="9" t="n">
        <f aca="false">G100*100/G$2</f>
        <v>136.022578947368</v>
      </c>
    </row>
    <row r="101" customFormat="false" ht="13.8" hidden="false" customHeight="false" outlineLevel="0" collapsed="false">
      <c r="A101" s="0" t="n">
        <v>100</v>
      </c>
      <c r="B101" s="7" t="n">
        <f aca="false">'종목 기본정보'!B$2*'일자별 주가'!B101</f>
        <v>178820000000</v>
      </c>
      <c r="C101" s="7" t="n">
        <f aca="false">'종목 기본정보'!C$2*'일자별 주가'!C101</f>
        <v>141960000000</v>
      </c>
      <c r="D101" s="7" t="n">
        <f aca="false">'종목 기본정보'!D$2*'일자별 주가'!D101</f>
        <v>742140000000</v>
      </c>
      <c r="E101" s="7" t="n">
        <f aca="false">'종목 기본정보'!E$2*'일자별 주가'!E101</f>
        <v>98450000000</v>
      </c>
      <c r="F101" s="7" t="n">
        <f aca="false">'종목 기본정보'!F$2*'일자별 주가'!F101</f>
        <v>1417759000000</v>
      </c>
      <c r="G101" s="7" t="n">
        <f aca="false">SUM(B101:F101)</f>
        <v>2579129000000</v>
      </c>
      <c r="H101" s="9" t="n">
        <f aca="false">G101*100/G$2</f>
        <v>135.743631578947</v>
      </c>
    </row>
    <row r="102" customFormat="false" ht="13.8" hidden="false" customHeight="false" outlineLevel="0" collapsed="false">
      <c r="A102" s="0" t="n">
        <v>101</v>
      </c>
      <c r="B102" s="7" t="n">
        <f aca="false">'종목 기본정보'!B$2*'일자별 주가'!B102</f>
        <v>181660000000</v>
      </c>
      <c r="C102" s="7" t="n">
        <f aca="false">'종목 기본정보'!C$2*'일자별 주가'!C102</f>
        <v>140450000000</v>
      </c>
      <c r="D102" s="7" t="n">
        <f aca="false">'종목 기본정보'!D$2*'일자별 주가'!D102</f>
        <v>730840000000</v>
      </c>
      <c r="E102" s="7" t="n">
        <f aca="false">'종목 기본정보'!E$2*'일자별 주가'!E102</f>
        <v>97338000000</v>
      </c>
      <c r="F102" s="7" t="n">
        <f aca="false">'종목 기본정보'!F$2*'일자별 주가'!F102</f>
        <v>1421674000000</v>
      </c>
      <c r="G102" s="7" t="n">
        <f aca="false">SUM(B102:F102)</f>
        <v>2571962000000</v>
      </c>
      <c r="H102" s="9" t="n">
        <f aca="false">G102*100/G$2</f>
        <v>135.366421052632</v>
      </c>
    </row>
    <row r="103" customFormat="false" ht="13.8" hidden="false" customHeight="false" outlineLevel="0" collapsed="false">
      <c r="A103" s="0" t="n">
        <v>102</v>
      </c>
      <c r="B103" s="7" t="n">
        <f aca="false">'종목 기본정보'!B$2*'일자별 주가'!B103</f>
        <v>179710000000</v>
      </c>
      <c r="C103" s="7" t="n">
        <f aca="false">'종목 기본정보'!C$2*'일자별 주가'!C103</f>
        <v>138995000000</v>
      </c>
      <c r="D103" s="7" t="n">
        <f aca="false">'종목 기본정보'!D$2*'일자별 주가'!D103</f>
        <v>736580000000</v>
      </c>
      <c r="E103" s="7" t="n">
        <f aca="false">'종목 기본정보'!E$2*'일자별 주가'!E103</f>
        <v>99704000000</v>
      </c>
      <c r="F103" s="7" t="n">
        <f aca="false">'종목 기본정보'!F$2*'일자별 주가'!F103</f>
        <v>1409213000000</v>
      </c>
      <c r="G103" s="7" t="n">
        <f aca="false">SUM(B103:F103)</f>
        <v>2564202000000</v>
      </c>
      <c r="H103" s="9" t="n">
        <f aca="false">G103*100/G$2</f>
        <v>134.958</v>
      </c>
    </row>
    <row r="104" customFormat="false" ht="13.8" hidden="false" customHeight="false" outlineLevel="0" collapsed="false">
      <c r="A104" s="0" t="n">
        <v>103</v>
      </c>
      <c r="B104" s="7" t="n">
        <f aca="false">'종목 기본정보'!B$2*'일자별 주가'!B104</f>
        <v>176230000000</v>
      </c>
      <c r="C104" s="7" t="n">
        <f aca="false">'종목 기본정보'!C$2*'일자별 주가'!C104</f>
        <v>140125000000</v>
      </c>
      <c r="D104" s="7" t="n">
        <f aca="false">'종목 기본정보'!D$2*'일자별 주가'!D104</f>
        <v>741180000000</v>
      </c>
      <c r="E104" s="7" t="n">
        <f aca="false">'종목 기본정보'!E$2*'일자별 주가'!E104</f>
        <v>99813000000</v>
      </c>
      <c r="F104" s="7" t="n">
        <f aca="false">'종목 기본정보'!F$2*'일자별 주가'!F104</f>
        <v>1419476000000</v>
      </c>
      <c r="G104" s="7" t="n">
        <f aca="false">SUM(B104:F104)</f>
        <v>2576824000000</v>
      </c>
      <c r="H104" s="9" t="n">
        <f aca="false">G104*100/G$2</f>
        <v>135.622315789474</v>
      </c>
    </row>
    <row r="105" customFormat="false" ht="13.8" hidden="false" customHeight="false" outlineLevel="0" collapsed="false">
      <c r="A105" s="0" t="n">
        <v>104</v>
      </c>
      <c r="B105" s="7" t="n">
        <f aca="false">'종목 기본정보'!B$2*'일자별 주가'!B105</f>
        <v>178250000000</v>
      </c>
      <c r="C105" s="7" t="n">
        <f aca="false">'종목 기본정보'!C$2*'일자별 주가'!C105</f>
        <v>142765000000</v>
      </c>
      <c r="D105" s="7" t="n">
        <f aca="false">'종목 기본정보'!D$2*'일자별 주가'!D105</f>
        <v>720820000000</v>
      </c>
      <c r="E105" s="7" t="n">
        <f aca="false">'종목 기본정보'!E$2*'일자별 주가'!E105</f>
        <v>103059000000</v>
      </c>
      <c r="F105" s="7" t="n">
        <f aca="false">'종목 기본정보'!F$2*'일자별 주가'!F105</f>
        <v>1405323000000</v>
      </c>
      <c r="G105" s="7" t="n">
        <f aca="false">SUM(B105:F105)</f>
        <v>2550217000000</v>
      </c>
      <c r="H105" s="9" t="n">
        <f aca="false">G105*100/G$2</f>
        <v>134.221947368421</v>
      </c>
    </row>
    <row r="106" customFormat="false" ht="13.8" hidden="false" customHeight="false" outlineLevel="0" collapsed="false">
      <c r="A106" s="0" t="n">
        <v>105</v>
      </c>
      <c r="B106" s="7" t="n">
        <f aca="false">'종목 기본정보'!B$2*'일자별 주가'!B106</f>
        <v>177000000000</v>
      </c>
      <c r="C106" s="7" t="n">
        <f aca="false">'종목 기본정보'!C$2*'일자별 주가'!C106</f>
        <v>142065000000</v>
      </c>
      <c r="D106" s="7" t="n">
        <f aca="false">'종목 기본정보'!D$2*'일자별 주가'!D106</f>
        <v>703420000000</v>
      </c>
      <c r="E106" s="7" t="n">
        <f aca="false">'종목 기본정보'!E$2*'일자별 주가'!E106</f>
        <v>105430000000</v>
      </c>
      <c r="F106" s="7" t="n">
        <f aca="false">'종목 기본정보'!F$2*'일자별 주가'!F106</f>
        <v>1439607000000</v>
      </c>
      <c r="G106" s="7" t="n">
        <f aca="false">SUM(B106:F106)</f>
        <v>2567522000000</v>
      </c>
      <c r="H106" s="9" t="n">
        <f aca="false">G106*100/G$2</f>
        <v>135.132736842105</v>
      </c>
    </row>
    <row r="107" customFormat="false" ht="13.8" hidden="false" customHeight="false" outlineLevel="0" collapsed="false">
      <c r="A107" s="0" t="n">
        <v>106</v>
      </c>
      <c r="B107" s="7" t="n">
        <f aca="false">'종목 기본정보'!B$2*'일자별 주가'!B107</f>
        <v>172990000000</v>
      </c>
      <c r="C107" s="7" t="n">
        <f aca="false">'종목 기본정보'!C$2*'일자별 주가'!C107</f>
        <v>139320000000</v>
      </c>
      <c r="D107" s="7" t="n">
        <f aca="false">'종목 기본정보'!D$2*'일자별 주가'!D107</f>
        <v>699140000000</v>
      </c>
      <c r="E107" s="7" t="n">
        <f aca="false">'종목 기본정보'!E$2*'일자별 주가'!E107</f>
        <v>104222000000</v>
      </c>
      <c r="F107" s="7" t="n">
        <f aca="false">'종목 기본정보'!F$2*'일자별 주가'!F107</f>
        <v>1475715000000</v>
      </c>
      <c r="G107" s="7" t="n">
        <f aca="false">SUM(B107:F107)</f>
        <v>2591387000000</v>
      </c>
      <c r="H107" s="9" t="n">
        <f aca="false">G107*100/G$2</f>
        <v>136.388789473684</v>
      </c>
    </row>
    <row r="108" customFormat="false" ht="13.8" hidden="false" customHeight="false" outlineLevel="0" collapsed="false">
      <c r="A108" s="0" t="n">
        <v>107</v>
      </c>
      <c r="B108" s="7" t="n">
        <f aca="false">'종목 기본정보'!B$2*'일자별 주가'!B108</f>
        <v>168370000000</v>
      </c>
      <c r="C108" s="7" t="n">
        <f aca="false">'종목 기본정보'!C$2*'일자별 주가'!C108</f>
        <v>141425000000</v>
      </c>
      <c r="D108" s="7" t="n">
        <f aca="false">'종목 기본정보'!D$2*'일자별 주가'!D108</f>
        <v>713600000000</v>
      </c>
      <c r="E108" s="7" t="n">
        <f aca="false">'종목 기본정보'!E$2*'일자별 주가'!E108</f>
        <v>101339000000</v>
      </c>
      <c r="F108" s="7" t="n">
        <f aca="false">'종목 기본정보'!F$2*'일자별 주가'!F108</f>
        <v>1478004000000</v>
      </c>
      <c r="G108" s="7" t="n">
        <f aca="false">SUM(B108:F108)</f>
        <v>2602738000000</v>
      </c>
      <c r="H108" s="9" t="n">
        <f aca="false">G108*100/G$2</f>
        <v>136.986210526316</v>
      </c>
    </row>
    <row r="109" customFormat="false" ht="13.8" hidden="false" customHeight="false" outlineLevel="0" collapsed="false">
      <c r="A109" s="0" t="n">
        <v>108</v>
      </c>
      <c r="B109" s="7" t="n">
        <f aca="false">'종목 기본정보'!B$2*'일자별 주가'!B109</f>
        <v>170430000000</v>
      </c>
      <c r="C109" s="7" t="n">
        <f aca="false">'종목 기본정보'!C$2*'일자별 주가'!C109</f>
        <v>137920000000</v>
      </c>
      <c r="D109" s="7" t="n">
        <f aca="false">'종목 기본정보'!D$2*'일자별 주가'!D109</f>
        <v>698280000000</v>
      </c>
      <c r="E109" s="7" t="n">
        <f aca="false">'종목 기본정보'!E$2*'일자별 주가'!E109</f>
        <v>98332000000</v>
      </c>
      <c r="F109" s="7" t="n">
        <f aca="false">'종목 기본정보'!F$2*'일자별 주가'!F109</f>
        <v>1493291000000</v>
      </c>
      <c r="G109" s="7" t="n">
        <f aca="false">SUM(B109:F109)</f>
        <v>2598253000000</v>
      </c>
      <c r="H109" s="9" t="n">
        <f aca="false">G109*100/G$2</f>
        <v>136.750157894737</v>
      </c>
    </row>
    <row r="110" customFormat="false" ht="13.8" hidden="false" customHeight="false" outlineLevel="0" collapsed="false">
      <c r="A110" s="0" t="n">
        <v>109</v>
      </c>
      <c r="B110" s="7" t="n">
        <f aca="false">'종목 기본정보'!B$2*'일자별 주가'!B110</f>
        <v>166710000000</v>
      </c>
      <c r="C110" s="7" t="n">
        <f aca="false">'종목 기본정보'!C$2*'일자별 주가'!C110</f>
        <v>137035000000</v>
      </c>
      <c r="D110" s="7" t="n">
        <f aca="false">'종목 기본정보'!D$2*'일자별 주가'!D110</f>
        <v>698400000000</v>
      </c>
      <c r="E110" s="7" t="n">
        <f aca="false">'종목 기본정보'!E$2*'일자별 주가'!E110</f>
        <v>98257000000</v>
      </c>
      <c r="F110" s="7" t="n">
        <f aca="false">'종목 기본정보'!F$2*'일자별 주가'!F110</f>
        <v>1511840000000</v>
      </c>
      <c r="G110" s="7" t="n">
        <f aca="false">SUM(B110:F110)</f>
        <v>2612242000000</v>
      </c>
      <c r="H110" s="9" t="n">
        <f aca="false">G110*100/G$2</f>
        <v>137.486421052632</v>
      </c>
    </row>
    <row r="111" customFormat="false" ht="13.8" hidden="false" customHeight="false" outlineLevel="0" collapsed="false">
      <c r="A111" s="0" t="n">
        <v>110</v>
      </c>
      <c r="B111" s="7" t="n">
        <f aca="false">'종목 기본정보'!B$2*'일자별 주가'!B111</f>
        <v>167840000000</v>
      </c>
      <c r="C111" s="7" t="n">
        <f aca="false">'종목 기본정보'!C$2*'일자별 주가'!C111</f>
        <v>135950000000</v>
      </c>
      <c r="D111" s="7" t="n">
        <f aca="false">'종목 기본정보'!D$2*'일자별 주가'!D111</f>
        <v>696540000000</v>
      </c>
      <c r="E111" s="7" t="n">
        <f aca="false">'종목 기본정보'!E$2*'일자별 주가'!E111</f>
        <v>96489000000</v>
      </c>
      <c r="F111" s="7" t="n">
        <f aca="false">'종목 기본정보'!F$2*'일자별 주가'!F111</f>
        <v>1545214000000</v>
      </c>
      <c r="G111" s="7" t="n">
        <f aca="false">SUM(B111:F111)</f>
        <v>2642033000000</v>
      </c>
      <c r="H111" s="9" t="n">
        <f aca="false">G111*100/G$2</f>
        <v>139.054368421053</v>
      </c>
    </row>
    <row r="112" customFormat="false" ht="13.8" hidden="false" customHeight="false" outlineLevel="0" collapsed="false">
      <c r="A112" s="0" t="n">
        <v>111</v>
      </c>
      <c r="B112" s="7" t="n">
        <f aca="false">'종목 기본정보'!B$2*'일자별 주가'!B112</f>
        <v>170810000000</v>
      </c>
      <c r="C112" s="7" t="n">
        <f aca="false">'종목 기본정보'!C$2*'일자별 주가'!C112</f>
        <v>138415000000</v>
      </c>
      <c r="D112" s="7" t="n">
        <f aca="false">'종목 기본정보'!D$2*'일자별 주가'!D112</f>
        <v>709520000000</v>
      </c>
      <c r="E112" s="7" t="n">
        <f aca="false">'종목 기본정보'!E$2*'일자별 주가'!E112</f>
        <v>97553000000</v>
      </c>
      <c r="F112" s="7" t="n">
        <f aca="false">'종목 기본정보'!F$2*'일자별 주가'!F112</f>
        <v>1562736000000</v>
      </c>
      <c r="G112" s="7" t="n">
        <f aca="false">SUM(B112:F112)</f>
        <v>2679034000000</v>
      </c>
      <c r="H112" s="9" t="n">
        <f aca="false">G112*100/G$2</f>
        <v>141.001789473684</v>
      </c>
    </row>
    <row r="113" customFormat="false" ht="13.8" hidden="false" customHeight="false" outlineLevel="0" collapsed="false">
      <c r="A113" s="0" t="n">
        <v>112</v>
      </c>
      <c r="B113" s="7" t="n">
        <f aca="false">'종목 기본정보'!B$2*'일자별 주가'!B113</f>
        <v>172020000000</v>
      </c>
      <c r="C113" s="7" t="n">
        <f aca="false">'종목 기본정보'!C$2*'일자별 주가'!C113</f>
        <v>138450000000</v>
      </c>
      <c r="D113" s="7" t="n">
        <f aca="false">'종목 기본정보'!D$2*'일자별 주가'!D113</f>
        <v>730440000000</v>
      </c>
      <c r="E113" s="7" t="n">
        <f aca="false">'종목 기본정보'!E$2*'일자별 주가'!E113</f>
        <v>96826000000</v>
      </c>
      <c r="F113" s="7" t="n">
        <f aca="false">'종목 기본정보'!F$2*'일자별 주가'!F113</f>
        <v>1582200000000</v>
      </c>
      <c r="G113" s="7" t="n">
        <f aca="false">SUM(B113:F113)</f>
        <v>2719936000000</v>
      </c>
      <c r="H113" s="9" t="n">
        <f aca="false">G113*100/G$2</f>
        <v>143.154526315789</v>
      </c>
    </row>
    <row r="114" customFormat="false" ht="13.8" hidden="false" customHeight="false" outlineLevel="0" collapsed="false">
      <c r="A114" s="0" t="n">
        <v>113</v>
      </c>
      <c r="B114" s="7" t="n">
        <f aca="false">'종목 기본정보'!B$2*'일자별 주가'!B114</f>
        <v>168000000000</v>
      </c>
      <c r="C114" s="7" t="n">
        <f aca="false">'종목 기본정보'!C$2*'일자별 주가'!C114</f>
        <v>135905000000</v>
      </c>
      <c r="D114" s="7" t="n">
        <f aca="false">'종목 기본정보'!D$2*'일자별 주가'!D114</f>
        <v>720340000000</v>
      </c>
      <c r="E114" s="7" t="n">
        <f aca="false">'종목 기본정보'!E$2*'일자별 주가'!E114</f>
        <v>99925000000</v>
      </c>
      <c r="F114" s="7" t="n">
        <f aca="false">'종목 기본정보'!F$2*'일자별 주가'!F114</f>
        <v>1606175000000</v>
      </c>
      <c r="G114" s="7" t="n">
        <f aca="false">SUM(B114:F114)</f>
        <v>2730345000000</v>
      </c>
      <c r="H114" s="9" t="n">
        <f aca="false">G114*100/G$2</f>
        <v>143.702368421053</v>
      </c>
    </row>
    <row r="115" customFormat="false" ht="13.8" hidden="false" customHeight="false" outlineLevel="0" collapsed="false">
      <c r="A115" s="0" t="n">
        <v>114</v>
      </c>
      <c r="B115" s="7" t="n">
        <f aca="false">'종목 기본정보'!B$2*'일자별 주가'!B115</f>
        <v>171960000000</v>
      </c>
      <c r="C115" s="7" t="n">
        <f aca="false">'종목 기본정보'!C$2*'일자별 주가'!C115</f>
        <v>134375000000</v>
      </c>
      <c r="D115" s="7" t="n">
        <f aca="false">'종목 기본정보'!D$2*'일자별 주가'!D115</f>
        <v>707040000000</v>
      </c>
      <c r="E115" s="7" t="n">
        <f aca="false">'종목 기본정보'!E$2*'일자별 주가'!E115</f>
        <v>98385000000</v>
      </c>
      <c r="F115" s="7" t="n">
        <f aca="false">'종목 기본정보'!F$2*'일자별 주가'!F115</f>
        <v>1635883000000</v>
      </c>
      <c r="G115" s="7" t="n">
        <f aca="false">SUM(B115:F115)</f>
        <v>2747643000000</v>
      </c>
      <c r="H115" s="9" t="n">
        <f aca="false">G115*100/G$2</f>
        <v>144.612789473684</v>
      </c>
    </row>
    <row r="116" customFormat="false" ht="13.8" hidden="false" customHeight="false" outlineLevel="0" collapsed="false">
      <c r="A116" s="0" t="n">
        <v>115</v>
      </c>
      <c r="B116" s="7" t="n">
        <f aca="false">'종목 기본정보'!B$2*'일자별 주가'!B116</f>
        <v>171640000000</v>
      </c>
      <c r="C116" s="7" t="n">
        <f aca="false">'종목 기본정보'!C$2*'일자별 주가'!C116</f>
        <v>132880000000</v>
      </c>
      <c r="D116" s="7" t="n">
        <f aca="false">'종목 기본정보'!D$2*'일자별 주가'!D116</f>
        <v>723360000000</v>
      </c>
      <c r="E116" s="7" t="n">
        <f aca="false">'종목 기본정보'!E$2*'일자별 주가'!E116</f>
        <v>99588000000</v>
      </c>
      <c r="F116" s="7" t="n">
        <f aca="false">'종목 기본정보'!F$2*'일자별 주가'!F116</f>
        <v>1662040000000</v>
      </c>
      <c r="G116" s="7" t="n">
        <f aca="false">SUM(B116:F116)</f>
        <v>2789508000000</v>
      </c>
      <c r="H116" s="9" t="n">
        <f aca="false">G116*100/G$2</f>
        <v>146.816210526316</v>
      </c>
    </row>
    <row r="117" customFormat="false" ht="13.8" hidden="false" customHeight="false" outlineLevel="0" collapsed="false">
      <c r="A117" s="0" t="n">
        <v>116</v>
      </c>
      <c r="B117" s="7" t="n">
        <f aca="false">'종목 기본정보'!B$2*'일자별 주가'!B117</f>
        <v>176690000000</v>
      </c>
      <c r="C117" s="7" t="n">
        <f aca="false">'종목 기본정보'!C$2*'일자별 주가'!C117</f>
        <v>132850000000</v>
      </c>
      <c r="D117" s="7" t="n">
        <f aca="false">'종목 기본정보'!D$2*'일자별 주가'!D117</f>
        <v>727960000000</v>
      </c>
      <c r="E117" s="7" t="n">
        <f aca="false">'종목 기본정보'!E$2*'일자별 주가'!E117</f>
        <v>100646000000</v>
      </c>
      <c r="F117" s="7" t="n">
        <f aca="false">'종목 기본정보'!F$2*'일자별 주가'!F117</f>
        <v>1664233000000</v>
      </c>
      <c r="G117" s="7" t="n">
        <f aca="false">SUM(B117:F117)</f>
        <v>2802379000000</v>
      </c>
      <c r="H117" s="9" t="n">
        <f aca="false">G117*100/G$2</f>
        <v>147.493631578947</v>
      </c>
    </row>
    <row r="118" customFormat="false" ht="13.8" hidden="false" customHeight="false" outlineLevel="0" collapsed="false">
      <c r="A118" s="0" t="n">
        <v>117</v>
      </c>
      <c r="B118" s="7" t="n">
        <f aca="false">'종목 기본정보'!B$2*'일자별 주가'!B118</f>
        <v>171590000000</v>
      </c>
      <c r="C118" s="7" t="n">
        <f aca="false">'종목 기본정보'!C$2*'일자별 주가'!C118</f>
        <v>131940000000</v>
      </c>
      <c r="D118" s="7" t="n">
        <f aca="false">'종목 기본정보'!D$2*'일자별 주가'!D118</f>
        <v>739480000000</v>
      </c>
      <c r="E118" s="7" t="n">
        <f aca="false">'종목 기본정보'!E$2*'일자별 주가'!E118</f>
        <v>101844000000</v>
      </c>
      <c r="F118" s="7" t="n">
        <f aca="false">'종목 기본정보'!F$2*'일자별 주가'!F118</f>
        <v>1709770000000</v>
      </c>
      <c r="G118" s="7" t="n">
        <f aca="false">SUM(B118:F118)</f>
        <v>2854624000000</v>
      </c>
      <c r="H118" s="9" t="n">
        <f aca="false">G118*100/G$2</f>
        <v>150.243368421053</v>
      </c>
    </row>
    <row r="119" customFormat="false" ht="13.8" hidden="false" customHeight="false" outlineLevel="0" collapsed="false">
      <c r="A119" s="0" t="n">
        <v>118</v>
      </c>
      <c r="B119" s="7" t="n">
        <f aca="false">'종목 기본정보'!B$2*'일자별 주가'!B119</f>
        <v>166800000000</v>
      </c>
      <c r="C119" s="7" t="n">
        <f aca="false">'종목 기본정보'!C$2*'일자별 주가'!C119</f>
        <v>129270000000</v>
      </c>
      <c r="D119" s="7" t="n">
        <f aca="false">'종목 기본정보'!D$2*'일자별 주가'!D119</f>
        <v>729280000000</v>
      </c>
      <c r="E119" s="7" t="n">
        <f aca="false">'종목 기본정보'!E$2*'일자별 주가'!E119</f>
        <v>99634000000</v>
      </c>
      <c r="F119" s="7" t="n">
        <f aca="false">'종목 기본정보'!F$2*'일자별 주가'!F119</f>
        <v>1687844000000</v>
      </c>
      <c r="G119" s="7" t="n">
        <f aca="false">SUM(B119:F119)</f>
        <v>2812828000000</v>
      </c>
      <c r="H119" s="9" t="n">
        <f aca="false">G119*100/G$2</f>
        <v>148.043578947368</v>
      </c>
    </row>
    <row r="120" customFormat="false" ht="13.8" hidden="false" customHeight="false" outlineLevel="0" collapsed="false">
      <c r="A120" s="0" t="n">
        <v>119</v>
      </c>
      <c r="B120" s="7" t="n">
        <f aca="false">'종목 기본정보'!B$2*'일자별 주가'!B120</f>
        <v>168720000000</v>
      </c>
      <c r="C120" s="7" t="n">
        <f aca="false">'종목 기본정보'!C$2*'일자별 주가'!C120</f>
        <v>131380000000</v>
      </c>
      <c r="D120" s="7" t="n">
        <f aca="false">'종목 기본정보'!D$2*'일자별 주가'!D120</f>
        <v>722100000000</v>
      </c>
      <c r="E120" s="7" t="n">
        <f aca="false">'종목 기본정보'!E$2*'일자별 주가'!E120</f>
        <v>99166000000</v>
      </c>
      <c r="F120" s="7" t="n">
        <f aca="false">'종목 기본정보'!F$2*'일자별 주가'!F120</f>
        <v>1677918000000</v>
      </c>
      <c r="G120" s="7" t="n">
        <f aca="false">SUM(B120:F120)</f>
        <v>2799284000000</v>
      </c>
      <c r="H120" s="9" t="n">
        <f aca="false">G120*100/G$2</f>
        <v>147.330736842105</v>
      </c>
    </row>
    <row r="121" customFormat="false" ht="13.8" hidden="false" customHeight="false" outlineLevel="0" collapsed="false">
      <c r="A121" s="0" t="n">
        <v>120</v>
      </c>
      <c r="B121" s="7" t="n">
        <f aca="false">'종목 기본정보'!B$2*'일자별 주가'!B121</f>
        <v>164300000000</v>
      </c>
      <c r="C121" s="7" t="n">
        <f aca="false">'종목 기본정보'!C$2*'일자별 주가'!C121</f>
        <v>131310000000</v>
      </c>
      <c r="D121" s="7" t="n">
        <f aca="false">'종목 기본정보'!D$2*'일자별 주가'!D121</f>
        <v>731520000000</v>
      </c>
      <c r="E121" s="7" t="n">
        <f aca="false">'종목 기본정보'!E$2*'일자별 주가'!E121</f>
        <v>101457000000</v>
      </c>
      <c r="F121" s="7" t="n">
        <f aca="false">'종목 기본정보'!F$2*'일자별 주가'!F121</f>
        <v>1659625000000</v>
      </c>
      <c r="G121" s="7" t="n">
        <f aca="false">SUM(B121:F121)</f>
        <v>2788212000000</v>
      </c>
      <c r="H121" s="9" t="n">
        <f aca="false">G121*100/G$2</f>
        <v>146.748</v>
      </c>
    </row>
    <row r="122" customFormat="false" ht="13.8" hidden="false" customHeight="false" outlineLevel="0" collapsed="false">
      <c r="A122" s="0" t="n">
        <v>121</v>
      </c>
      <c r="B122" s="7" t="n">
        <f aca="false">'종목 기본정보'!B$2*'일자별 주가'!B122</f>
        <v>165580000000</v>
      </c>
      <c r="C122" s="7" t="n">
        <f aca="false">'종목 기본정보'!C$2*'일자별 주가'!C122</f>
        <v>132505000000</v>
      </c>
      <c r="D122" s="7" t="n">
        <f aca="false">'종목 기본정보'!D$2*'일자별 주가'!D122</f>
        <v>751760000000</v>
      </c>
      <c r="E122" s="7" t="n">
        <f aca="false">'종목 기본정보'!E$2*'일자별 주가'!E122</f>
        <v>101523000000</v>
      </c>
      <c r="F122" s="7" t="n">
        <f aca="false">'종목 기본정보'!F$2*'일자별 주가'!F122</f>
        <v>1626975000000</v>
      </c>
      <c r="G122" s="7" t="n">
        <f aca="false">SUM(B122:F122)</f>
        <v>2778343000000</v>
      </c>
      <c r="H122" s="9" t="n">
        <f aca="false">G122*100/G$2</f>
        <v>146.228578947368</v>
      </c>
    </row>
    <row r="123" customFormat="false" ht="13.8" hidden="false" customHeight="false" outlineLevel="0" collapsed="false">
      <c r="A123" s="0" t="n">
        <v>122</v>
      </c>
      <c r="B123" s="7" t="n">
        <f aca="false">'종목 기본정보'!B$2*'일자별 주가'!B123</f>
        <v>163410000000</v>
      </c>
      <c r="C123" s="7" t="n">
        <f aca="false">'종목 기본정보'!C$2*'일자별 주가'!C123</f>
        <v>134535000000</v>
      </c>
      <c r="D123" s="7" t="n">
        <f aca="false">'종목 기본정보'!D$2*'일자별 주가'!D123</f>
        <v>746440000000</v>
      </c>
      <c r="E123" s="7" t="n">
        <f aca="false">'종목 기본정보'!E$2*'일자별 주가'!E123</f>
        <v>100115000000</v>
      </c>
      <c r="F123" s="7" t="n">
        <f aca="false">'종목 기본정보'!F$2*'일자별 주가'!F123</f>
        <v>1612580000000</v>
      </c>
      <c r="G123" s="7" t="n">
        <f aca="false">SUM(B123:F123)</f>
        <v>2757080000000</v>
      </c>
      <c r="H123" s="9" t="n">
        <f aca="false">G123*100/G$2</f>
        <v>145.109473684211</v>
      </c>
    </row>
    <row r="124" customFormat="false" ht="13.8" hidden="false" customHeight="false" outlineLevel="0" collapsed="false">
      <c r="A124" s="0" t="n">
        <v>123</v>
      </c>
      <c r="B124" s="7" t="n">
        <f aca="false">'종목 기본정보'!B$2*'일자별 주가'!B124</f>
        <v>159000000000</v>
      </c>
      <c r="C124" s="7" t="n">
        <f aca="false">'종목 기본정보'!C$2*'일자별 주가'!C124</f>
        <v>133950000000</v>
      </c>
      <c r="D124" s="7" t="n">
        <f aca="false">'종목 기본정보'!D$2*'일자별 주가'!D124</f>
        <v>746600000000</v>
      </c>
      <c r="E124" s="7" t="n">
        <f aca="false">'종목 기본정보'!E$2*'일자별 주가'!E124</f>
        <v>101209000000</v>
      </c>
      <c r="F124" s="7" t="n">
        <f aca="false">'종목 기본정보'!F$2*'일자별 주가'!F124</f>
        <v>1620274000000</v>
      </c>
      <c r="G124" s="7" t="n">
        <f aca="false">SUM(B124:F124)</f>
        <v>2761033000000</v>
      </c>
      <c r="H124" s="9" t="n">
        <f aca="false">G124*100/G$2</f>
        <v>145.317526315789</v>
      </c>
    </row>
    <row r="125" customFormat="false" ht="13.8" hidden="false" customHeight="false" outlineLevel="0" collapsed="false">
      <c r="A125" s="0" t="n">
        <v>124</v>
      </c>
      <c r="B125" s="7" t="n">
        <f aca="false">'종목 기본정보'!B$2*'일자별 주가'!B125</f>
        <v>158810000000</v>
      </c>
      <c r="C125" s="7" t="n">
        <f aca="false">'종목 기본정보'!C$2*'일자별 주가'!C125</f>
        <v>133300000000</v>
      </c>
      <c r="D125" s="7" t="n">
        <f aca="false">'종목 기본정보'!D$2*'일자별 주가'!D125</f>
        <v>756280000000</v>
      </c>
      <c r="E125" s="7" t="n">
        <f aca="false">'종목 기본정보'!E$2*'일자별 주가'!E125</f>
        <v>98249000000</v>
      </c>
      <c r="F125" s="7" t="n">
        <f aca="false">'종목 기본정보'!F$2*'일자별 주가'!F125</f>
        <v>1579795000000</v>
      </c>
      <c r="G125" s="7" t="n">
        <f aca="false">SUM(B125:F125)</f>
        <v>2726434000000</v>
      </c>
      <c r="H125" s="9" t="n">
        <f aca="false">G125*100/G$2</f>
        <v>143.496526315789</v>
      </c>
    </row>
    <row r="126" customFormat="false" ht="13.8" hidden="false" customHeight="false" outlineLevel="0" collapsed="false">
      <c r="A126" s="0" t="n">
        <v>125</v>
      </c>
      <c r="B126" s="7" t="n">
        <f aca="false">'종목 기본정보'!B$2*'일자별 주가'!B126</f>
        <v>158290000000</v>
      </c>
      <c r="C126" s="7" t="n">
        <f aca="false">'종목 기본정보'!C$2*'일자별 주가'!C126</f>
        <v>132185000000</v>
      </c>
      <c r="D126" s="7" t="n">
        <f aca="false">'종목 기본정보'!D$2*'일자별 주가'!D126</f>
        <v>752040000000</v>
      </c>
      <c r="E126" s="7" t="n">
        <f aca="false">'종목 기본정보'!E$2*'일자별 주가'!E126</f>
        <v>98058000000</v>
      </c>
      <c r="F126" s="7" t="n">
        <f aca="false">'종목 기본정보'!F$2*'일자별 주가'!F126</f>
        <v>1626923000000</v>
      </c>
      <c r="G126" s="7" t="n">
        <f aca="false">SUM(B126:F126)</f>
        <v>2767496000000</v>
      </c>
      <c r="H126" s="9" t="n">
        <f aca="false">G126*100/G$2</f>
        <v>145.657684210526</v>
      </c>
    </row>
    <row r="127" customFormat="false" ht="13.8" hidden="false" customHeight="false" outlineLevel="0" collapsed="false">
      <c r="A127" s="0" t="n">
        <v>126</v>
      </c>
      <c r="B127" s="7" t="n">
        <f aca="false">'종목 기본정보'!B$2*'일자별 주가'!B127</f>
        <v>158700000000</v>
      </c>
      <c r="C127" s="7" t="n">
        <f aca="false">'종목 기본정보'!C$2*'일자별 주가'!C127</f>
        <v>132575000000</v>
      </c>
      <c r="D127" s="7" t="n">
        <f aca="false">'종목 기본정보'!D$2*'일자별 주가'!D127</f>
        <v>767440000000</v>
      </c>
      <c r="E127" s="7" t="n">
        <f aca="false">'종목 기본정보'!E$2*'일자별 주가'!E127</f>
        <v>98806000000</v>
      </c>
      <c r="F127" s="7" t="n">
        <f aca="false">'종목 기본정보'!F$2*'일자별 주가'!F127</f>
        <v>1677788000000</v>
      </c>
      <c r="G127" s="7" t="n">
        <f aca="false">SUM(B127:F127)</f>
        <v>2835309000000</v>
      </c>
      <c r="H127" s="9" t="n">
        <f aca="false">G127*100/G$2</f>
        <v>149.226789473684</v>
      </c>
    </row>
    <row r="128" customFormat="false" ht="13.8" hidden="false" customHeight="false" outlineLevel="0" collapsed="false">
      <c r="A128" s="0" t="n">
        <v>127</v>
      </c>
      <c r="B128" s="7" t="n">
        <f aca="false">'종목 기본정보'!B$2*'일자별 주가'!B128</f>
        <v>157040000000</v>
      </c>
      <c r="C128" s="7" t="n">
        <f aca="false">'종목 기본정보'!C$2*'일자별 주가'!C128</f>
        <v>130480000000</v>
      </c>
      <c r="D128" s="7" t="n">
        <f aca="false">'종목 기본정보'!D$2*'일자별 주가'!D128</f>
        <v>784060000000</v>
      </c>
      <c r="E128" s="7" t="n">
        <f aca="false">'종목 기본정보'!E$2*'일자별 주가'!E128</f>
        <v>96095000000</v>
      </c>
      <c r="F128" s="7" t="n">
        <f aca="false">'종목 기본정보'!F$2*'일자별 주가'!F128</f>
        <v>1659539000000</v>
      </c>
      <c r="G128" s="7" t="n">
        <f aca="false">SUM(B128:F128)</f>
        <v>2827214000000</v>
      </c>
      <c r="H128" s="9" t="n">
        <f aca="false">G128*100/G$2</f>
        <v>148.800736842105</v>
      </c>
    </row>
    <row r="129" customFormat="false" ht="13.8" hidden="false" customHeight="false" outlineLevel="0" collapsed="false">
      <c r="A129" s="0" t="n">
        <v>128</v>
      </c>
      <c r="B129" s="7" t="n">
        <f aca="false">'종목 기본정보'!B$2*'일자별 주가'!B129</f>
        <v>162140000000</v>
      </c>
      <c r="C129" s="7" t="n">
        <f aca="false">'종목 기본정보'!C$2*'일자별 주가'!C129</f>
        <v>126670000000</v>
      </c>
      <c r="D129" s="7" t="n">
        <f aca="false">'종목 기본정보'!D$2*'일자별 주가'!D129</f>
        <v>772640000000</v>
      </c>
      <c r="E129" s="7" t="n">
        <f aca="false">'종목 기본정보'!E$2*'일자별 주가'!E129</f>
        <v>98515000000</v>
      </c>
      <c r="F129" s="7" t="n">
        <f aca="false">'종목 기본정보'!F$2*'일자별 주가'!F129</f>
        <v>1691109000000</v>
      </c>
      <c r="G129" s="7" t="n">
        <f aca="false">SUM(B129:F129)</f>
        <v>2851074000000</v>
      </c>
      <c r="H129" s="9" t="n">
        <f aca="false">G129*100/G$2</f>
        <v>150.056526315789</v>
      </c>
    </row>
    <row r="130" customFormat="false" ht="13.8" hidden="false" customHeight="false" outlineLevel="0" collapsed="false">
      <c r="A130" s="0" t="n">
        <v>129</v>
      </c>
      <c r="B130" s="7" t="n">
        <f aca="false">'종목 기본정보'!B$2*'일자별 주가'!B130</f>
        <v>164270000000</v>
      </c>
      <c r="C130" s="7" t="n">
        <f aca="false">'종목 기본정보'!C$2*'일자별 주가'!C130</f>
        <v>129095000000</v>
      </c>
      <c r="D130" s="7" t="n">
        <f aca="false">'종목 기본정보'!D$2*'일자별 주가'!D130</f>
        <v>798000000000</v>
      </c>
      <c r="E130" s="7" t="n">
        <f aca="false">'종목 기본정보'!E$2*'일자별 주가'!E130</f>
        <v>101447000000</v>
      </c>
      <c r="F130" s="7" t="n">
        <f aca="false">'종목 기본정보'!F$2*'일자별 주가'!F130</f>
        <v>1672823000000</v>
      </c>
      <c r="G130" s="7" t="n">
        <f aca="false">SUM(B130:F130)</f>
        <v>2865635000000</v>
      </c>
      <c r="H130" s="9" t="n">
        <f aca="false">G130*100/G$2</f>
        <v>150.822894736842</v>
      </c>
    </row>
    <row r="131" customFormat="false" ht="13.8" hidden="false" customHeight="false" outlineLevel="0" collapsed="false">
      <c r="A131" s="0" t="n">
        <v>130</v>
      </c>
      <c r="B131" s="7" t="n">
        <f aca="false">'종목 기본정보'!B$2*'일자별 주가'!B131</f>
        <v>161290000000</v>
      </c>
      <c r="C131" s="7" t="n">
        <f aca="false">'종목 기본정보'!C$2*'일자별 주가'!C131</f>
        <v>129430000000</v>
      </c>
      <c r="D131" s="7" t="n">
        <f aca="false">'종목 기본정보'!D$2*'일자별 주가'!D131</f>
        <v>812580000000</v>
      </c>
      <c r="E131" s="7" t="n">
        <f aca="false">'종목 기본정보'!E$2*'일자별 주가'!E131</f>
        <v>99531000000</v>
      </c>
      <c r="F131" s="7" t="n">
        <f aca="false">'종목 기본정보'!F$2*'일자별 주가'!F131</f>
        <v>1725495000000</v>
      </c>
      <c r="G131" s="7" t="n">
        <f aca="false">SUM(B131:F131)</f>
        <v>2928326000000</v>
      </c>
      <c r="H131" s="9" t="n">
        <f aca="false">G131*100/G$2</f>
        <v>154.122421052632</v>
      </c>
    </row>
    <row r="132" customFormat="false" ht="13.8" hidden="false" customHeight="false" outlineLevel="0" collapsed="false">
      <c r="A132" s="0" t="n">
        <v>131</v>
      </c>
      <c r="B132" s="7" t="n">
        <f aca="false">'종목 기본정보'!B$2*'일자별 주가'!B132</f>
        <v>164680000000</v>
      </c>
      <c r="C132" s="7" t="n">
        <f aca="false">'종목 기본정보'!C$2*'일자별 주가'!C132</f>
        <v>131455000000</v>
      </c>
      <c r="D132" s="7" t="n">
        <f aca="false">'종목 기본정보'!D$2*'일자별 주가'!D132</f>
        <v>811800000000</v>
      </c>
      <c r="E132" s="7" t="n">
        <f aca="false">'종목 기본정보'!E$2*'일자별 주가'!E132</f>
        <v>100430000000</v>
      </c>
      <c r="F132" s="7" t="n">
        <f aca="false">'종목 기본정보'!F$2*'일자별 주가'!F132</f>
        <v>1756151000000</v>
      </c>
      <c r="G132" s="7" t="n">
        <f aca="false">SUM(B132:F132)</f>
        <v>2964516000000</v>
      </c>
      <c r="H132" s="9" t="n">
        <f aca="false">G132*100/G$2</f>
        <v>156.027157894737</v>
      </c>
    </row>
    <row r="133" customFormat="false" ht="13.8" hidden="false" customHeight="false" outlineLevel="0" collapsed="false">
      <c r="A133" s="0" t="n">
        <v>132</v>
      </c>
      <c r="B133" s="7" t="n">
        <f aca="false">'종목 기본정보'!B$2*'일자별 주가'!B133</f>
        <v>167470000000</v>
      </c>
      <c r="C133" s="7" t="n">
        <f aca="false">'종목 기본정보'!C$2*'일자별 주가'!C133</f>
        <v>131490000000</v>
      </c>
      <c r="D133" s="7" t="n">
        <f aca="false">'종목 기본정보'!D$2*'일자별 주가'!D133</f>
        <v>828520000000</v>
      </c>
      <c r="E133" s="7" t="n">
        <f aca="false">'종목 기본정보'!E$2*'일자별 주가'!E133</f>
        <v>101866000000</v>
      </c>
      <c r="F133" s="7" t="n">
        <f aca="false">'종목 기본정보'!F$2*'일자별 주가'!F133</f>
        <v>1804907000000</v>
      </c>
      <c r="G133" s="7" t="n">
        <f aca="false">SUM(B133:F133)</f>
        <v>3034253000000</v>
      </c>
      <c r="H133" s="9" t="n">
        <f aca="false">G133*100/G$2</f>
        <v>159.697526315789</v>
      </c>
    </row>
    <row r="134" customFormat="false" ht="13.8" hidden="false" customHeight="false" outlineLevel="0" collapsed="false">
      <c r="A134" s="0" t="n">
        <v>133</v>
      </c>
      <c r="B134" s="7" t="n">
        <f aca="false">'종목 기본정보'!B$2*'일자별 주가'!B134</f>
        <v>164680000000</v>
      </c>
      <c r="C134" s="7" t="n">
        <f aca="false">'종목 기본정보'!C$2*'일자별 주가'!C134</f>
        <v>135410000000</v>
      </c>
      <c r="D134" s="7" t="n">
        <f aca="false">'종목 기본정보'!D$2*'일자별 주가'!D134</f>
        <v>823000000000</v>
      </c>
      <c r="E134" s="7" t="n">
        <f aca="false">'종목 기본정보'!E$2*'일자별 주가'!E134</f>
        <v>99664000000</v>
      </c>
      <c r="F134" s="7" t="n">
        <f aca="false">'종목 기본정보'!F$2*'일자별 주가'!F134</f>
        <v>1831515000000</v>
      </c>
      <c r="G134" s="7" t="n">
        <f aca="false">SUM(B134:F134)</f>
        <v>3054269000000</v>
      </c>
      <c r="H134" s="9" t="n">
        <f aca="false">G134*100/G$2</f>
        <v>160.751</v>
      </c>
    </row>
    <row r="135" customFormat="false" ht="13.8" hidden="false" customHeight="false" outlineLevel="0" collapsed="false">
      <c r="A135" s="0" t="n">
        <v>134</v>
      </c>
      <c r="B135" s="7" t="n">
        <f aca="false">'종목 기본정보'!B$2*'일자별 주가'!B135</f>
        <v>162080000000</v>
      </c>
      <c r="C135" s="7" t="n">
        <f aca="false">'종목 기본정보'!C$2*'일자별 주가'!C135</f>
        <v>132115000000</v>
      </c>
      <c r="D135" s="7" t="n">
        <f aca="false">'종목 기본정보'!D$2*'일자별 주가'!D135</f>
        <v>845380000000</v>
      </c>
      <c r="E135" s="7" t="n">
        <f aca="false">'종목 기본정보'!E$2*'일자별 주가'!E135</f>
        <v>98977000000</v>
      </c>
      <c r="F135" s="7" t="n">
        <f aca="false">'종목 기본정보'!F$2*'일자별 주가'!F135</f>
        <v>1867992000000</v>
      </c>
      <c r="G135" s="7" t="n">
        <f aca="false">SUM(B135:F135)</f>
        <v>3106544000000</v>
      </c>
      <c r="H135" s="9" t="n">
        <f aca="false">G135*100/G$2</f>
        <v>163.502315789474</v>
      </c>
    </row>
    <row r="136" customFormat="false" ht="13.8" hidden="false" customHeight="false" outlineLevel="0" collapsed="false">
      <c r="A136" s="0" t="n">
        <v>135</v>
      </c>
      <c r="B136" s="7" t="n">
        <f aca="false">'종목 기본정보'!B$2*'일자별 주가'!B136</f>
        <v>164310000000</v>
      </c>
      <c r="C136" s="7" t="n">
        <f aca="false">'종목 기본정보'!C$2*'일자별 주가'!C136</f>
        <v>129240000000</v>
      </c>
      <c r="D136" s="7" t="n">
        <f aca="false">'종목 기본정보'!D$2*'일자별 주가'!D136</f>
        <v>844280000000</v>
      </c>
      <c r="E136" s="7" t="n">
        <f aca="false">'종목 기본정보'!E$2*'일자별 주가'!E136</f>
        <v>96264000000</v>
      </c>
      <c r="F136" s="7" t="n">
        <f aca="false">'종목 기본정보'!F$2*'일자별 주가'!F136</f>
        <v>1909080000000</v>
      </c>
      <c r="G136" s="7" t="n">
        <f aca="false">SUM(B136:F136)</f>
        <v>3143174000000</v>
      </c>
      <c r="H136" s="9" t="n">
        <f aca="false">G136*100/G$2</f>
        <v>165.430210526316</v>
      </c>
    </row>
    <row r="137" customFormat="false" ht="13.8" hidden="false" customHeight="false" outlineLevel="0" collapsed="false">
      <c r="A137" s="0" t="n">
        <v>136</v>
      </c>
      <c r="B137" s="7" t="n">
        <f aca="false">'종목 기본정보'!B$2*'일자별 주가'!B137</f>
        <v>165640000000</v>
      </c>
      <c r="C137" s="7" t="n">
        <f aca="false">'종목 기본정보'!C$2*'일자별 주가'!C137</f>
        <v>127195000000</v>
      </c>
      <c r="D137" s="7" t="n">
        <f aca="false">'종목 기본정보'!D$2*'일자별 주가'!D137</f>
        <v>834400000000</v>
      </c>
      <c r="E137" s="7" t="n">
        <f aca="false">'종목 기본정보'!E$2*'일자별 주가'!E137</f>
        <v>93639000000</v>
      </c>
      <c r="F137" s="7" t="n">
        <f aca="false">'종목 기본정보'!F$2*'일자별 주가'!F137</f>
        <v>1953976000000</v>
      </c>
      <c r="G137" s="7" t="n">
        <f aca="false">SUM(B137:F137)</f>
        <v>3174850000000</v>
      </c>
      <c r="H137" s="9" t="n">
        <f aca="false">G137*100/G$2</f>
        <v>167.097368421053</v>
      </c>
    </row>
    <row r="138" customFormat="false" ht="13.8" hidden="false" customHeight="false" outlineLevel="0" collapsed="false">
      <c r="A138" s="0" t="n">
        <v>137</v>
      </c>
      <c r="B138" s="7" t="n">
        <f aca="false">'종목 기본정보'!B$2*'일자별 주가'!B138</f>
        <v>170800000000</v>
      </c>
      <c r="C138" s="7" t="n">
        <f aca="false">'종목 기본정보'!C$2*'일자별 주가'!C138</f>
        <v>129615000000</v>
      </c>
      <c r="D138" s="7" t="n">
        <f aca="false">'종목 기본정보'!D$2*'일자별 주가'!D138</f>
        <v>852960000000</v>
      </c>
      <c r="E138" s="7" t="n">
        <f aca="false">'종목 기본정보'!E$2*'일자별 주가'!E138</f>
        <v>95996000000</v>
      </c>
      <c r="F138" s="7" t="n">
        <f aca="false">'종목 기본정보'!F$2*'일자별 주가'!F138</f>
        <v>1996097000000</v>
      </c>
      <c r="G138" s="7" t="n">
        <f aca="false">SUM(B138:F138)</f>
        <v>3245468000000</v>
      </c>
      <c r="H138" s="9" t="n">
        <f aca="false">G138*100/G$2</f>
        <v>170.814105263158</v>
      </c>
    </row>
    <row r="139" customFormat="false" ht="13.8" hidden="false" customHeight="false" outlineLevel="0" collapsed="false">
      <c r="A139" s="0" t="n">
        <v>138</v>
      </c>
      <c r="B139" s="7" t="n">
        <f aca="false">'종목 기본정보'!B$2*'일자별 주가'!B139</f>
        <v>173270000000</v>
      </c>
      <c r="C139" s="7" t="n">
        <f aca="false">'종목 기본정보'!C$2*'일자별 주가'!C139</f>
        <v>133190000000</v>
      </c>
      <c r="D139" s="7" t="n">
        <f aca="false">'종목 기본정보'!D$2*'일자별 주가'!D139</f>
        <v>836220000000</v>
      </c>
      <c r="E139" s="7" t="n">
        <f aca="false">'종목 기본정보'!E$2*'일자별 주가'!E139</f>
        <v>94964000000</v>
      </c>
      <c r="F139" s="7" t="n">
        <f aca="false">'종목 기본정보'!F$2*'일자별 주가'!F139</f>
        <v>1958198000000</v>
      </c>
      <c r="G139" s="7" t="n">
        <f aca="false">SUM(B139:F139)</f>
        <v>3195842000000</v>
      </c>
      <c r="H139" s="9" t="n">
        <f aca="false">G139*100/G$2</f>
        <v>168.202210526316</v>
      </c>
    </row>
    <row r="140" customFormat="false" ht="13.8" hidden="false" customHeight="false" outlineLevel="0" collapsed="false">
      <c r="A140" s="0" t="n">
        <v>139</v>
      </c>
      <c r="B140" s="7" t="n">
        <f aca="false">'종목 기본정보'!B$2*'일자별 주가'!B140</f>
        <v>176850000000</v>
      </c>
      <c r="C140" s="7" t="n">
        <f aca="false">'종목 기본정보'!C$2*'일자별 주가'!C140</f>
        <v>132960000000</v>
      </c>
      <c r="D140" s="7" t="n">
        <f aca="false">'종목 기본정보'!D$2*'일자별 주가'!D140</f>
        <v>819220000000</v>
      </c>
      <c r="E140" s="7" t="n">
        <f aca="false">'종목 기본정보'!E$2*'일자별 주가'!E140</f>
        <v>97696000000</v>
      </c>
      <c r="F140" s="7" t="n">
        <f aca="false">'종목 기본정보'!F$2*'일자별 주가'!F140</f>
        <v>1994684000000</v>
      </c>
      <c r="G140" s="7" t="n">
        <f aca="false">SUM(B140:F140)</f>
        <v>3221410000000</v>
      </c>
      <c r="H140" s="9" t="n">
        <f aca="false">G140*100/G$2</f>
        <v>169.547894736842</v>
      </c>
    </row>
    <row r="141" customFormat="false" ht="13.8" hidden="false" customHeight="false" outlineLevel="0" collapsed="false">
      <c r="A141" s="0" t="n">
        <v>140</v>
      </c>
      <c r="B141" s="7" t="n">
        <f aca="false">'종목 기본정보'!B$2*'일자별 주가'!B141</f>
        <v>172760000000</v>
      </c>
      <c r="C141" s="7" t="n">
        <f aca="false">'종목 기본정보'!C$2*'일자별 주가'!C141</f>
        <v>131065000000</v>
      </c>
      <c r="D141" s="7" t="n">
        <f aca="false">'종목 기본정보'!D$2*'일자별 주가'!D141</f>
        <v>822560000000</v>
      </c>
      <c r="E141" s="7" t="n">
        <f aca="false">'종목 기본정보'!E$2*'일자별 주가'!E141</f>
        <v>95812000000</v>
      </c>
      <c r="F141" s="7" t="n">
        <f aca="false">'종목 기본정보'!F$2*'일자별 주가'!F141</f>
        <v>2055140000000</v>
      </c>
      <c r="G141" s="7" t="n">
        <f aca="false">SUM(B141:F141)</f>
        <v>3277337000000</v>
      </c>
      <c r="H141" s="9" t="n">
        <f aca="false">G141*100/G$2</f>
        <v>172.491421052632</v>
      </c>
    </row>
    <row r="142" customFormat="false" ht="13.8" hidden="false" customHeight="false" outlineLevel="0" collapsed="false">
      <c r="A142" s="0" t="n">
        <v>141</v>
      </c>
      <c r="B142" s="7" t="n">
        <f aca="false">'종목 기본정보'!B$2*'일자별 주가'!B142</f>
        <v>172620000000</v>
      </c>
      <c r="C142" s="7" t="n">
        <f aca="false">'종목 기본정보'!C$2*'일자별 주가'!C142</f>
        <v>130325000000</v>
      </c>
      <c r="D142" s="7" t="n">
        <f aca="false">'종목 기본정보'!D$2*'일자별 주가'!D142</f>
        <v>819140000000</v>
      </c>
      <c r="E142" s="7" t="n">
        <f aca="false">'종목 기본정보'!E$2*'일자별 주가'!E142</f>
        <v>95104000000</v>
      </c>
      <c r="F142" s="7" t="n">
        <f aca="false">'종목 기본정보'!F$2*'일자별 주가'!F142</f>
        <v>2028372000000</v>
      </c>
      <c r="G142" s="7" t="n">
        <f aca="false">SUM(B142:F142)</f>
        <v>3245561000000</v>
      </c>
      <c r="H142" s="9" t="n">
        <f aca="false">G142*100/G$2</f>
        <v>170.819</v>
      </c>
    </row>
    <row r="143" customFormat="false" ht="13.8" hidden="false" customHeight="false" outlineLevel="0" collapsed="false">
      <c r="A143" s="0" t="n">
        <v>142</v>
      </c>
      <c r="B143" s="7" t="n">
        <f aca="false">'종목 기본정보'!B$2*'일자별 주가'!B143</f>
        <v>170460000000</v>
      </c>
      <c r="C143" s="7" t="n">
        <f aca="false">'종목 기본정보'!C$2*'일자별 주가'!C143</f>
        <v>129760000000</v>
      </c>
      <c r="D143" s="7" t="n">
        <f aca="false">'종목 기본정보'!D$2*'일자별 주가'!D143</f>
        <v>831260000000</v>
      </c>
      <c r="E143" s="7" t="n">
        <f aca="false">'종목 기본정보'!E$2*'일자별 주가'!E143</f>
        <v>97298000000</v>
      </c>
      <c r="F143" s="7" t="n">
        <f aca="false">'종목 기본정보'!F$2*'일자별 주가'!F143</f>
        <v>2024198000000</v>
      </c>
      <c r="G143" s="7" t="n">
        <f aca="false">SUM(B143:F143)</f>
        <v>3252976000000</v>
      </c>
      <c r="H143" s="9" t="n">
        <f aca="false">G143*100/G$2</f>
        <v>171.209263157895</v>
      </c>
    </row>
    <row r="144" customFormat="false" ht="13.8" hidden="false" customHeight="false" outlineLevel="0" collapsed="false">
      <c r="A144" s="0" t="n">
        <v>143</v>
      </c>
      <c r="B144" s="7" t="n">
        <f aca="false">'종목 기본정보'!B$2*'일자별 주가'!B144</f>
        <v>172070000000</v>
      </c>
      <c r="C144" s="7" t="n">
        <f aca="false">'종목 기본정보'!C$2*'일자별 주가'!C144</f>
        <v>126845000000</v>
      </c>
      <c r="D144" s="7" t="n">
        <f aca="false">'종목 기본정보'!D$2*'일자별 주가'!D144</f>
        <v>854540000000</v>
      </c>
      <c r="E144" s="7" t="n">
        <f aca="false">'종목 기본정보'!E$2*'일자별 주가'!E144</f>
        <v>99092000000</v>
      </c>
      <c r="F144" s="7" t="n">
        <f aca="false">'종목 기본정보'!F$2*'일자별 주가'!F144</f>
        <v>2074078000000</v>
      </c>
      <c r="G144" s="7" t="n">
        <f aca="false">SUM(B144:F144)</f>
        <v>3326625000000</v>
      </c>
      <c r="H144" s="9" t="n">
        <f aca="false">G144*100/G$2</f>
        <v>175.085526315789</v>
      </c>
    </row>
    <row r="145" customFormat="false" ht="13.8" hidden="false" customHeight="false" outlineLevel="0" collapsed="false">
      <c r="A145" s="0" t="n">
        <v>144</v>
      </c>
      <c r="B145" s="7" t="n">
        <f aca="false">'종목 기본정보'!B$2*'일자별 주가'!B145</f>
        <v>168700000000</v>
      </c>
      <c r="C145" s="7" t="n">
        <f aca="false">'종목 기본정보'!C$2*'일자별 주가'!C145</f>
        <v>127405000000</v>
      </c>
      <c r="D145" s="7" t="n">
        <f aca="false">'종목 기본정보'!D$2*'일자별 주가'!D145</f>
        <v>864260000000</v>
      </c>
      <c r="E145" s="7" t="n">
        <f aca="false">'종목 기본정보'!E$2*'일자별 주가'!E145</f>
        <v>96488000000</v>
      </c>
      <c r="F145" s="7" t="n">
        <f aca="false">'종목 기본정보'!F$2*'일자별 주가'!F145</f>
        <v>2084014000000</v>
      </c>
      <c r="G145" s="7" t="n">
        <f aca="false">SUM(B145:F145)</f>
        <v>3340867000000</v>
      </c>
      <c r="H145" s="9" t="n">
        <f aca="false">G145*100/G$2</f>
        <v>175.835105263158</v>
      </c>
    </row>
    <row r="146" customFormat="false" ht="13.8" hidden="false" customHeight="false" outlineLevel="0" collapsed="false">
      <c r="A146" s="0" t="n">
        <v>145</v>
      </c>
      <c r="B146" s="7" t="n">
        <f aca="false">'종목 기본정보'!B$2*'일자별 주가'!B146</f>
        <v>168730000000</v>
      </c>
      <c r="C146" s="7" t="n">
        <f aca="false">'종목 기본정보'!C$2*'일자별 주가'!C146</f>
        <v>131475000000</v>
      </c>
      <c r="D146" s="7" t="n">
        <f aca="false">'종목 기본정보'!D$2*'일자별 주가'!D146</f>
        <v>879560000000</v>
      </c>
      <c r="E146" s="7" t="n">
        <f aca="false">'종목 기본정보'!E$2*'일자별 주가'!E146</f>
        <v>98271000000</v>
      </c>
      <c r="F146" s="7" t="n">
        <f aca="false">'종목 기본정보'!F$2*'일자별 주가'!F146</f>
        <v>2143457000000</v>
      </c>
      <c r="G146" s="7" t="n">
        <f aca="false">SUM(B146:F146)</f>
        <v>3421493000000</v>
      </c>
      <c r="H146" s="9" t="n">
        <f aca="false">G146*100/G$2</f>
        <v>180.078578947368</v>
      </c>
    </row>
    <row r="147" customFormat="false" ht="13.8" hidden="false" customHeight="false" outlineLevel="0" collapsed="false">
      <c r="A147" s="0" t="n">
        <v>146</v>
      </c>
      <c r="B147" s="7" t="n">
        <f aca="false">'종목 기본정보'!B$2*'일자별 주가'!B147</f>
        <v>172800000000</v>
      </c>
      <c r="C147" s="7" t="n">
        <f aca="false">'종목 기본정보'!C$2*'일자별 주가'!C147</f>
        <v>130885000000</v>
      </c>
      <c r="D147" s="7" t="n">
        <f aca="false">'종목 기본정보'!D$2*'일자별 주가'!D147</f>
        <v>883800000000</v>
      </c>
      <c r="E147" s="7" t="n">
        <f aca="false">'종목 기본정보'!E$2*'일자별 주가'!E147</f>
        <v>101176000000</v>
      </c>
      <c r="F147" s="7" t="n">
        <f aca="false">'종목 기본정보'!F$2*'일자별 주가'!F147</f>
        <v>2137542000000</v>
      </c>
      <c r="G147" s="7" t="n">
        <f aca="false">SUM(B147:F147)</f>
        <v>3426203000000</v>
      </c>
      <c r="H147" s="9" t="n">
        <f aca="false">G147*100/G$2</f>
        <v>180.326473684211</v>
      </c>
    </row>
    <row r="148" customFormat="false" ht="13.8" hidden="false" customHeight="false" outlineLevel="0" collapsed="false">
      <c r="A148" s="0" t="n">
        <v>147</v>
      </c>
      <c r="B148" s="7" t="n">
        <f aca="false">'종목 기본정보'!B$2*'일자별 주가'!B148</f>
        <v>172340000000</v>
      </c>
      <c r="C148" s="7" t="n">
        <f aca="false">'종목 기본정보'!C$2*'일자별 주가'!C148</f>
        <v>132705000000</v>
      </c>
      <c r="D148" s="7" t="n">
        <f aca="false">'종목 기본정보'!D$2*'일자별 주가'!D148</f>
        <v>870320000000</v>
      </c>
      <c r="E148" s="7" t="n">
        <f aca="false">'종목 기본정보'!E$2*'일자별 주가'!E148</f>
        <v>101013000000</v>
      </c>
      <c r="F148" s="7" t="n">
        <f aca="false">'종목 기본정보'!F$2*'일자별 주가'!F148</f>
        <v>2091189000000</v>
      </c>
      <c r="G148" s="7" t="n">
        <f aca="false">SUM(B148:F148)</f>
        <v>3367567000000</v>
      </c>
      <c r="H148" s="9" t="n">
        <f aca="false">G148*100/G$2</f>
        <v>177.240368421053</v>
      </c>
    </row>
    <row r="149" customFormat="false" ht="13.8" hidden="false" customHeight="false" outlineLevel="0" collapsed="false">
      <c r="A149" s="0" t="n">
        <v>148</v>
      </c>
      <c r="B149" s="7" t="n">
        <f aca="false">'종목 기본정보'!B$2*'일자별 주가'!B149</f>
        <v>167440000000</v>
      </c>
      <c r="C149" s="7" t="n">
        <f aca="false">'종목 기본정보'!C$2*'일자별 주가'!C149</f>
        <v>131610000000</v>
      </c>
      <c r="D149" s="7" t="n">
        <f aca="false">'종목 기본정보'!D$2*'일자별 주가'!D149</f>
        <v>865500000000</v>
      </c>
      <c r="E149" s="7" t="n">
        <f aca="false">'종목 기본정보'!E$2*'일자별 주가'!E149</f>
        <v>99229000000</v>
      </c>
      <c r="F149" s="7" t="n">
        <f aca="false">'종목 기본정보'!F$2*'일자별 주가'!F149</f>
        <v>2063336000000</v>
      </c>
      <c r="G149" s="7" t="n">
        <f aca="false">SUM(B149:F149)</f>
        <v>3327115000000</v>
      </c>
      <c r="H149" s="9" t="n">
        <f aca="false">G149*100/G$2</f>
        <v>175.111315789474</v>
      </c>
    </row>
    <row r="150" customFormat="false" ht="13.8" hidden="false" customHeight="false" outlineLevel="0" collapsed="false">
      <c r="A150" s="0" t="n">
        <v>149</v>
      </c>
      <c r="B150" s="7" t="n">
        <f aca="false">'종목 기본정보'!B$2*'일자별 주가'!B150</f>
        <v>166140000000</v>
      </c>
      <c r="C150" s="7" t="n">
        <f aca="false">'종목 기본정보'!C$2*'일자별 주가'!C150</f>
        <v>128770000000</v>
      </c>
      <c r="D150" s="7" t="n">
        <f aca="false">'종목 기본정보'!D$2*'일자별 주가'!D150</f>
        <v>885100000000</v>
      </c>
      <c r="E150" s="7" t="n">
        <f aca="false">'종목 기본정보'!E$2*'일자별 주가'!E150</f>
        <v>100556000000</v>
      </c>
      <c r="F150" s="7" t="n">
        <f aca="false">'종목 기본정보'!F$2*'일자별 주가'!F150</f>
        <v>2107358000000</v>
      </c>
      <c r="G150" s="7" t="n">
        <f aca="false">SUM(B150:F150)</f>
        <v>3387924000000</v>
      </c>
      <c r="H150" s="9" t="n">
        <f aca="false">G150*100/G$2</f>
        <v>178.311789473684</v>
      </c>
    </row>
    <row r="151" customFormat="false" ht="13.8" hidden="false" customHeight="false" outlineLevel="0" collapsed="false">
      <c r="A151" s="0" t="n">
        <v>150</v>
      </c>
      <c r="B151" s="7" t="n">
        <f aca="false">'종목 기본정보'!B$2*'일자별 주가'!B151</f>
        <v>166530000000</v>
      </c>
      <c r="C151" s="7" t="n">
        <f aca="false">'종목 기본정보'!C$2*'일자별 주가'!C151</f>
        <v>125330000000</v>
      </c>
      <c r="D151" s="7" t="n">
        <f aca="false">'종목 기본정보'!D$2*'일자별 주가'!D151</f>
        <v>902160000000</v>
      </c>
      <c r="E151" s="7" t="n">
        <f aca="false">'종목 기본정보'!E$2*'일자별 주가'!E151</f>
        <v>102354000000</v>
      </c>
      <c r="F151" s="7" t="n">
        <f aca="false">'종목 기본정보'!F$2*'일자별 주가'!F151</f>
        <v>2045913000000</v>
      </c>
      <c r="G151" s="7" t="n">
        <f aca="false">SUM(B151:F151)</f>
        <v>3342287000000</v>
      </c>
      <c r="H151" s="9" t="n">
        <f aca="false">G151*100/G$2</f>
        <v>175.909842105263</v>
      </c>
    </row>
    <row r="152" customFormat="false" ht="13.8" hidden="false" customHeight="false" outlineLevel="0" collapsed="false">
      <c r="A152" s="0" t="n">
        <v>151</v>
      </c>
      <c r="B152" s="7" t="n">
        <f aca="false">'종목 기본정보'!B$2*'일자별 주가'!B152</f>
        <v>167260000000</v>
      </c>
      <c r="C152" s="7" t="n">
        <f aca="false">'종목 기본정보'!C$2*'일자별 주가'!C152</f>
        <v>124070000000</v>
      </c>
      <c r="D152" s="7" t="n">
        <f aca="false">'종목 기본정보'!D$2*'일자별 주가'!D152</f>
        <v>918380000000</v>
      </c>
      <c r="E152" s="7" t="n">
        <f aca="false">'종목 기본정보'!E$2*'일자별 주가'!E152</f>
        <v>105343000000</v>
      </c>
      <c r="F152" s="7" t="n">
        <f aca="false">'종목 기본정보'!F$2*'일자별 주가'!F152</f>
        <v>2054907000000</v>
      </c>
      <c r="G152" s="7" t="n">
        <f aca="false">SUM(B152:F152)</f>
        <v>3369960000000</v>
      </c>
      <c r="H152" s="9" t="n">
        <f aca="false">G152*100/G$2</f>
        <v>177.366315789474</v>
      </c>
    </row>
    <row r="153" customFormat="false" ht="13.8" hidden="false" customHeight="false" outlineLevel="0" collapsed="false">
      <c r="A153" s="0" t="n">
        <v>152</v>
      </c>
      <c r="B153" s="7" t="n">
        <f aca="false">'종목 기본정보'!B$2*'일자별 주가'!B153</f>
        <v>164120000000</v>
      </c>
      <c r="C153" s="7" t="n">
        <f aca="false">'종목 기본정보'!C$2*'일자별 주가'!C153</f>
        <v>126085000000</v>
      </c>
      <c r="D153" s="7" t="n">
        <f aca="false">'종목 기본정보'!D$2*'일자별 주가'!D153</f>
        <v>930940000000</v>
      </c>
      <c r="E153" s="7" t="n">
        <f aca="false">'종목 기본정보'!E$2*'일자별 주가'!E153</f>
        <v>104099000000</v>
      </c>
      <c r="F153" s="7" t="n">
        <f aca="false">'종목 기본정보'!F$2*'일자별 주가'!F153</f>
        <v>2084512000000</v>
      </c>
      <c r="G153" s="7" t="n">
        <f aca="false">SUM(B153:F153)</f>
        <v>3409756000000</v>
      </c>
      <c r="H153" s="9" t="n">
        <f aca="false">G153*100/G$2</f>
        <v>179.460842105263</v>
      </c>
    </row>
    <row r="154" customFormat="false" ht="13.8" hidden="false" customHeight="false" outlineLevel="0" collapsed="false">
      <c r="A154" s="0" t="n">
        <v>153</v>
      </c>
      <c r="B154" s="7" t="n">
        <f aca="false">'종목 기본정보'!B$2*'일자별 주가'!B154</f>
        <v>169310000000</v>
      </c>
      <c r="C154" s="7" t="n">
        <f aca="false">'종목 기본정보'!C$2*'일자별 주가'!C154</f>
        <v>124395000000</v>
      </c>
      <c r="D154" s="7" t="n">
        <f aca="false">'종목 기본정보'!D$2*'일자별 주가'!D154</f>
        <v>956740000000</v>
      </c>
      <c r="E154" s="7" t="n">
        <f aca="false">'종목 기본정보'!E$2*'일자별 주가'!E154</f>
        <v>106184000000</v>
      </c>
      <c r="F154" s="7" t="n">
        <f aca="false">'종목 기본정보'!F$2*'일자별 주가'!F154</f>
        <v>2061935000000</v>
      </c>
      <c r="G154" s="7" t="n">
        <f aca="false">SUM(B154:F154)</f>
        <v>3418564000000</v>
      </c>
      <c r="H154" s="9" t="n">
        <f aca="false">G154*100/G$2</f>
        <v>179.924421052632</v>
      </c>
    </row>
    <row r="155" customFormat="false" ht="13.8" hidden="false" customHeight="false" outlineLevel="0" collapsed="false">
      <c r="A155" s="0" t="n">
        <v>154</v>
      </c>
      <c r="B155" s="7" t="n">
        <f aca="false">'종목 기본정보'!B$2*'일자별 주가'!B155</f>
        <v>167540000000</v>
      </c>
      <c r="C155" s="7" t="n">
        <f aca="false">'종목 기본정보'!C$2*'일자별 주가'!C155</f>
        <v>127130000000</v>
      </c>
      <c r="D155" s="7" t="n">
        <f aca="false">'종목 기본정보'!D$2*'일자별 주가'!D155</f>
        <v>946080000000</v>
      </c>
      <c r="E155" s="7" t="n">
        <f aca="false">'종목 기본정보'!E$2*'일자별 주가'!E155</f>
        <v>105826000000</v>
      </c>
      <c r="F155" s="7" t="n">
        <f aca="false">'종목 기본정보'!F$2*'일자별 주가'!F155</f>
        <v>2106273000000</v>
      </c>
      <c r="G155" s="7" t="n">
        <f aca="false">SUM(B155:F155)</f>
        <v>3452849000000</v>
      </c>
      <c r="H155" s="9" t="n">
        <f aca="false">G155*100/G$2</f>
        <v>181.728894736842</v>
      </c>
    </row>
    <row r="156" customFormat="false" ht="13.8" hidden="false" customHeight="false" outlineLevel="0" collapsed="false">
      <c r="A156" s="0" t="n">
        <v>155</v>
      </c>
      <c r="B156" s="7" t="n">
        <f aca="false">'종목 기본정보'!B$2*'일자별 주가'!B156</f>
        <v>172660000000</v>
      </c>
      <c r="C156" s="7" t="n">
        <f aca="false">'종목 기본정보'!C$2*'일자별 주가'!C156</f>
        <v>124845000000</v>
      </c>
      <c r="D156" s="7" t="n">
        <f aca="false">'종목 기본정보'!D$2*'일자별 주가'!D156</f>
        <v>951120000000</v>
      </c>
      <c r="E156" s="7" t="n">
        <f aca="false">'종목 기본정보'!E$2*'일자별 주가'!E156</f>
        <v>106649000000</v>
      </c>
      <c r="F156" s="7" t="n">
        <f aca="false">'종목 기본정보'!F$2*'일자별 주가'!F156</f>
        <v>2173518000000</v>
      </c>
      <c r="G156" s="7" t="n">
        <f aca="false">SUM(B156:F156)</f>
        <v>3528792000000</v>
      </c>
      <c r="H156" s="9" t="n">
        <f aca="false">G156*100/G$2</f>
        <v>185.725894736842</v>
      </c>
    </row>
    <row r="157" customFormat="false" ht="13.8" hidden="false" customHeight="false" outlineLevel="0" collapsed="false">
      <c r="A157" s="0" t="n">
        <v>156</v>
      </c>
      <c r="B157" s="7" t="n">
        <f aca="false">'종목 기본정보'!B$2*'일자별 주가'!B157</f>
        <v>175000000000</v>
      </c>
      <c r="C157" s="7" t="n">
        <f aca="false">'종목 기본정보'!C$2*'일자별 주가'!C157</f>
        <v>124330000000</v>
      </c>
      <c r="D157" s="7" t="n">
        <f aca="false">'종목 기본정보'!D$2*'일자별 주가'!D157</f>
        <v>953900000000</v>
      </c>
      <c r="E157" s="7" t="n">
        <f aca="false">'종목 기본정보'!E$2*'일자별 주가'!E157</f>
        <v>107714000000</v>
      </c>
      <c r="F157" s="7" t="n">
        <f aca="false">'종목 기본정보'!F$2*'일자별 주가'!F157</f>
        <v>2229486000000</v>
      </c>
      <c r="G157" s="7" t="n">
        <f aca="false">SUM(B157:F157)</f>
        <v>3590430000000</v>
      </c>
      <c r="H157" s="9" t="n">
        <f aca="false">G157*100/G$2</f>
        <v>188.97</v>
      </c>
    </row>
    <row r="158" customFormat="false" ht="13.8" hidden="false" customHeight="false" outlineLevel="0" collapsed="false">
      <c r="A158" s="0" t="n">
        <v>157</v>
      </c>
      <c r="B158" s="7" t="n">
        <f aca="false">'종목 기본정보'!B$2*'일자별 주가'!B158</f>
        <v>172820000000</v>
      </c>
      <c r="C158" s="7" t="n">
        <f aca="false">'종목 기본정보'!C$2*'일자별 주가'!C158</f>
        <v>126705000000</v>
      </c>
      <c r="D158" s="7" t="n">
        <f aca="false">'종목 기본정보'!D$2*'일자별 주가'!D158</f>
        <v>962460000000</v>
      </c>
      <c r="E158" s="7" t="n">
        <f aca="false">'종목 기본정보'!E$2*'일자별 주가'!E158</f>
        <v>109615000000</v>
      </c>
      <c r="F158" s="7" t="n">
        <f aca="false">'종목 기본정보'!F$2*'일자별 주가'!F158</f>
        <v>2257044000000</v>
      </c>
      <c r="G158" s="7" t="n">
        <f aca="false">SUM(B158:F158)</f>
        <v>3628644000000</v>
      </c>
      <c r="H158" s="9" t="n">
        <f aca="false">G158*100/G$2</f>
        <v>190.981263157895</v>
      </c>
    </row>
    <row r="159" customFormat="false" ht="13.8" hidden="false" customHeight="false" outlineLevel="0" collapsed="false">
      <c r="A159" s="0" t="n">
        <v>158</v>
      </c>
      <c r="B159" s="7" t="n">
        <f aca="false">'종목 기본정보'!B$2*'일자별 주가'!B159</f>
        <v>170310000000</v>
      </c>
      <c r="C159" s="7" t="n">
        <f aca="false">'종목 기본정보'!C$2*'일자별 주가'!C159</f>
        <v>125240000000</v>
      </c>
      <c r="D159" s="7" t="n">
        <f aca="false">'종목 기본정보'!D$2*'일자별 주가'!D159</f>
        <v>973400000000</v>
      </c>
      <c r="E159" s="7" t="n">
        <f aca="false">'종목 기본정보'!E$2*'일자별 주가'!E159</f>
        <v>106485000000</v>
      </c>
      <c r="F159" s="7" t="n">
        <f aca="false">'종목 기본정보'!F$2*'일자별 주가'!F159</f>
        <v>2192533000000</v>
      </c>
      <c r="G159" s="7" t="n">
        <f aca="false">SUM(B159:F159)</f>
        <v>3567968000000</v>
      </c>
      <c r="H159" s="9" t="n">
        <f aca="false">G159*100/G$2</f>
        <v>187.787789473684</v>
      </c>
    </row>
    <row r="160" customFormat="false" ht="13.8" hidden="false" customHeight="false" outlineLevel="0" collapsed="false">
      <c r="A160" s="0" t="n">
        <v>159</v>
      </c>
      <c r="B160" s="7" t="n">
        <f aca="false">'종목 기본정보'!B$2*'일자별 주가'!B160</f>
        <v>169940000000</v>
      </c>
      <c r="C160" s="7" t="n">
        <f aca="false">'종목 기본정보'!C$2*'일자별 주가'!C160</f>
        <v>123110000000</v>
      </c>
      <c r="D160" s="7" t="n">
        <f aca="false">'종목 기본정보'!D$2*'일자별 주가'!D160</f>
        <v>977720000000</v>
      </c>
      <c r="E160" s="7" t="n">
        <f aca="false">'종목 기본정보'!E$2*'일자별 주가'!E160</f>
        <v>107427000000</v>
      </c>
      <c r="F160" s="7" t="n">
        <f aca="false">'종목 기본정보'!F$2*'일자별 주가'!F160</f>
        <v>2151644000000</v>
      </c>
      <c r="G160" s="7" t="n">
        <f aca="false">SUM(B160:F160)</f>
        <v>3529841000000</v>
      </c>
      <c r="H160" s="9" t="n">
        <f aca="false">G160*100/G$2</f>
        <v>185.781105263158</v>
      </c>
    </row>
    <row r="161" customFormat="false" ht="13.8" hidden="false" customHeight="false" outlineLevel="0" collapsed="false">
      <c r="A161" s="0" t="n">
        <v>160</v>
      </c>
      <c r="B161" s="7" t="n">
        <f aca="false">'종목 기본정보'!B$2*'일자별 주가'!B161</f>
        <v>174420000000</v>
      </c>
      <c r="C161" s="7" t="n">
        <f aca="false">'종목 기본정보'!C$2*'일자별 주가'!C161</f>
        <v>127070000000</v>
      </c>
      <c r="D161" s="7" t="n">
        <f aca="false">'종목 기본정보'!D$2*'일자별 주가'!D161</f>
        <v>964940000000</v>
      </c>
      <c r="E161" s="7" t="n">
        <f aca="false">'종목 기본정보'!E$2*'일자별 주가'!E161</f>
        <v>110903000000</v>
      </c>
      <c r="F161" s="7" t="n">
        <f aca="false">'종목 기본정보'!F$2*'일자별 주가'!F161</f>
        <v>2161099000000</v>
      </c>
      <c r="G161" s="7" t="n">
        <f aca="false">SUM(B161:F161)</f>
        <v>3538432000000</v>
      </c>
      <c r="H161" s="9" t="n">
        <f aca="false">G161*100/G$2</f>
        <v>186.233263157895</v>
      </c>
    </row>
    <row r="162" customFormat="false" ht="13.8" hidden="false" customHeight="false" outlineLevel="0" collapsed="false">
      <c r="A162" s="0" t="n">
        <v>161</v>
      </c>
      <c r="B162" s="7" t="n">
        <f aca="false">'종목 기본정보'!B$2*'일자별 주가'!B162</f>
        <v>173320000000</v>
      </c>
      <c r="C162" s="7" t="n">
        <f aca="false">'종목 기본정보'!C$2*'일자별 주가'!C162</f>
        <v>129635000000</v>
      </c>
      <c r="D162" s="7" t="n">
        <f aca="false">'종목 기본정보'!D$2*'일자별 주가'!D162</f>
        <v>976160000000</v>
      </c>
      <c r="E162" s="7" t="n">
        <f aca="false">'종목 기본정보'!E$2*'일자별 주가'!E162</f>
        <v>114008000000</v>
      </c>
      <c r="F162" s="7" t="n">
        <f aca="false">'종목 기본정보'!F$2*'일자별 주가'!F162</f>
        <v>2170777000000</v>
      </c>
      <c r="G162" s="7" t="n">
        <f aca="false">SUM(B162:F162)</f>
        <v>3563900000000</v>
      </c>
      <c r="H162" s="9" t="n">
        <f aca="false">G162*100/G$2</f>
        <v>187.573684210526</v>
      </c>
    </row>
    <row r="163" customFormat="false" ht="13.8" hidden="false" customHeight="false" outlineLevel="0" collapsed="false">
      <c r="A163" s="0" t="n">
        <v>162</v>
      </c>
      <c r="B163" s="7" t="n">
        <f aca="false">'종목 기본정보'!B$2*'일자별 주가'!B163</f>
        <v>175490000000</v>
      </c>
      <c r="C163" s="7" t="n">
        <f aca="false">'종목 기본정보'!C$2*'일자별 주가'!C163</f>
        <v>126495000000</v>
      </c>
      <c r="D163" s="7" t="n">
        <f aca="false">'종목 기본정보'!D$2*'일자별 주가'!D163</f>
        <v>992080000000</v>
      </c>
      <c r="E163" s="7" t="n">
        <f aca="false">'종목 기본정보'!E$2*'일자별 주가'!E163</f>
        <v>117494000000</v>
      </c>
      <c r="F163" s="7" t="n">
        <f aca="false">'종목 기본정보'!F$2*'일자별 주가'!F163</f>
        <v>2233977000000</v>
      </c>
      <c r="G163" s="7" t="n">
        <f aca="false">SUM(B163:F163)</f>
        <v>3645536000000</v>
      </c>
      <c r="H163" s="9" t="n">
        <f aca="false">G163*100/G$2</f>
        <v>191.870315789474</v>
      </c>
    </row>
    <row r="164" customFormat="false" ht="13.8" hidden="false" customHeight="false" outlineLevel="0" collapsed="false">
      <c r="A164" s="0" t="n">
        <v>163</v>
      </c>
      <c r="B164" s="7" t="n">
        <f aca="false">'종목 기본정보'!B$2*'일자별 주가'!B164</f>
        <v>178810000000</v>
      </c>
      <c r="C164" s="7" t="n">
        <f aca="false">'종목 기본정보'!C$2*'일자별 주가'!C164</f>
        <v>123820000000</v>
      </c>
      <c r="D164" s="7" t="n">
        <f aca="false">'종목 기본정보'!D$2*'일자별 주가'!D164</f>
        <v>967960000000</v>
      </c>
      <c r="E164" s="7" t="n">
        <f aca="false">'종목 기본정보'!E$2*'일자별 주가'!E164</f>
        <v>116533000000</v>
      </c>
      <c r="F164" s="7" t="n">
        <f aca="false">'종목 기본정보'!F$2*'일자별 주가'!F164</f>
        <v>2190016000000</v>
      </c>
      <c r="G164" s="7" t="n">
        <f aca="false">SUM(B164:F164)</f>
        <v>3577139000000</v>
      </c>
      <c r="H164" s="9" t="n">
        <f aca="false">G164*100/G$2</f>
        <v>188.270473684211</v>
      </c>
    </row>
    <row r="165" customFormat="false" ht="13.8" hidden="false" customHeight="false" outlineLevel="0" collapsed="false">
      <c r="A165" s="0" t="n">
        <v>164</v>
      </c>
      <c r="B165" s="7" t="n">
        <f aca="false">'종목 기본정보'!B$2*'일자별 주가'!B165</f>
        <v>176460000000</v>
      </c>
      <c r="C165" s="7" t="n">
        <f aca="false">'종목 기본정보'!C$2*'일자별 주가'!C165</f>
        <v>122740000000</v>
      </c>
      <c r="D165" s="7" t="n">
        <f aca="false">'종목 기본정보'!D$2*'일자별 주가'!D165</f>
        <v>966640000000</v>
      </c>
      <c r="E165" s="7" t="n">
        <f aca="false">'종목 기본정보'!E$2*'일자별 주가'!E165</f>
        <v>119265000000</v>
      </c>
      <c r="F165" s="7" t="n">
        <f aca="false">'종목 기본정보'!F$2*'일자별 주가'!F165</f>
        <v>2132108000000</v>
      </c>
      <c r="G165" s="7" t="n">
        <f aca="false">SUM(B165:F165)</f>
        <v>3517213000000</v>
      </c>
      <c r="H165" s="9" t="n">
        <f aca="false">G165*100/G$2</f>
        <v>185.116473684211</v>
      </c>
    </row>
    <row r="166" customFormat="false" ht="13.8" hidden="false" customHeight="false" outlineLevel="0" collapsed="false">
      <c r="A166" s="0" t="n">
        <v>165</v>
      </c>
      <c r="B166" s="7" t="n">
        <f aca="false">'종목 기본정보'!B$2*'일자별 주가'!B166</f>
        <v>179670000000</v>
      </c>
      <c r="C166" s="7" t="n">
        <f aca="false">'종목 기본정보'!C$2*'일자별 주가'!C166</f>
        <v>120825000000</v>
      </c>
      <c r="D166" s="7" t="n">
        <f aca="false">'종목 기본정보'!D$2*'일자별 주가'!D166</f>
        <v>946640000000</v>
      </c>
      <c r="E166" s="7" t="n">
        <f aca="false">'종목 기본정보'!E$2*'일자별 주가'!E166</f>
        <v>117983000000</v>
      </c>
      <c r="F166" s="7" t="n">
        <f aca="false">'종목 기본정보'!F$2*'일자별 주가'!F166</f>
        <v>2166321000000</v>
      </c>
      <c r="G166" s="7" t="n">
        <f aca="false">SUM(B166:F166)</f>
        <v>3531439000000</v>
      </c>
      <c r="H166" s="9" t="n">
        <f aca="false">G166*100/G$2</f>
        <v>185.865210526316</v>
      </c>
    </row>
    <row r="167" customFormat="false" ht="13.8" hidden="false" customHeight="false" outlineLevel="0" collapsed="false">
      <c r="A167" s="0" t="n">
        <v>166</v>
      </c>
      <c r="B167" s="7" t="n">
        <f aca="false">'종목 기본정보'!B$2*'일자별 주가'!B167</f>
        <v>180150000000</v>
      </c>
      <c r="C167" s="7" t="n">
        <f aca="false">'종목 기본정보'!C$2*'일자별 주가'!C167</f>
        <v>123995000000</v>
      </c>
      <c r="D167" s="7" t="n">
        <f aca="false">'종목 기본정보'!D$2*'일자별 주가'!D167</f>
        <v>968840000000</v>
      </c>
      <c r="E167" s="7" t="n">
        <f aca="false">'종목 기본정보'!E$2*'일자별 주가'!E167</f>
        <v>116531000000</v>
      </c>
      <c r="F167" s="7" t="n">
        <f aca="false">'종목 기본정보'!F$2*'일자별 주가'!F167</f>
        <v>2215485000000</v>
      </c>
      <c r="G167" s="7" t="n">
        <f aca="false">SUM(B167:F167)</f>
        <v>3605001000000</v>
      </c>
      <c r="H167" s="9" t="n">
        <f aca="false">G167*100/G$2</f>
        <v>189.736894736842</v>
      </c>
    </row>
    <row r="168" customFormat="false" ht="13.8" hidden="false" customHeight="false" outlineLevel="0" collapsed="false">
      <c r="A168" s="0" t="n">
        <v>167</v>
      </c>
      <c r="B168" s="7" t="n">
        <f aca="false">'종목 기본정보'!B$2*'일자별 주가'!B168</f>
        <v>176530000000</v>
      </c>
      <c r="C168" s="7" t="n">
        <f aca="false">'종목 기본정보'!C$2*'일자별 주가'!C168</f>
        <v>126370000000</v>
      </c>
      <c r="D168" s="7" t="n">
        <f aca="false">'종목 기본정보'!D$2*'일자별 주가'!D168</f>
        <v>973440000000</v>
      </c>
      <c r="E168" s="7" t="n">
        <f aca="false">'종목 기본정보'!E$2*'일자별 주가'!E168</f>
        <v>117355000000</v>
      </c>
      <c r="F168" s="7" t="n">
        <f aca="false">'종목 기본정보'!F$2*'일자별 주가'!F168</f>
        <v>2269352000000</v>
      </c>
      <c r="G168" s="7" t="n">
        <f aca="false">SUM(B168:F168)</f>
        <v>3663047000000</v>
      </c>
      <c r="H168" s="9" t="n">
        <f aca="false">G168*100/G$2</f>
        <v>192.791947368421</v>
      </c>
    </row>
    <row r="169" customFormat="false" ht="13.8" hidden="false" customHeight="false" outlineLevel="0" collapsed="false">
      <c r="A169" s="0" t="n">
        <v>168</v>
      </c>
      <c r="B169" s="7" t="n">
        <f aca="false">'종목 기본정보'!B$2*'일자별 주가'!B169</f>
        <v>179050000000</v>
      </c>
      <c r="C169" s="7" t="n">
        <f aca="false">'종목 기본정보'!C$2*'일자별 주가'!C169</f>
        <v>129055000000</v>
      </c>
      <c r="D169" s="7" t="n">
        <f aca="false">'종목 기본정보'!D$2*'일자별 주가'!D169</f>
        <v>1005400000000</v>
      </c>
      <c r="E169" s="7" t="n">
        <f aca="false">'종목 기본정보'!E$2*'일자별 주가'!E169</f>
        <v>120861000000</v>
      </c>
      <c r="F169" s="7" t="n">
        <f aca="false">'종목 기본정보'!F$2*'일자별 주가'!F169</f>
        <v>2260157000000</v>
      </c>
      <c r="G169" s="7" t="n">
        <f aca="false">SUM(B169:F169)</f>
        <v>3694523000000</v>
      </c>
      <c r="H169" s="9" t="n">
        <f aca="false">G169*100/G$2</f>
        <v>194.448578947368</v>
      </c>
    </row>
    <row r="170" customFormat="false" ht="13.8" hidden="false" customHeight="false" outlineLevel="0" collapsed="false">
      <c r="A170" s="0" t="n">
        <v>169</v>
      </c>
      <c r="B170" s="7" t="n">
        <f aca="false">'종목 기본정보'!B$2*'일자별 주가'!B170</f>
        <v>184570000000</v>
      </c>
      <c r="C170" s="7" t="n">
        <f aca="false">'종목 기본정보'!C$2*'일자별 주가'!C170</f>
        <v>131960000000</v>
      </c>
      <c r="D170" s="7" t="n">
        <f aca="false">'종목 기본정보'!D$2*'일자별 주가'!D170</f>
        <v>977760000000</v>
      </c>
      <c r="E170" s="7" t="n">
        <f aca="false">'종목 기본정보'!E$2*'일자별 주가'!E170</f>
        <v>120947000000</v>
      </c>
      <c r="F170" s="7" t="n">
        <f aca="false">'종목 기본정보'!F$2*'일자별 주가'!F170</f>
        <v>2316885000000</v>
      </c>
      <c r="G170" s="7" t="n">
        <f aca="false">SUM(B170:F170)</f>
        <v>3732122000000</v>
      </c>
      <c r="H170" s="9" t="n">
        <f aca="false">G170*100/G$2</f>
        <v>196.427473684211</v>
      </c>
    </row>
    <row r="171" customFormat="false" ht="13.8" hidden="false" customHeight="false" outlineLevel="0" collapsed="false">
      <c r="A171" s="0" t="n">
        <v>170</v>
      </c>
      <c r="B171" s="7" t="n">
        <f aca="false">'종목 기본정보'!B$2*'일자별 주가'!B171</f>
        <v>181770000000</v>
      </c>
      <c r="C171" s="7" t="n">
        <f aca="false">'종목 기본정보'!C$2*'일자별 주가'!C171</f>
        <v>128690000000</v>
      </c>
      <c r="D171" s="7" t="n">
        <f aca="false">'종목 기본정보'!D$2*'일자별 주가'!D171</f>
        <v>1005040000000</v>
      </c>
      <c r="E171" s="7" t="n">
        <f aca="false">'종목 기본정보'!E$2*'일자별 주가'!E171</f>
        <v>122260000000</v>
      </c>
      <c r="F171" s="7" t="n">
        <f aca="false">'종목 기본정보'!F$2*'일자별 주가'!F171</f>
        <v>2315633000000</v>
      </c>
      <c r="G171" s="7" t="n">
        <f aca="false">SUM(B171:F171)</f>
        <v>3753393000000</v>
      </c>
      <c r="H171" s="9" t="n">
        <f aca="false">G171*100/G$2</f>
        <v>197.547</v>
      </c>
    </row>
    <row r="172" customFormat="false" ht="13.8" hidden="false" customHeight="false" outlineLevel="0" collapsed="false">
      <c r="A172" s="0" t="n">
        <v>171</v>
      </c>
      <c r="B172" s="7" t="n">
        <f aca="false">'종목 기본정보'!B$2*'일자별 주가'!B172</f>
        <v>183070000000</v>
      </c>
      <c r="C172" s="7" t="n">
        <f aca="false">'종목 기본정보'!C$2*'일자별 주가'!C172</f>
        <v>125170000000</v>
      </c>
      <c r="D172" s="7" t="n">
        <f aca="false">'종목 기본정보'!D$2*'일자별 주가'!D172</f>
        <v>992100000000</v>
      </c>
      <c r="E172" s="7" t="n">
        <f aca="false">'종목 기본정보'!E$2*'일자별 주가'!E172</f>
        <v>122147000000</v>
      </c>
      <c r="F172" s="7" t="n">
        <f aca="false">'종목 기본정보'!F$2*'일자별 주가'!F172</f>
        <v>2261764000000</v>
      </c>
      <c r="G172" s="7" t="n">
        <f aca="false">SUM(B172:F172)</f>
        <v>3684251000000</v>
      </c>
      <c r="H172" s="9" t="n">
        <f aca="false">G172*100/G$2</f>
        <v>193.907947368421</v>
      </c>
    </row>
    <row r="173" customFormat="false" ht="13.8" hidden="false" customHeight="false" outlineLevel="0" collapsed="false">
      <c r="A173" s="0" t="n">
        <v>172</v>
      </c>
      <c r="B173" s="7" t="n">
        <f aca="false">'종목 기본정보'!B$2*'일자별 주가'!B173</f>
        <v>187090000000</v>
      </c>
      <c r="C173" s="7" t="n">
        <f aca="false">'종목 기본정보'!C$2*'일자별 주가'!C173</f>
        <v>125785000000</v>
      </c>
      <c r="D173" s="7" t="n">
        <f aca="false">'종목 기본정보'!D$2*'일자별 주가'!D173</f>
        <v>968180000000</v>
      </c>
      <c r="E173" s="7" t="n">
        <f aca="false">'종목 기본정보'!E$2*'일자별 주가'!E173</f>
        <v>123085000000</v>
      </c>
      <c r="F173" s="7" t="n">
        <f aca="false">'종목 기본정보'!F$2*'일자별 주가'!F173</f>
        <v>2263170000000</v>
      </c>
      <c r="G173" s="7" t="n">
        <f aca="false">SUM(B173:F173)</f>
        <v>3667310000000</v>
      </c>
      <c r="H173" s="9" t="n">
        <f aca="false">G173*100/G$2</f>
        <v>193.016315789474</v>
      </c>
    </row>
    <row r="174" customFormat="false" ht="13.8" hidden="false" customHeight="false" outlineLevel="0" collapsed="false">
      <c r="A174" s="0" t="n">
        <v>173</v>
      </c>
      <c r="B174" s="7" t="n">
        <f aca="false">'종목 기본정보'!B$2*'일자별 주가'!B174</f>
        <v>187720000000</v>
      </c>
      <c r="C174" s="7" t="n">
        <f aca="false">'종목 기본정보'!C$2*'일자별 주가'!C174</f>
        <v>124840000000</v>
      </c>
      <c r="D174" s="7" t="n">
        <f aca="false">'종목 기본정보'!D$2*'일자별 주가'!D174</f>
        <v>984440000000</v>
      </c>
      <c r="E174" s="7" t="n">
        <f aca="false">'종목 기본정보'!E$2*'일자별 주가'!E174</f>
        <v>122457000000</v>
      </c>
      <c r="F174" s="7" t="n">
        <f aca="false">'종목 기본정보'!F$2*'일자별 주가'!F174</f>
        <v>2333642000000</v>
      </c>
      <c r="G174" s="7" t="n">
        <f aca="false">SUM(B174:F174)</f>
        <v>3753099000000</v>
      </c>
      <c r="H174" s="9" t="n">
        <f aca="false">G174*100/G$2</f>
        <v>197.531526315789</v>
      </c>
    </row>
    <row r="175" customFormat="false" ht="13.8" hidden="false" customHeight="false" outlineLevel="0" collapsed="false">
      <c r="A175" s="0" t="n">
        <v>174</v>
      </c>
      <c r="B175" s="7" t="n">
        <f aca="false">'종목 기본정보'!B$2*'일자별 주가'!B175</f>
        <v>182960000000</v>
      </c>
      <c r="C175" s="7" t="n">
        <f aca="false">'종목 기본정보'!C$2*'일자별 주가'!C175</f>
        <v>125110000000</v>
      </c>
      <c r="D175" s="7" t="n">
        <f aca="false">'종목 기본정보'!D$2*'일자별 주가'!D175</f>
        <v>970180000000</v>
      </c>
      <c r="E175" s="7" t="n">
        <f aca="false">'종목 기본정보'!E$2*'일자별 주가'!E175</f>
        <v>123986000000</v>
      </c>
      <c r="F175" s="7" t="n">
        <f aca="false">'종목 기본정보'!F$2*'일자별 주가'!F175</f>
        <v>2398422000000</v>
      </c>
      <c r="G175" s="7" t="n">
        <f aca="false">SUM(B175:F175)</f>
        <v>3800658000000</v>
      </c>
      <c r="H175" s="9" t="n">
        <f aca="false">G175*100/G$2</f>
        <v>200.034631578947</v>
      </c>
    </row>
    <row r="176" customFormat="false" ht="13.8" hidden="false" customHeight="false" outlineLevel="0" collapsed="false">
      <c r="A176" s="0" t="n">
        <v>175</v>
      </c>
      <c r="B176" s="7" t="n">
        <f aca="false">'종목 기본정보'!B$2*'일자별 주가'!B176</f>
        <v>188760000000</v>
      </c>
      <c r="C176" s="7" t="n">
        <f aca="false">'종목 기본정보'!C$2*'일자별 주가'!C176</f>
        <v>123645000000</v>
      </c>
      <c r="D176" s="7" t="n">
        <f aca="false">'종목 기본정보'!D$2*'일자별 주가'!D176</f>
        <v>969540000000</v>
      </c>
      <c r="E176" s="7" t="n">
        <f aca="false">'종목 기본정보'!E$2*'일자별 주가'!E176</f>
        <v>122285000000</v>
      </c>
      <c r="F176" s="7" t="n">
        <f aca="false">'종목 기본정보'!F$2*'일자별 주가'!F176</f>
        <v>2396378000000</v>
      </c>
      <c r="G176" s="7" t="n">
        <f aca="false">SUM(B176:F176)</f>
        <v>3800608000000</v>
      </c>
      <c r="H176" s="9" t="n">
        <f aca="false">G176*100/G$2</f>
        <v>200.032</v>
      </c>
    </row>
    <row r="177" customFormat="false" ht="13.8" hidden="false" customHeight="false" outlineLevel="0" collapsed="false">
      <c r="A177" s="0" t="n">
        <v>176</v>
      </c>
      <c r="B177" s="7" t="n">
        <f aca="false">'종목 기본정보'!B$2*'일자별 주가'!B177</f>
        <v>185420000000</v>
      </c>
      <c r="C177" s="7" t="n">
        <f aca="false">'종목 기본정보'!C$2*'일자별 주가'!C177</f>
        <v>123945000000</v>
      </c>
      <c r="D177" s="7" t="n">
        <f aca="false">'종목 기본정보'!D$2*'일자별 주가'!D177</f>
        <v>945820000000</v>
      </c>
      <c r="E177" s="7" t="n">
        <f aca="false">'종목 기본정보'!E$2*'일자별 주가'!E177</f>
        <v>118892000000</v>
      </c>
      <c r="F177" s="7" t="n">
        <f aca="false">'종목 기본정보'!F$2*'일자별 주가'!F177</f>
        <v>2379533000000</v>
      </c>
      <c r="G177" s="7" t="n">
        <f aca="false">SUM(B177:F177)</f>
        <v>3753610000000</v>
      </c>
      <c r="H177" s="9" t="n">
        <f aca="false">G177*100/G$2</f>
        <v>197.558421052632</v>
      </c>
    </row>
    <row r="178" customFormat="false" ht="13.8" hidden="false" customHeight="false" outlineLevel="0" collapsed="false">
      <c r="A178" s="0" t="n">
        <v>177</v>
      </c>
      <c r="B178" s="7" t="n">
        <f aca="false">'종목 기본정보'!B$2*'일자별 주가'!B178</f>
        <v>186450000000</v>
      </c>
      <c r="C178" s="7" t="n">
        <f aca="false">'종목 기본정보'!C$2*'일자별 주가'!C178</f>
        <v>125460000000</v>
      </c>
      <c r="D178" s="7" t="n">
        <f aca="false">'종목 기본정보'!D$2*'일자별 주가'!D178</f>
        <v>926400000000</v>
      </c>
      <c r="E178" s="7" t="n">
        <f aca="false">'종목 기본정보'!E$2*'일자별 주가'!E178</f>
        <v>115838000000</v>
      </c>
      <c r="F178" s="7" t="n">
        <f aca="false">'종목 기본정보'!F$2*'일자별 주가'!F178</f>
        <v>2424899000000</v>
      </c>
      <c r="G178" s="7" t="n">
        <f aca="false">SUM(B178:F178)</f>
        <v>3779047000000</v>
      </c>
      <c r="H178" s="9" t="n">
        <f aca="false">G178*100/G$2</f>
        <v>198.897210526316</v>
      </c>
    </row>
    <row r="179" customFormat="false" ht="13.8" hidden="false" customHeight="false" outlineLevel="0" collapsed="false">
      <c r="A179" s="0" t="n">
        <v>178</v>
      </c>
      <c r="B179" s="7" t="n">
        <f aca="false">'종목 기본정보'!B$2*'일자별 주가'!B179</f>
        <v>192100000000</v>
      </c>
      <c r="C179" s="7" t="n">
        <f aca="false">'종목 기본정보'!C$2*'일자별 주가'!C179</f>
        <v>127940000000</v>
      </c>
      <c r="D179" s="7" t="n">
        <f aca="false">'종목 기본정보'!D$2*'일자별 주가'!D179</f>
        <v>920280000000</v>
      </c>
      <c r="E179" s="7" t="n">
        <f aca="false">'종목 기본정보'!E$2*'일자별 주가'!E179</f>
        <v>118001000000</v>
      </c>
      <c r="F179" s="7" t="n">
        <f aca="false">'종목 기본정보'!F$2*'일자별 주가'!F179</f>
        <v>2418528000000</v>
      </c>
      <c r="G179" s="7" t="n">
        <f aca="false">SUM(B179:F179)</f>
        <v>3776849000000</v>
      </c>
      <c r="H179" s="9" t="n">
        <f aca="false">G179*100/G$2</f>
        <v>198.781526315789</v>
      </c>
    </row>
    <row r="180" customFormat="false" ht="13.8" hidden="false" customHeight="false" outlineLevel="0" collapsed="false">
      <c r="A180" s="0" t="n">
        <v>179</v>
      </c>
      <c r="B180" s="7" t="n">
        <f aca="false">'종목 기본정보'!B$2*'일자별 주가'!B180</f>
        <v>197150000000</v>
      </c>
      <c r="C180" s="7" t="n">
        <f aca="false">'종목 기본정보'!C$2*'일자별 주가'!C180</f>
        <v>125165000000</v>
      </c>
      <c r="D180" s="7" t="n">
        <f aca="false">'종목 기본정보'!D$2*'일자별 주가'!D180</f>
        <v>943300000000</v>
      </c>
      <c r="E180" s="7" t="n">
        <f aca="false">'종목 기본정보'!E$2*'일자별 주가'!E180</f>
        <v>114951000000</v>
      </c>
      <c r="F180" s="7" t="n">
        <f aca="false">'종목 기본정보'!F$2*'일자별 주가'!F180</f>
        <v>2442729000000</v>
      </c>
      <c r="G180" s="7" t="n">
        <f aca="false">SUM(B180:F180)</f>
        <v>3823295000000</v>
      </c>
      <c r="H180" s="9" t="n">
        <f aca="false">G180*100/G$2</f>
        <v>201.226052631579</v>
      </c>
    </row>
    <row r="181" customFormat="false" ht="13.8" hidden="false" customHeight="false" outlineLevel="0" collapsed="false">
      <c r="A181" s="0" t="n">
        <v>180</v>
      </c>
      <c r="B181" s="7" t="n">
        <f aca="false">'종목 기본정보'!B$2*'일자별 주가'!B181</f>
        <v>197950000000</v>
      </c>
      <c r="C181" s="7" t="n">
        <f aca="false">'종목 기본정보'!C$2*'일자별 주가'!C181</f>
        <v>122345000000</v>
      </c>
      <c r="D181" s="7" t="n">
        <f aca="false">'종목 기본정보'!D$2*'일자별 주가'!D181</f>
        <v>933200000000</v>
      </c>
      <c r="E181" s="7" t="n">
        <f aca="false">'종목 기본정보'!E$2*'일자별 주가'!E181</f>
        <v>113447000000</v>
      </c>
      <c r="F181" s="7" t="n">
        <f aca="false">'종목 기본정보'!F$2*'일자별 주가'!F181</f>
        <v>2370300000000</v>
      </c>
      <c r="G181" s="7" t="n">
        <f aca="false">SUM(B181:F181)</f>
        <v>3737242000000</v>
      </c>
      <c r="H181" s="9" t="n">
        <f aca="false">G181*100/G$2</f>
        <v>196.696947368421</v>
      </c>
    </row>
    <row r="182" customFormat="false" ht="13.8" hidden="false" customHeight="false" outlineLevel="0" collapsed="false">
      <c r="A182" s="0" t="n">
        <v>181</v>
      </c>
      <c r="B182" s="7" t="n">
        <f aca="false">'종목 기본정보'!B$2*'일자별 주가'!B182</f>
        <v>199630000000</v>
      </c>
      <c r="C182" s="7" t="n">
        <f aca="false">'종목 기본정보'!C$2*'일자별 주가'!C182</f>
        <v>122790000000</v>
      </c>
      <c r="D182" s="7" t="n">
        <f aca="false">'종목 기본정보'!D$2*'일자별 주가'!D182</f>
        <v>907840000000</v>
      </c>
      <c r="E182" s="7" t="n">
        <f aca="false">'종목 기본정보'!E$2*'일자별 주가'!E182</f>
        <v>112709000000</v>
      </c>
      <c r="F182" s="7" t="n">
        <f aca="false">'종목 기본정보'!F$2*'일자별 주가'!F182</f>
        <v>2414373000000</v>
      </c>
      <c r="G182" s="7" t="n">
        <f aca="false">SUM(B182:F182)</f>
        <v>3757342000000</v>
      </c>
      <c r="H182" s="9" t="n">
        <f aca="false">G182*100/G$2</f>
        <v>197.754842105263</v>
      </c>
    </row>
    <row r="183" customFormat="false" ht="13.8" hidden="false" customHeight="false" outlineLevel="0" collapsed="false">
      <c r="A183" s="0" t="n">
        <v>182</v>
      </c>
      <c r="B183" s="7" t="n">
        <f aca="false">'종목 기본정보'!B$2*'일자별 주가'!B183</f>
        <v>202830000000</v>
      </c>
      <c r="C183" s="7" t="n">
        <f aca="false">'종목 기본정보'!C$2*'일자별 주가'!C183</f>
        <v>126605000000</v>
      </c>
      <c r="D183" s="7" t="n">
        <f aca="false">'종목 기본정보'!D$2*'일자별 주가'!D183</f>
        <v>929400000000</v>
      </c>
      <c r="E183" s="7" t="n">
        <f aca="false">'종목 기본정보'!E$2*'일자별 주가'!E183</f>
        <v>110920000000</v>
      </c>
      <c r="F183" s="7" t="n">
        <f aca="false">'종목 기본정보'!F$2*'일자별 주가'!F183</f>
        <v>2402296000000</v>
      </c>
      <c r="G183" s="7" t="n">
        <f aca="false">SUM(B183:F183)</f>
        <v>3772051000000</v>
      </c>
      <c r="H183" s="9" t="n">
        <f aca="false">G183*100/G$2</f>
        <v>198.529</v>
      </c>
    </row>
    <row r="184" customFormat="false" ht="13.8" hidden="false" customHeight="false" outlineLevel="0" collapsed="false">
      <c r="A184" s="0" t="n">
        <v>183</v>
      </c>
      <c r="B184" s="7" t="n">
        <f aca="false">'종목 기본정보'!B$2*'일자별 주가'!B184</f>
        <v>197140000000</v>
      </c>
      <c r="C184" s="7" t="n">
        <f aca="false">'종목 기본정보'!C$2*'일자별 주가'!C184</f>
        <v>127580000000</v>
      </c>
      <c r="D184" s="7" t="n">
        <f aca="false">'종목 기본정보'!D$2*'일자별 주가'!D184</f>
        <v>906540000000</v>
      </c>
      <c r="E184" s="7" t="n">
        <f aca="false">'종목 기본정보'!E$2*'일자별 주가'!E184</f>
        <v>114357000000</v>
      </c>
      <c r="F184" s="7" t="n">
        <f aca="false">'종목 기본정보'!F$2*'일자별 주가'!F184</f>
        <v>2338341000000</v>
      </c>
      <c r="G184" s="7" t="n">
        <f aca="false">SUM(B184:F184)</f>
        <v>3683958000000</v>
      </c>
      <c r="H184" s="9" t="n">
        <f aca="false">G184*100/G$2</f>
        <v>193.892526315789</v>
      </c>
    </row>
    <row r="185" customFormat="false" ht="13.8" hidden="false" customHeight="false" outlineLevel="0" collapsed="false">
      <c r="A185" s="0" t="n">
        <v>184</v>
      </c>
      <c r="B185" s="7" t="n">
        <f aca="false">'종목 기본정보'!B$2*'일자별 주가'!B185</f>
        <v>193050000000</v>
      </c>
      <c r="C185" s="7" t="n">
        <f aca="false">'종목 기본정보'!C$2*'일자별 주가'!C185</f>
        <v>125160000000</v>
      </c>
      <c r="D185" s="7" t="n">
        <f aca="false">'종목 기본정보'!D$2*'일자별 주가'!D185</f>
        <v>913280000000</v>
      </c>
      <c r="E185" s="7" t="n">
        <f aca="false">'종목 기본정보'!E$2*'일자별 주가'!E185</f>
        <v>113032000000</v>
      </c>
      <c r="F185" s="7" t="n">
        <f aca="false">'종목 기본정보'!F$2*'일자별 주가'!F185</f>
        <v>2398617000000</v>
      </c>
      <c r="G185" s="7" t="n">
        <f aca="false">SUM(B185:F185)</f>
        <v>3743139000000</v>
      </c>
      <c r="H185" s="9" t="n">
        <f aca="false">G185*100/G$2</f>
        <v>197.007315789474</v>
      </c>
    </row>
    <row r="186" customFormat="false" ht="13.8" hidden="false" customHeight="false" outlineLevel="0" collapsed="false">
      <c r="A186" s="0" t="n">
        <v>185</v>
      </c>
      <c r="B186" s="7" t="n">
        <f aca="false">'종목 기본정보'!B$2*'일자별 주가'!B186</f>
        <v>194300000000</v>
      </c>
      <c r="C186" s="7" t="n">
        <f aca="false">'종목 기본정보'!C$2*'일자별 주가'!C186</f>
        <v>124265000000</v>
      </c>
      <c r="D186" s="7" t="n">
        <f aca="false">'종목 기본정보'!D$2*'일자별 주가'!D186</f>
        <v>904620000000</v>
      </c>
      <c r="E186" s="7" t="n">
        <f aca="false">'종목 기본정보'!E$2*'일자별 주가'!E186</f>
        <v>115777000000</v>
      </c>
      <c r="F186" s="7" t="n">
        <f aca="false">'종목 기본정보'!F$2*'일자별 주가'!F186</f>
        <v>2413838000000</v>
      </c>
      <c r="G186" s="7" t="n">
        <f aca="false">SUM(B186:F186)</f>
        <v>3752800000000</v>
      </c>
      <c r="H186" s="9" t="n">
        <f aca="false">G186*100/G$2</f>
        <v>197.515789473684</v>
      </c>
    </row>
    <row r="187" customFormat="false" ht="13.8" hidden="false" customHeight="false" outlineLevel="0" collapsed="false">
      <c r="A187" s="0" t="n">
        <v>186</v>
      </c>
      <c r="B187" s="7" t="n">
        <f aca="false">'종목 기본정보'!B$2*'일자별 주가'!B187</f>
        <v>200640000000</v>
      </c>
      <c r="C187" s="7" t="n">
        <f aca="false">'종목 기본정보'!C$2*'일자별 주가'!C187</f>
        <v>124090000000</v>
      </c>
      <c r="D187" s="7" t="n">
        <f aca="false">'종목 기본정보'!D$2*'일자별 주가'!D187</f>
        <v>899780000000</v>
      </c>
      <c r="E187" s="7" t="n">
        <f aca="false">'종목 기본정보'!E$2*'일자별 주가'!E187</f>
        <v>113751000000</v>
      </c>
      <c r="F187" s="7" t="n">
        <f aca="false">'종목 기본정보'!F$2*'일자별 주가'!F187</f>
        <v>2416017000000</v>
      </c>
      <c r="G187" s="7" t="n">
        <f aca="false">SUM(B187:F187)</f>
        <v>3754278000000</v>
      </c>
      <c r="H187" s="9" t="n">
        <f aca="false">G187*100/G$2</f>
        <v>197.593578947368</v>
      </c>
    </row>
    <row r="188" customFormat="false" ht="13.8" hidden="false" customHeight="false" outlineLevel="0" collapsed="false">
      <c r="A188" s="0" t="n">
        <v>187</v>
      </c>
      <c r="B188" s="7" t="n">
        <f aca="false">'종목 기본정보'!B$2*'일자별 주가'!B188</f>
        <v>200960000000</v>
      </c>
      <c r="C188" s="7" t="n">
        <f aca="false">'종목 기본정보'!C$2*'일자별 주가'!C188</f>
        <v>120635000000</v>
      </c>
      <c r="D188" s="7" t="n">
        <f aca="false">'종목 기본정보'!D$2*'일자별 주가'!D188</f>
        <v>927800000000</v>
      </c>
      <c r="E188" s="7" t="n">
        <f aca="false">'종목 기본정보'!E$2*'일자별 주가'!E188</f>
        <v>113616000000</v>
      </c>
      <c r="F188" s="7" t="n">
        <f aca="false">'종목 기본정보'!F$2*'일자별 주가'!F188</f>
        <v>2440463000000</v>
      </c>
      <c r="G188" s="7" t="n">
        <f aca="false">SUM(B188:F188)</f>
        <v>3803474000000</v>
      </c>
      <c r="H188" s="9" t="n">
        <f aca="false">G188*100/G$2</f>
        <v>200.182842105263</v>
      </c>
    </row>
    <row r="189" customFormat="false" ht="13.8" hidden="false" customHeight="false" outlineLevel="0" collapsed="false">
      <c r="A189" s="0" t="n">
        <v>188</v>
      </c>
      <c r="B189" s="7" t="n">
        <f aca="false">'종목 기본정보'!B$2*'일자별 주가'!B189</f>
        <v>205490000000</v>
      </c>
      <c r="C189" s="7" t="n">
        <f aca="false">'종목 기본정보'!C$2*'일자별 주가'!C189</f>
        <v>124450000000</v>
      </c>
      <c r="D189" s="7" t="n">
        <f aca="false">'종목 기본정보'!D$2*'일자별 주가'!D189</f>
        <v>910520000000</v>
      </c>
      <c r="E189" s="7" t="n">
        <f aca="false">'종목 기본정보'!E$2*'일자별 주가'!E189</f>
        <v>113910000000</v>
      </c>
      <c r="F189" s="7" t="n">
        <f aca="false">'종목 기본정보'!F$2*'일자별 주가'!F189</f>
        <v>2500184000000</v>
      </c>
      <c r="G189" s="7" t="n">
        <f aca="false">SUM(B189:F189)</f>
        <v>3854554000000</v>
      </c>
      <c r="H189" s="9" t="n">
        <f aca="false">G189*100/G$2</f>
        <v>202.871263157895</v>
      </c>
    </row>
    <row r="190" customFormat="false" ht="13.8" hidden="false" customHeight="false" outlineLevel="0" collapsed="false">
      <c r="A190" s="0" t="n">
        <v>189</v>
      </c>
      <c r="B190" s="7" t="n">
        <f aca="false">'종목 기본정보'!B$2*'일자별 주가'!B190</f>
        <v>211390000000</v>
      </c>
      <c r="C190" s="7" t="n">
        <f aca="false">'종목 기본정보'!C$2*'일자별 주가'!C190</f>
        <v>122930000000</v>
      </c>
      <c r="D190" s="7" t="n">
        <f aca="false">'종목 기본정보'!D$2*'일자별 주가'!D190</f>
        <v>934720000000</v>
      </c>
      <c r="E190" s="7" t="n">
        <f aca="false">'종목 기본정보'!E$2*'일자별 주가'!E190</f>
        <v>115647000000</v>
      </c>
      <c r="F190" s="7" t="n">
        <f aca="false">'종목 기본정보'!F$2*'일자별 주가'!F190</f>
        <v>2557697000000</v>
      </c>
      <c r="G190" s="7" t="n">
        <f aca="false">SUM(B190:F190)</f>
        <v>3942384000000</v>
      </c>
      <c r="H190" s="9" t="n">
        <f aca="false">G190*100/G$2</f>
        <v>207.493894736842</v>
      </c>
    </row>
    <row r="191" customFormat="false" ht="13.8" hidden="false" customHeight="false" outlineLevel="0" collapsed="false">
      <c r="A191" s="0" t="n">
        <v>190</v>
      </c>
      <c r="B191" s="7" t="n">
        <f aca="false">'종목 기본정보'!B$2*'일자별 주가'!B191</f>
        <v>205320000000</v>
      </c>
      <c r="C191" s="7" t="n">
        <f aca="false">'종목 기본정보'!C$2*'일자별 주가'!C191</f>
        <v>122785000000</v>
      </c>
      <c r="D191" s="7" t="n">
        <f aca="false">'종목 기본정보'!D$2*'일자별 주가'!D191</f>
        <v>931900000000</v>
      </c>
      <c r="E191" s="7" t="n">
        <f aca="false">'종목 기본정보'!E$2*'일자별 주가'!E191</f>
        <v>116595000000</v>
      </c>
      <c r="F191" s="7" t="n">
        <f aca="false">'종목 기본정보'!F$2*'일자별 주가'!F191</f>
        <v>2485581000000</v>
      </c>
      <c r="G191" s="7" t="n">
        <f aca="false">SUM(B191:F191)</f>
        <v>3862181000000</v>
      </c>
      <c r="H191" s="9" t="n">
        <f aca="false">G191*100/G$2</f>
        <v>203.272684210526</v>
      </c>
    </row>
    <row r="192" customFormat="false" ht="13.8" hidden="false" customHeight="false" outlineLevel="0" collapsed="false">
      <c r="A192" s="0" t="n">
        <v>191</v>
      </c>
      <c r="B192" s="7" t="n">
        <f aca="false">'종목 기본정보'!B$2*'일자별 주가'!B192</f>
        <v>201360000000</v>
      </c>
      <c r="C192" s="7" t="n">
        <f aca="false">'종목 기본정보'!C$2*'일자별 주가'!C192</f>
        <v>120195000000</v>
      </c>
      <c r="D192" s="7" t="n">
        <f aca="false">'종목 기본정보'!D$2*'일자별 주가'!D192</f>
        <v>944760000000</v>
      </c>
      <c r="E192" s="7" t="n">
        <f aca="false">'종목 기본정보'!E$2*'일자별 주가'!E192</f>
        <v>119936000000</v>
      </c>
      <c r="F192" s="7" t="n">
        <f aca="false">'종목 기본정보'!F$2*'일자별 주가'!F192</f>
        <v>2462992000000</v>
      </c>
      <c r="G192" s="7" t="n">
        <f aca="false">SUM(B192:F192)</f>
        <v>3849243000000</v>
      </c>
      <c r="H192" s="9" t="n">
        <f aca="false">G192*100/G$2</f>
        <v>202.591736842105</v>
      </c>
    </row>
    <row r="193" customFormat="false" ht="13.8" hidden="false" customHeight="false" outlineLevel="0" collapsed="false">
      <c r="A193" s="0" t="n">
        <v>192</v>
      </c>
      <c r="B193" s="7" t="n">
        <f aca="false">'종목 기본정보'!B$2*'일자별 주가'!B193</f>
        <v>195800000000</v>
      </c>
      <c r="C193" s="7" t="n">
        <f aca="false">'종목 기본정보'!C$2*'일자별 주가'!C193</f>
        <v>121205000000</v>
      </c>
      <c r="D193" s="7" t="n">
        <f aca="false">'종목 기본정보'!D$2*'일자별 주가'!D193</f>
        <v>940520000000</v>
      </c>
      <c r="E193" s="7" t="n">
        <f aca="false">'종목 기본정보'!E$2*'일자별 주가'!E193</f>
        <v>120244000000</v>
      </c>
      <c r="F193" s="7" t="n">
        <f aca="false">'종목 기본정보'!F$2*'일자별 주가'!F193</f>
        <v>2441201000000</v>
      </c>
      <c r="G193" s="7" t="n">
        <f aca="false">SUM(B193:F193)</f>
        <v>3818970000000</v>
      </c>
      <c r="H193" s="9" t="n">
        <f aca="false">G193*100/G$2</f>
        <v>200.998421052632</v>
      </c>
    </row>
    <row r="194" customFormat="false" ht="13.8" hidden="false" customHeight="false" outlineLevel="0" collapsed="false">
      <c r="A194" s="0" t="n">
        <v>193</v>
      </c>
      <c r="B194" s="7" t="n">
        <f aca="false">'종목 기본정보'!B$2*'일자별 주가'!B194</f>
        <v>195450000000</v>
      </c>
      <c r="C194" s="7" t="n">
        <f aca="false">'종목 기본정보'!C$2*'일자별 주가'!C194</f>
        <v>122760000000</v>
      </c>
      <c r="D194" s="7" t="n">
        <f aca="false">'종목 기본정보'!D$2*'일자별 주가'!D194</f>
        <v>956580000000</v>
      </c>
      <c r="E194" s="7" t="n">
        <f aca="false">'종목 기본정보'!E$2*'일자별 주가'!E194</f>
        <v>121050000000</v>
      </c>
      <c r="F194" s="7" t="n">
        <f aca="false">'종목 기본정보'!F$2*'일자별 주가'!F194</f>
        <v>2476390000000</v>
      </c>
      <c r="G194" s="7" t="n">
        <f aca="false">SUM(B194:F194)</f>
        <v>3872230000000</v>
      </c>
      <c r="H194" s="9" t="n">
        <f aca="false">G194*100/G$2</f>
        <v>203.801578947368</v>
      </c>
    </row>
    <row r="195" customFormat="false" ht="13.8" hidden="false" customHeight="false" outlineLevel="0" collapsed="false">
      <c r="A195" s="0" t="n">
        <v>194</v>
      </c>
      <c r="B195" s="7" t="n">
        <f aca="false">'종목 기본정보'!B$2*'일자별 주가'!B195</f>
        <v>201800000000</v>
      </c>
      <c r="C195" s="7" t="n">
        <f aca="false">'종목 기본정보'!C$2*'일자별 주가'!C195</f>
        <v>121405000000</v>
      </c>
      <c r="D195" s="7" t="n">
        <f aca="false">'종목 기본정보'!D$2*'일자별 주가'!D195</f>
        <v>946960000000</v>
      </c>
      <c r="E195" s="7" t="n">
        <f aca="false">'종목 기본정보'!E$2*'일자별 주가'!E195</f>
        <v>119985000000</v>
      </c>
      <c r="F195" s="7" t="n">
        <f aca="false">'종목 기본정보'!F$2*'일자별 주가'!F195</f>
        <v>2456736000000</v>
      </c>
      <c r="G195" s="7" t="n">
        <f aca="false">SUM(B195:F195)</f>
        <v>3846886000000</v>
      </c>
      <c r="H195" s="9" t="n">
        <f aca="false">G195*100/G$2</f>
        <v>202.467684210526</v>
      </c>
    </row>
    <row r="196" customFormat="false" ht="13.8" hidden="false" customHeight="false" outlineLevel="0" collapsed="false">
      <c r="A196" s="0" t="n">
        <v>195</v>
      </c>
      <c r="B196" s="7" t="n">
        <f aca="false">'종목 기본정보'!B$2*'일자별 주가'!B196</f>
        <v>198700000000</v>
      </c>
      <c r="C196" s="7" t="n">
        <f aca="false">'종목 기본정보'!C$2*'일자별 주가'!C196</f>
        <v>121020000000</v>
      </c>
      <c r="D196" s="7" t="n">
        <f aca="false">'종목 기본정보'!D$2*'일자별 주가'!D196</f>
        <v>957120000000</v>
      </c>
      <c r="E196" s="7" t="n">
        <f aca="false">'종목 기본정보'!E$2*'일자별 주가'!E196</f>
        <v>120664000000</v>
      </c>
      <c r="F196" s="7" t="n">
        <f aca="false">'종목 기본정보'!F$2*'일자별 주가'!F196</f>
        <v>2501769000000</v>
      </c>
      <c r="G196" s="7" t="n">
        <f aca="false">SUM(B196:F196)</f>
        <v>3899273000000</v>
      </c>
      <c r="H196" s="9" t="n">
        <f aca="false">G196*100/G$2</f>
        <v>205.224894736842</v>
      </c>
    </row>
    <row r="197" customFormat="false" ht="13.8" hidden="false" customHeight="false" outlineLevel="0" collapsed="false">
      <c r="A197" s="0" t="n">
        <v>196</v>
      </c>
      <c r="B197" s="7" t="n">
        <f aca="false">'종목 기본정보'!B$2*'일자별 주가'!B197</f>
        <v>201450000000</v>
      </c>
      <c r="C197" s="7" t="n">
        <f aca="false">'종목 기본정보'!C$2*'일자별 주가'!C197</f>
        <v>124770000000</v>
      </c>
      <c r="D197" s="7" t="n">
        <f aca="false">'종목 기본정보'!D$2*'일자별 주가'!D197</f>
        <v>975600000000</v>
      </c>
      <c r="E197" s="7" t="n">
        <f aca="false">'종목 기본정보'!E$2*'일자별 주가'!E197</f>
        <v>117567000000</v>
      </c>
      <c r="F197" s="7" t="n">
        <f aca="false">'종목 기본정보'!F$2*'일자별 주가'!F197</f>
        <v>2558136000000</v>
      </c>
      <c r="G197" s="7" t="n">
        <f aca="false">SUM(B197:F197)</f>
        <v>3977523000000</v>
      </c>
      <c r="H197" s="9" t="n">
        <f aca="false">G197*100/G$2</f>
        <v>209.343315789474</v>
      </c>
    </row>
    <row r="198" customFormat="false" ht="13.8" hidden="false" customHeight="false" outlineLevel="0" collapsed="false">
      <c r="A198" s="0" t="n">
        <v>197</v>
      </c>
      <c r="B198" s="7" t="n">
        <f aca="false">'종목 기본정보'!B$2*'일자별 주가'!B198</f>
        <v>197250000000</v>
      </c>
      <c r="C198" s="7" t="n">
        <f aca="false">'종목 기본정보'!C$2*'일자별 주가'!C198</f>
        <v>127640000000</v>
      </c>
      <c r="D198" s="7" t="n">
        <f aca="false">'종목 기본정보'!D$2*'일자별 주가'!D198</f>
        <v>990560000000</v>
      </c>
      <c r="E198" s="7" t="n">
        <f aca="false">'종목 기본정보'!E$2*'일자별 주가'!E198</f>
        <v>114994000000</v>
      </c>
      <c r="F198" s="7" t="n">
        <f aca="false">'종목 기본정보'!F$2*'일자별 주가'!F198</f>
        <v>2483616000000</v>
      </c>
      <c r="G198" s="7" t="n">
        <f aca="false">SUM(B198:F198)</f>
        <v>3914060000000</v>
      </c>
      <c r="H198" s="9" t="n">
        <f aca="false">G198*100/G$2</f>
        <v>206.003157894737</v>
      </c>
    </row>
    <row r="199" customFormat="false" ht="13.8" hidden="false" customHeight="false" outlineLevel="0" collapsed="false">
      <c r="A199" s="0" t="n">
        <v>198</v>
      </c>
      <c r="B199" s="7" t="n">
        <f aca="false">'종목 기본정보'!B$2*'일자별 주가'!B199</f>
        <v>200890000000</v>
      </c>
      <c r="C199" s="7" t="n">
        <f aca="false">'종목 기본정보'!C$2*'일자별 주가'!C199</f>
        <v>129655000000</v>
      </c>
      <c r="D199" s="7" t="n">
        <f aca="false">'종목 기본정보'!D$2*'일자별 주가'!D199</f>
        <v>982100000000</v>
      </c>
      <c r="E199" s="7" t="n">
        <f aca="false">'종목 기본정보'!E$2*'일자별 주가'!E199</f>
        <v>112418000000</v>
      </c>
      <c r="F199" s="7" t="n">
        <f aca="false">'종목 기본정보'!F$2*'일자별 주가'!F199</f>
        <v>2449323000000</v>
      </c>
      <c r="G199" s="7" t="n">
        <f aca="false">SUM(B199:F199)</f>
        <v>3874386000000</v>
      </c>
      <c r="H199" s="9" t="n">
        <f aca="false">G199*100/G$2</f>
        <v>203.915052631579</v>
      </c>
    </row>
    <row r="200" customFormat="false" ht="13.8" hidden="false" customHeight="false" outlineLevel="0" collapsed="false">
      <c r="A200" s="0" t="n">
        <v>199</v>
      </c>
      <c r="B200" s="7" t="n">
        <f aca="false">'종목 기본정보'!B$2*'일자별 주가'!B200</f>
        <v>197810000000</v>
      </c>
      <c r="C200" s="7" t="n">
        <f aca="false">'종목 기본정보'!C$2*'일자별 주가'!C200</f>
        <v>133140000000</v>
      </c>
      <c r="D200" s="7" t="n">
        <f aca="false">'종목 기본정보'!D$2*'일자별 주가'!D200</f>
        <v>957220000000</v>
      </c>
      <c r="E200" s="7" t="n">
        <f aca="false">'종목 기본정보'!E$2*'일자별 주가'!E200</f>
        <v>109269000000</v>
      </c>
      <c r="F200" s="7" t="n">
        <f aca="false">'종목 기본정보'!F$2*'일자별 주가'!F200</f>
        <v>2407163000000</v>
      </c>
      <c r="G200" s="7" t="n">
        <f aca="false">SUM(B200:F200)</f>
        <v>3804602000000</v>
      </c>
      <c r="H200" s="9" t="n">
        <f aca="false">G200*100/G$2</f>
        <v>200.242210526316</v>
      </c>
    </row>
    <row r="201" customFormat="false" ht="13.8" hidden="false" customHeight="false" outlineLevel="0" collapsed="false">
      <c r="A201" s="0" t="n">
        <v>200</v>
      </c>
      <c r="B201" s="7" t="n">
        <f aca="false">'종목 기본정보'!B$2*'일자별 주가'!B201</f>
        <v>203210000000</v>
      </c>
      <c r="C201" s="7" t="n">
        <f aca="false">'종목 기본정보'!C$2*'일자별 주가'!C201</f>
        <v>135165000000</v>
      </c>
      <c r="D201" s="7" t="n">
        <f aca="false">'종목 기본정보'!D$2*'일자별 주가'!D201</f>
        <v>936500000000</v>
      </c>
      <c r="E201" s="7" t="n">
        <f aca="false">'종목 기본정보'!E$2*'일자별 주가'!E201</f>
        <v>106635000000</v>
      </c>
      <c r="F201" s="7" t="n">
        <f aca="false">'종목 기본정보'!F$2*'일자별 주가'!F201</f>
        <v>2473227000000</v>
      </c>
      <c r="G201" s="7" t="n">
        <f aca="false">SUM(B201:F201)</f>
        <v>3854737000000</v>
      </c>
      <c r="H201" s="9" t="n">
        <f aca="false">G201*100/G$2</f>
        <v>202.880894736842</v>
      </c>
    </row>
    <row r="202" customFormat="false" ht="13.8" hidden="false" customHeight="false" outlineLevel="0" collapsed="false">
      <c r="A202" s="0" t="n">
        <v>201</v>
      </c>
      <c r="B202" s="7" t="n">
        <f aca="false">'종목 기본정보'!B$2*'일자별 주가'!B202</f>
        <v>203500000000</v>
      </c>
      <c r="C202" s="7" t="n">
        <f aca="false">'종목 기본정보'!C$2*'일자별 주가'!C202</f>
        <v>138260000000</v>
      </c>
      <c r="D202" s="7" t="n">
        <f aca="false">'종목 기본정보'!D$2*'일자별 주가'!D202</f>
        <v>960640000000</v>
      </c>
      <c r="E202" s="7" t="n">
        <f aca="false">'종목 기본정보'!E$2*'일자별 주가'!E202</f>
        <v>104041000000</v>
      </c>
      <c r="F202" s="7" t="n">
        <f aca="false">'종목 기본정보'!F$2*'일자별 주가'!F202</f>
        <v>2400971000000</v>
      </c>
      <c r="G202" s="7" t="n">
        <f aca="false">SUM(B202:F202)</f>
        <v>3807412000000</v>
      </c>
      <c r="H202" s="9" t="n">
        <f aca="false">G202*100/G$2</f>
        <v>200.390105263158</v>
      </c>
    </row>
    <row r="203" customFormat="false" ht="13.8" hidden="false" customHeight="false" outlineLevel="0" collapsed="false">
      <c r="A203" s="0" t="n">
        <v>202</v>
      </c>
      <c r="B203" s="7" t="n">
        <f aca="false">'종목 기본정보'!B$2*'일자별 주가'!B203</f>
        <v>202970000000</v>
      </c>
      <c r="C203" s="7" t="n">
        <f aca="false">'종목 기본정보'!C$2*'일자별 주가'!C203</f>
        <v>139215000000</v>
      </c>
      <c r="D203" s="7" t="n">
        <f aca="false">'종목 기본정보'!D$2*'일자별 주가'!D203</f>
        <v>961660000000</v>
      </c>
      <c r="E203" s="7" t="n">
        <f aca="false">'종목 기본정보'!E$2*'일자별 주가'!E203</f>
        <v>103249000000</v>
      </c>
      <c r="F203" s="7" t="n">
        <f aca="false">'종목 기본정보'!F$2*'일자별 주가'!F203</f>
        <v>2410623000000</v>
      </c>
      <c r="G203" s="7" t="n">
        <f aca="false">SUM(B203:F203)</f>
        <v>3817717000000</v>
      </c>
      <c r="H203" s="9" t="n">
        <f aca="false">G203*100/G$2</f>
        <v>200.93247368421</v>
      </c>
    </row>
    <row r="204" customFormat="false" ht="13.8" hidden="false" customHeight="false" outlineLevel="0" collapsed="false">
      <c r="A204" s="0" t="n">
        <v>203</v>
      </c>
      <c r="B204" s="7" t="n">
        <f aca="false">'종목 기본정보'!B$2*'일자별 주가'!B204</f>
        <v>197010000000</v>
      </c>
      <c r="C204" s="7" t="n">
        <f aca="false">'종목 기본정보'!C$2*'일자별 주가'!C204</f>
        <v>135760000000</v>
      </c>
      <c r="D204" s="7" t="n">
        <f aca="false">'종목 기본정보'!D$2*'일자별 주가'!D204</f>
        <v>990020000000</v>
      </c>
      <c r="E204" s="7" t="n">
        <f aca="false">'종목 기본정보'!E$2*'일자별 주가'!E204</f>
        <v>103664000000</v>
      </c>
      <c r="F204" s="7" t="n">
        <f aca="false">'종목 기본정보'!F$2*'일자별 주가'!F204</f>
        <v>2356760000000</v>
      </c>
      <c r="G204" s="7" t="n">
        <f aca="false">SUM(B204:F204)</f>
        <v>3783214000000</v>
      </c>
      <c r="H204" s="9" t="n">
        <f aca="false">G204*100/G$2</f>
        <v>199.116526315789</v>
      </c>
    </row>
    <row r="205" customFormat="false" ht="13.8" hidden="false" customHeight="false" outlineLevel="0" collapsed="false">
      <c r="A205" s="0" t="n">
        <v>204</v>
      </c>
      <c r="B205" s="7" t="n">
        <f aca="false">'종목 기본정보'!B$2*'일자별 주가'!B205</f>
        <v>198120000000</v>
      </c>
      <c r="C205" s="7" t="n">
        <f aca="false">'종목 기본정보'!C$2*'일자별 주가'!C205</f>
        <v>140075000000</v>
      </c>
      <c r="D205" s="7" t="n">
        <f aca="false">'종목 기본정보'!D$2*'일자별 주가'!D205</f>
        <v>1022340000000</v>
      </c>
      <c r="E205" s="7" t="n">
        <f aca="false">'종목 기본정보'!E$2*'일자별 주가'!E205</f>
        <v>101483000000</v>
      </c>
      <c r="F205" s="7" t="n">
        <f aca="false">'종목 기본정보'!F$2*'일자별 주가'!F205</f>
        <v>2415992000000</v>
      </c>
      <c r="G205" s="7" t="n">
        <f aca="false">SUM(B205:F205)</f>
        <v>3878010000000</v>
      </c>
      <c r="H205" s="9" t="n">
        <f aca="false">G205*100/G$2</f>
        <v>204.105789473684</v>
      </c>
    </row>
    <row r="206" customFormat="false" ht="13.8" hidden="false" customHeight="false" outlineLevel="0" collapsed="false">
      <c r="A206" s="0" t="n">
        <v>205</v>
      </c>
      <c r="B206" s="7" t="n">
        <f aca="false">'종목 기본정보'!B$2*'일자별 주가'!B206</f>
        <v>195040000000</v>
      </c>
      <c r="C206" s="7" t="n">
        <f aca="false">'종목 기본정보'!C$2*'일자별 주가'!C206</f>
        <v>140190000000</v>
      </c>
      <c r="D206" s="7" t="n">
        <f aca="false">'종목 기본정보'!D$2*'일자별 주가'!D206</f>
        <v>1027400000000</v>
      </c>
      <c r="E206" s="7" t="n">
        <f aca="false">'종목 기본정보'!E$2*'일자별 주가'!E206</f>
        <v>101410000000</v>
      </c>
      <c r="F206" s="7" t="n">
        <f aca="false">'종목 기본정보'!F$2*'일자별 주가'!F206</f>
        <v>2484874000000</v>
      </c>
      <c r="G206" s="7" t="n">
        <f aca="false">SUM(B206:F206)</f>
        <v>3948914000000</v>
      </c>
      <c r="H206" s="9" t="n">
        <f aca="false">G206*100/G$2</f>
        <v>207.837578947368</v>
      </c>
    </row>
    <row r="207" customFormat="false" ht="13.8" hidden="false" customHeight="false" outlineLevel="0" collapsed="false">
      <c r="A207" s="0" t="n">
        <v>206</v>
      </c>
      <c r="B207" s="7" t="n">
        <f aca="false">'종목 기본정보'!B$2*'일자별 주가'!B207</f>
        <v>192320000000</v>
      </c>
      <c r="C207" s="7" t="n">
        <f aca="false">'종목 기본정보'!C$2*'일자별 주가'!C207</f>
        <v>140355000000</v>
      </c>
      <c r="D207" s="7" t="n">
        <f aca="false">'종목 기본정보'!D$2*'일자별 주가'!D207</f>
        <v>1015040000000</v>
      </c>
      <c r="E207" s="7" t="n">
        <f aca="false">'종목 기본정보'!E$2*'일자별 주가'!E207</f>
        <v>101403000000</v>
      </c>
      <c r="F207" s="7" t="n">
        <f aca="false">'종목 기본정보'!F$2*'일자별 주가'!F207</f>
        <v>2464102000000</v>
      </c>
      <c r="G207" s="7" t="n">
        <f aca="false">SUM(B207:F207)</f>
        <v>3913220000000</v>
      </c>
      <c r="H207" s="9" t="n">
        <f aca="false">G207*100/G$2</f>
        <v>205.958947368421</v>
      </c>
    </row>
    <row r="208" customFormat="false" ht="13.8" hidden="false" customHeight="false" outlineLevel="0" collapsed="false">
      <c r="A208" s="0" t="n">
        <v>207</v>
      </c>
      <c r="B208" s="7" t="n">
        <f aca="false">'종목 기본정보'!B$2*'일자별 주가'!B208</f>
        <v>196030000000</v>
      </c>
      <c r="C208" s="7" t="n">
        <f aca="false">'종목 기본정보'!C$2*'일자별 주가'!C208</f>
        <v>140555000000</v>
      </c>
      <c r="D208" s="7" t="n">
        <f aca="false">'종목 기본정보'!D$2*'일자별 주가'!D208</f>
        <v>1021080000000</v>
      </c>
      <c r="E208" s="7" t="n">
        <f aca="false">'종목 기본정보'!E$2*'일자별 주가'!E208</f>
        <v>104636000000</v>
      </c>
      <c r="F208" s="7" t="n">
        <f aca="false">'종목 기본정보'!F$2*'일자별 주가'!F208</f>
        <v>2419182000000</v>
      </c>
      <c r="G208" s="7" t="n">
        <f aca="false">SUM(B208:F208)</f>
        <v>3881483000000</v>
      </c>
      <c r="H208" s="9" t="n">
        <f aca="false">G208*100/G$2</f>
        <v>204.288578947368</v>
      </c>
    </row>
    <row r="209" customFormat="false" ht="13.8" hidden="false" customHeight="false" outlineLevel="0" collapsed="false">
      <c r="A209" s="0" t="n">
        <v>208</v>
      </c>
      <c r="B209" s="7" t="n">
        <f aca="false">'종목 기본정보'!B$2*'일자별 주가'!B209</f>
        <v>195530000000</v>
      </c>
      <c r="C209" s="7" t="n">
        <f aca="false">'종목 기본정보'!C$2*'일자별 주가'!C209</f>
        <v>144235000000</v>
      </c>
      <c r="D209" s="7" t="n">
        <f aca="false">'종목 기본정보'!D$2*'일자별 주가'!D209</f>
        <v>994160000000</v>
      </c>
      <c r="E209" s="7" t="n">
        <f aca="false">'종목 기본정보'!E$2*'일자별 주가'!E209</f>
        <v>104057000000</v>
      </c>
      <c r="F209" s="7" t="n">
        <f aca="false">'종목 기본정보'!F$2*'일자별 주가'!F209</f>
        <v>2453799000000</v>
      </c>
      <c r="G209" s="7" t="n">
        <f aca="false">SUM(B209:F209)</f>
        <v>3891781000000</v>
      </c>
      <c r="H209" s="9" t="n">
        <f aca="false">G209*100/G$2</f>
        <v>204.830578947368</v>
      </c>
    </row>
    <row r="210" customFormat="false" ht="13.8" hidden="false" customHeight="false" outlineLevel="0" collapsed="false">
      <c r="A210" s="0" t="n">
        <v>209</v>
      </c>
      <c r="B210" s="7" t="n">
        <f aca="false">'종목 기본정보'!B$2*'일자별 주가'!B210</f>
        <v>192490000000</v>
      </c>
      <c r="C210" s="7" t="n">
        <f aca="false">'종목 기본정보'!C$2*'일자별 주가'!C210</f>
        <v>141420000000</v>
      </c>
      <c r="D210" s="7" t="n">
        <f aca="false">'종목 기본정보'!D$2*'일자별 주가'!D210</f>
        <v>1021440000000</v>
      </c>
      <c r="E210" s="7" t="n">
        <f aca="false">'종목 기본정보'!E$2*'일자별 주가'!E210</f>
        <v>105678000000</v>
      </c>
      <c r="F210" s="7" t="n">
        <f aca="false">'종목 기본정보'!F$2*'일자별 주가'!F210</f>
        <v>2505175000000</v>
      </c>
      <c r="G210" s="7" t="n">
        <f aca="false">SUM(B210:F210)</f>
        <v>3966203000000</v>
      </c>
      <c r="H210" s="9" t="n">
        <f aca="false">G210*100/G$2</f>
        <v>208.747526315789</v>
      </c>
    </row>
    <row r="211" customFormat="false" ht="13.8" hidden="false" customHeight="false" outlineLevel="0" collapsed="false">
      <c r="A211" s="0" t="n">
        <v>210</v>
      </c>
      <c r="B211" s="7" t="n">
        <f aca="false">'종목 기본정보'!B$2*'일자별 주가'!B211</f>
        <v>191860000000</v>
      </c>
      <c r="C211" s="7" t="n">
        <f aca="false">'종목 기본정보'!C$2*'일자별 주가'!C211</f>
        <v>141590000000</v>
      </c>
      <c r="D211" s="7" t="n">
        <f aca="false">'종목 기본정보'!D$2*'일자별 주가'!D211</f>
        <v>1034360000000</v>
      </c>
      <c r="E211" s="7" t="n">
        <f aca="false">'종목 기본정보'!E$2*'일자별 주가'!E211</f>
        <v>102891000000</v>
      </c>
      <c r="F211" s="7" t="n">
        <f aca="false">'종목 기본정보'!F$2*'일자별 주가'!F211</f>
        <v>2498029000000</v>
      </c>
      <c r="G211" s="7" t="n">
        <f aca="false">SUM(B211:F211)</f>
        <v>3968730000000</v>
      </c>
      <c r="H211" s="9" t="n">
        <f aca="false">G211*100/G$2</f>
        <v>208.880526315789</v>
      </c>
    </row>
    <row r="212" customFormat="false" ht="13.8" hidden="false" customHeight="false" outlineLevel="0" collapsed="false">
      <c r="A212" s="0" t="n">
        <v>211</v>
      </c>
      <c r="B212" s="7" t="n">
        <f aca="false">'종목 기본정보'!B$2*'일자별 주가'!B212</f>
        <v>189360000000</v>
      </c>
      <c r="C212" s="7" t="n">
        <f aca="false">'종목 기본정보'!C$2*'일자별 주가'!C212</f>
        <v>141950000000</v>
      </c>
      <c r="D212" s="7" t="n">
        <f aca="false">'종목 기본정보'!D$2*'일자별 주가'!D212</f>
        <v>1037320000000</v>
      </c>
      <c r="E212" s="7" t="n">
        <f aca="false">'종목 기본정보'!E$2*'일자별 주가'!E212</f>
        <v>100959000000</v>
      </c>
      <c r="F212" s="7" t="n">
        <f aca="false">'종목 기본정보'!F$2*'일자별 주가'!F212</f>
        <v>2474768000000</v>
      </c>
      <c r="G212" s="7" t="n">
        <f aca="false">SUM(B212:F212)</f>
        <v>3944357000000</v>
      </c>
      <c r="H212" s="9" t="n">
        <f aca="false">G212*100/G$2</f>
        <v>207.597736842105</v>
      </c>
    </row>
    <row r="213" customFormat="false" ht="13.8" hidden="false" customHeight="false" outlineLevel="0" collapsed="false">
      <c r="A213" s="0" t="n">
        <v>212</v>
      </c>
      <c r="B213" s="7" t="n">
        <f aca="false">'종목 기본정보'!B$2*'일자별 주가'!B213</f>
        <v>194130000000</v>
      </c>
      <c r="C213" s="7" t="n">
        <f aca="false">'종목 기본정보'!C$2*'일자별 주가'!C213</f>
        <v>141595000000</v>
      </c>
      <c r="D213" s="7" t="n">
        <f aca="false">'종목 기본정보'!D$2*'일자별 주가'!D213</f>
        <v>1024580000000</v>
      </c>
      <c r="E213" s="7" t="n">
        <f aca="false">'종목 기본정보'!E$2*'일자별 주가'!E213</f>
        <v>101953000000</v>
      </c>
      <c r="F213" s="7" t="n">
        <f aca="false">'종목 기본정보'!F$2*'일자별 주가'!F213</f>
        <v>2460148000000</v>
      </c>
      <c r="G213" s="7" t="n">
        <f aca="false">SUM(B213:F213)</f>
        <v>3922406000000</v>
      </c>
      <c r="H213" s="9" t="n">
        <f aca="false">G213*100/G$2</f>
        <v>206.442421052632</v>
      </c>
    </row>
    <row r="214" customFormat="false" ht="13.8" hidden="false" customHeight="false" outlineLevel="0" collapsed="false">
      <c r="A214" s="0" t="n">
        <v>213</v>
      </c>
      <c r="B214" s="7" t="n">
        <f aca="false">'종목 기본정보'!B$2*'일자별 주가'!B214</f>
        <v>193880000000</v>
      </c>
      <c r="C214" s="7" t="n">
        <f aca="false">'종목 기본정보'!C$2*'일자별 주가'!C214</f>
        <v>144900000000</v>
      </c>
      <c r="D214" s="7" t="n">
        <f aca="false">'종목 기본정보'!D$2*'일자별 주가'!D214</f>
        <v>1027580000000</v>
      </c>
      <c r="E214" s="7" t="n">
        <f aca="false">'종목 기본정보'!E$2*'일자별 주가'!E214</f>
        <v>99626000000</v>
      </c>
      <c r="F214" s="7" t="n">
        <f aca="false">'종목 기본정보'!F$2*'일자별 주가'!F214</f>
        <v>2493414000000</v>
      </c>
      <c r="G214" s="7" t="n">
        <f aca="false">SUM(B214:F214)</f>
        <v>3959400000000</v>
      </c>
      <c r="H214" s="9" t="n">
        <f aca="false">G214*100/G$2</f>
        <v>208.38947368421</v>
      </c>
    </row>
    <row r="215" customFormat="false" ht="13.8" hidden="false" customHeight="false" outlineLevel="0" collapsed="false">
      <c r="A215" s="0" t="n">
        <v>214</v>
      </c>
      <c r="B215" s="7" t="n">
        <f aca="false">'종목 기본정보'!B$2*'일자별 주가'!B215</f>
        <v>194770000000</v>
      </c>
      <c r="C215" s="7" t="n">
        <f aca="false">'종목 기본정보'!C$2*'일자별 주가'!C215</f>
        <v>141675000000</v>
      </c>
      <c r="D215" s="7" t="n">
        <f aca="false">'종목 기본정보'!D$2*'일자별 주가'!D215</f>
        <v>1029220000000</v>
      </c>
      <c r="E215" s="7" t="n">
        <f aca="false">'종목 기본정보'!E$2*'일자별 주가'!E215</f>
        <v>97588000000</v>
      </c>
      <c r="F215" s="7" t="n">
        <f aca="false">'종목 기본정보'!F$2*'일자별 주가'!F215</f>
        <v>2527406000000</v>
      </c>
      <c r="G215" s="7" t="n">
        <f aca="false">SUM(B215:F215)</f>
        <v>3990659000000</v>
      </c>
      <c r="H215" s="9" t="n">
        <f aca="false">G215*100/G$2</f>
        <v>210.034684210526</v>
      </c>
    </row>
    <row r="216" customFormat="false" ht="13.8" hidden="false" customHeight="false" outlineLevel="0" collapsed="false">
      <c r="A216" s="0" t="n">
        <v>215</v>
      </c>
      <c r="B216" s="7" t="n">
        <f aca="false">'종목 기본정보'!B$2*'일자별 주가'!B216</f>
        <v>192530000000</v>
      </c>
      <c r="C216" s="7" t="n">
        <f aca="false">'종목 기본정보'!C$2*'일자별 주가'!C216</f>
        <v>143170000000</v>
      </c>
      <c r="D216" s="7" t="n">
        <f aca="false">'종목 기본정보'!D$2*'일자별 주가'!D216</f>
        <v>1022240000000</v>
      </c>
      <c r="E216" s="7" t="n">
        <f aca="false">'종목 기본정보'!E$2*'일자별 주가'!E216</f>
        <v>96780000000</v>
      </c>
      <c r="F216" s="7" t="n">
        <f aca="false">'종목 기본정보'!F$2*'일자별 주가'!F216</f>
        <v>2592774000000</v>
      </c>
      <c r="G216" s="7" t="n">
        <f aca="false">SUM(B216:F216)</f>
        <v>4047494000000</v>
      </c>
      <c r="H216" s="9" t="n">
        <f aca="false">G216*100/G$2</f>
        <v>213.026</v>
      </c>
    </row>
    <row r="217" customFormat="false" ht="13.8" hidden="false" customHeight="false" outlineLevel="0" collapsed="false">
      <c r="A217" s="0" t="n">
        <v>216</v>
      </c>
      <c r="B217" s="7" t="n">
        <f aca="false">'종목 기본정보'!B$2*'일자별 주가'!B217</f>
        <v>191520000000</v>
      </c>
      <c r="C217" s="7" t="n">
        <f aca="false">'종목 기본정보'!C$2*'일자별 주가'!C217</f>
        <v>139555000000</v>
      </c>
      <c r="D217" s="7" t="n">
        <f aca="false">'종목 기본정보'!D$2*'일자별 주가'!D217</f>
        <v>1013180000000</v>
      </c>
      <c r="E217" s="7" t="n">
        <f aca="false">'종목 기본정보'!E$2*'일자별 주가'!E217</f>
        <v>99825000000</v>
      </c>
      <c r="F217" s="7" t="n">
        <f aca="false">'종목 기본정보'!F$2*'일자별 주가'!F217</f>
        <v>2550827000000</v>
      </c>
      <c r="G217" s="7" t="n">
        <f aca="false">SUM(B217:F217)</f>
        <v>3994907000000</v>
      </c>
      <c r="H217" s="9" t="n">
        <f aca="false">G217*100/G$2</f>
        <v>210.258263157895</v>
      </c>
    </row>
    <row r="218" customFormat="false" ht="13.8" hidden="false" customHeight="false" outlineLevel="0" collapsed="false">
      <c r="A218" s="0" t="n">
        <v>217</v>
      </c>
      <c r="B218" s="7" t="n">
        <f aca="false">'종목 기본정보'!B$2*'일자별 주가'!B218</f>
        <v>189490000000</v>
      </c>
      <c r="C218" s="7" t="n">
        <f aca="false">'종목 기본정보'!C$2*'일자별 주가'!C218</f>
        <v>139035000000</v>
      </c>
      <c r="D218" s="7" t="n">
        <f aca="false">'종목 기본정보'!D$2*'일자별 주가'!D218</f>
        <v>1004860000000</v>
      </c>
      <c r="E218" s="7" t="n">
        <f aca="false">'종목 기본정보'!E$2*'일자별 주가'!E218</f>
        <v>102891000000</v>
      </c>
      <c r="F218" s="7" t="n">
        <f aca="false">'종목 기본정보'!F$2*'일자별 주가'!F218</f>
        <v>2597376000000</v>
      </c>
      <c r="G218" s="7" t="n">
        <f aca="false">SUM(B218:F218)</f>
        <v>4033652000000</v>
      </c>
      <c r="H218" s="9" t="n">
        <f aca="false">G218*100/G$2</f>
        <v>212.297473684211</v>
      </c>
    </row>
    <row r="219" customFormat="false" ht="13.8" hidden="false" customHeight="false" outlineLevel="0" collapsed="false">
      <c r="A219" s="0" t="n">
        <v>218</v>
      </c>
      <c r="B219" s="7" t="n">
        <f aca="false">'종목 기본정보'!B$2*'일자별 주가'!B219</f>
        <v>190190000000</v>
      </c>
      <c r="C219" s="7" t="n">
        <f aca="false">'종목 기본정보'!C$2*'일자별 주가'!C219</f>
        <v>138840000000</v>
      </c>
      <c r="D219" s="7" t="n">
        <f aca="false">'종목 기본정보'!D$2*'일자별 주가'!D219</f>
        <v>991720000000</v>
      </c>
      <c r="E219" s="7" t="n">
        <f aca="false">'종목 기본정보'!E$2*'일자별 주가'!E219</f>
        <v>105681000000</v>
      </c>
      <c r="F219" s="7" t="n">
        <f aca="false">'종목 기본정보'!F$2*'일자별 주가'!F219</f>
        <v>2526127000000</v>
      </c>
      <c r="G219" s="7" t="n">
        <f aca="false">SUM(B219:F219)</f>
        <v>3952558000000</v>
      </c>
      <c r="H219" s="9" t="n">
        <f aca="false">G219*100/G$2</f>
        <v>208.029368421053</v>
      </c>
    </row>
    <row r="220" customFormat="false" ht="13.8" hidden="false" customHeight="false" outlineLevel="0" collapsed="false">
      <c r="A220" s="0" t="n">
        <v>219</v>
      </c>
      <c r="B220" s="7" t="n">
        <f aca="false">'종목 기본정보'!B$2*'일자별 주가'!B220</f>
        <v>193450000000</v>
      </c>
      <c r="C220" s="7" t="n">
        <f aca="false">'종목 기본정보'!C$2*'일자별 주가'!C220</f>
        <v>141045000000</v>
      </c>
      <c r="D220" s="7" t="n">
        <f aca="false">'종목 기본정보'!D$2*'일자별 주가'!D220</f>
        <v>981520000000</v>
      </c>
      <c r="E220" s="7" t="n">
        <f aca="false">'종목 기본정보'!E$2*'일자별 주가'!E220</f>
        <v>105867000000</v>
      </c>
      <c r="F220" s="7" t="n">
        <f aca="false">'종목 기본정보'!F$2*'일자별 주가'!F220</f>
        <v>2454185000000</v>
      </c>
      <c r="G220" s="7" t="n">
        <f aca="false">SUM(B220:F220)</f>
        <v>3876067000000</v>
      </c>
      <c r="H220" s="9" t="n">
        <f aca="false">G220*100/G$2</f>
        <v>204.003526315789</v>
      </c>
    </row>
    <row r="221" customFormat="false" ht="13.8" hidden="false" customHeight="false" outlineLevel="0" collapsed="false">
      <c r="A221" s="0" t="n">
        <v>220</v>
      </c>
      <c r="B221" s="7" t="n">
        <f aca="false">'종목 기본정보'!B$2*'일자별 주가'!B221</f>
        <v>191210000000</v>
      </c>
      <c r="C221" s="7" t="n">
        <f aca="false">'종목 기본정보'!C$2*'일자별 주가'!C221</f>
        <v>138280000000</v>
      </c>
      <c r="D221" s="7" t="n">
        <f aca="false">'종목 기본정보'!D$2*'일자별 주가'!D221</f>
        <v>1009940000000</v>
      </c>
      <c r="E221" s="7" t="n">
        <f aca="false">'종목 기본정보'!E$2*'일자별 주가'!E221</f>
        <v>104845000000</v>
      </c>
      <c r="F221" s="7" t="n">
        <f aca="false">'종목 기본정보'!F$2*'일자별 주가'!F221</f>
        <v>2512005000000</v>
      </c>
      <c r="G221" s="7" t="n">
        <f aca="false">SUM(B221:F221)</f>
        <v>3956280000000</v>
      </c>
      <c r="H221" s="9" t="n">
        <f aca="false">G221*100/G$2</f>
        <v>208.225263157895</v>
      </c>
    </row>
    <row r="222" customFormat="false" ht="13.8" hidden="false" customHeight="false" outlineLevel="0" collapsed="false">
      <c r="A222" s="0" t="n">
        <v>221</v>
      </c>
      <c r="B222" s="7" t="n">
        <f aca="false">'종목 기본정보'!B$2*'일자별 주가'!B222</f>
        <v>191760000000</v>
      </c>
      <c r="C222" s="7" t="n">
        <f aca="false">'종목 기본정보'!C$2*'일자별 주가'!C222</f>
        <v>134775000000</v>
      </c>
      <c r="D222" s="7" t="n">
        <f aca="false">'종목 기본정보'!D$2*'일자별 주가'!D222</f>
        <v>995820000000</v>
      </c>
      <c r="E222" s="7" t="n">
        <f aca="false">'종목 기본정보'!E$2*'일자별 주가'!E222</f>
        <v>106681000000</v>
      </c>
      <c r="F222" s="7" t="n">
        <f aca="false">'종목 기본정보'!F$2*'일자별 주가'!F222</f>
        <v>2506416000000</v>
      </c>
      <c r="G222" s="7" t="n">
        <f aca="false">SUM(B222:F222)</f>
        <v>3935452000000</v>
      </c>
      <c r="H222" s="9" t="n">
        <f aca="false">G222*100/G$2</f>
        <v>207.129052631579</v>
      </c>
    </row>
    <row r="223" customFormat="false" ht="13.8" hidden="false" customHeight="false" outlineLevel="0" collapsed="false">
      <c r="A223" s="0" t="n">
        <v>222</v>
      </c>
      <c r="B223" s="7" t="n">
        <f aca="false">'종목 기본정보'!B$2*'일자별 주가'!B223</f>
        <v>189680000000</v>
      </c>
      <c r="C223" s="7" t="n">
        <f aca="false">'종목 기본정보'!C$2*'일자별 주가'!C223</f>
        <v>137290000000</v>
      </c>
      <c r="D223" s="7" t="n">
        <f aca="false">'종목 기본정보'!D$2*'일자별 주가'!D223</f>
        <v>979740000000</v>
      </c>
      <c r="E223" s="7" t="n">
        <f aca="false">'종목 기본정보'!E$2*'일자별 주가'!E223</f>
        <v>107398000000</v>
      </c>
      <c r="F223" s="7" t="n">
        <f aca="false">'종목 기본정보'!F$2*'일자별 주가'!F223</f>
        <v>2494229000000</v>
      </c>
      <c r="G223" s="7" t="n">
        <f aca="false">SUM(B223:F223)</f>
        <v>3908337000000</v>
      </c>
      <c r="H223" s="9" t="n">
        <f aca="false">G223*100/G$2</f>
        <v>205.701947368421</v>
      </c>
    </row>
    <row r="224" customFormat="false" ht="13.8" hidden="false" customHeight="false" outlineLevel="0" collapsed="false">
      <c r="A224" s="0" t="n">
        <v>223</v>
      </c>
      <c r="B224" s="7" t="n">
        <f aca="false">'종목 기본정보'!B$2*'일자별 주가'!B224</f>
        <v>194800000000</v>
      </c>
      <c r="C224" s="7" t="n">
        <f aca="false">'종목 기본정보'!C$2*'일자별 주가'!C224</f>
        <v>139835000000</v>
      </c>
      <c r="D224" s="7" t="n">
        <f aca="false">'종목 기본정보'!D$2*'일자별 주가'!D224</f>
        <v>985540000000</v>
      </c>
      <c r="E224" s="7" t="n">
        <f aca="false">'종목 기본정보'!E$2*'일자별 주가'!E224</f>
        <v>107985000000</v>
      </c>
      <c r="F224" s="7" t="n">
        <f aca="false">'종목 기본정보'!F$2*'일자별 주가'!F224</f>
        <v>2493491000000</v>
      </c>
      <c r="G224" s="7" t="n">
        <f aca="false">SUM(B224:F224)</f>
        <v>3921651000000</v>
      </c>
      <c r="H224" s="9" t="n">
        <f aca="false">G224*100/G$2</f>
        <v>206.402684210526</v>
      </c>
    </row>
    <row r="225" customFormat="false" ht="13.8" hidden="false" customHeight="false" outlineLevel="0" collapsed="false">
      <c r="A225" s="0" t="n">
        <v>224</v>
      </c>
      <c r="B225" s="7" t="n">
        <f aca="false">'종목 기본정보'!B$2*'일자별 주가'!B225</f>
        <v>199830000000</v>
      </c>
      <c r="C225" s="7" t="n">
        <f aca="false">'종목 기본정보'!C$2*'일자별 주가'!C225</f>
        <v>143540000000</v>
      </c>
      <c r="D225" s="7" t="n">
        <f aca="false">'종목 기본정보'!D$2*'일자별 주가'!D225</f>
        <v>1007340000000</v>
      </c>
      <c r="E225" s="7" t="n">
        <f aca="false">'종목 기본정보'!E$2*'일자별 주가'!E225</f>
        <v>105465000000</v>
      </c>
      <c r="F225" s="7" t="n">
        <f aca="false">'종목 기본정보'!F$2*'일자별 주가'!F225</f>
        <v>2484052000000</v>
      </c>
      <c r="G225" s="7" t="n">
        <f aca="false">SUM(B225:F225)</f>
        <v>3940227000000</v>
      </c>
      <c r="H225" s="9" t="n">
        <f aca="false">G225*100/G$2</f>
        <v>207.380368421053</v>
      </c>
    </row>
    <row r="226" customFormat="false" ht="13.8" hidden="false" customHeight="false" outlineLevel="0" collapsed="false">
      <c r="A226" s="0" t="n">
        <v>225</v>
      </c>
      <c r="B226" s="7" t="n">
        <f aca="false">'종목 기본정보'!B$2*'일자별 주가'!B226</f>
        <v>202580000000</v>
      </c>
      <c r="C226" s="7" t="n">
        <f aca="false">'종목 기본정보'!C$2*'일자별 주가'!C226</f>
        <v>140525000000</v>
      </c>
      <c r="D226" s="7" t="n">
        <f aca="false">'종목 기본정보'!D$2*'일자별 주가'!D226</f>
        <v>1004380000000</v>
      </c>
      <c r="E226" s="7" t="n">
        <f aca="false">'종목 기본정보'!E$2*'일자별 주가'!E226</f>
        <v>102745000000</v>
      </c>
      <c r="F226" s="7" t="n">
        <f aca="false">'종목 기본정보'!F$2*'일자별 주가'!F226</f>
        <v>2509806000000</v>
      </c>
      <c r="G226" s="7" t="n">
        <f aca="false">SUM(B226:F226)</f>
        <v>3960036000000</v>
      </c>
      <c r="H226" s="9" t="n">
        <f aca="false">G226*100/G$2</f>
        <v>208.422947368421</v>
      </c>
    </row>
    <row r="227" customFormat="false" ht="13.8" hidden="false" customHeight="false" outlineLevel="0" collapsed="false">
      <c r="A227" s="0" t="n">
        <v>226</v>
      </c>
      <c r="B227" s="7" t="n">
        <f aca="false">'종목 기본정보'!B$2*'일자별 주가'!B227</f>
        <v>204920000000</v>
      </c>
      <c r="C227" s="7" t="n">
        <f aca="false">'종목 기본정보'!C$2*'일자별 주가'!C227</f>
        <v>140355000000</v>
      </c>
      <c r="D227" s="7" t="n">
        <f aca="false">'종목 기본정보'!D$2*'일자별 주가'!D227</f>
        <v>1021820000000</v>
      </c>
      <c r="E227" s="7" t="n">
        <f aca="false">'종목 기본정보'!E$2*'일자별 주가'!E227</f>
        <v>105428000000</v>
      </c>
      <c r="F227" s="7" t="n">
        <f aca="false">'종목 기본정보'!F$2*'일자별 주가'!F227</f>
        <v>2467284000000</v>
      </c>
      <c r="G227" s="7" t="n">
        <f aca="false">SUM(B227:F227)</f>
        <v>3939807000000</v>
      </c>
      <c r="H227" s="9" t="n">
        <f aca="false">G227*100/G$2</f>
        <v>207.358263157895</v>
      </c>
    </row>
    <row r="228" customFormat="false" ht="13.8" hidden="false" customHeight="false" outlineLevel="0" collapsed="false">
      <c r="A228" s="0" t="n">
        <v>227</v>
      </c>
      <c r="B228" s="7" t="n">
        <f aca="false">'종목 기본정보'!B$2*'일자별 주가'!B228</f>
        <v>204570000000</v>
      </c>
      <c r="C228" s="7" t="n">
        <f aca="false">'종목 기본정보'!C$2*'일자별 주가'!C228</f>
        <v>142840000000</v>
      </c>
      <c r="D228" s="7" t="n">
        <f aca="false">'종목 기본정보'!D$2*'일자별 주가'!D228</f>
        <v>1022620000000</v>
      </c>
      <c r="E228" s="7" t="n">
        <f aca="false">'종목 기본정보'!E$2*'일자별 주가'!E228</f>
        <v>108217000000</v>
      </c>
      <c r="F228" s="7" t="n">
        <f aca="false">'종목 기본정보'!F$2*'일자별 주가'!F228</f>
        <v>2544639000000</v>
      </c>
      <c r="G228" s="7" t="n">
        <f aca="false">SUM(B228:F228)</f>
        <v>4022886000000</v>
      </c>
      <c r="H228" s="9" t="n">
        <f aca="false">G228*100/G$2</f>
        <v>211.730842105263</v>
      </c>
    </row>
    <row r="229" customFormat="false" ht="13.8" hidden="false" customHeight="false" outlineLevel="0" collapsed="false">
      <c r="A229" s="0" t="n">
        <v>228</v>
      </c>
      <c r="B229" s="7" t="n">
        <f aca="false">'종목 기본정보'!B$2*'일자별 주가'!B229</f>
        <v>203730000000</v>
      </c>
      <c r="C229" s="7" t="n">
        <f aca="false">'종목 기본정보'!C$2*'일자별 주가'!C229</f>
        <v>139655000000</v>
      </c>
      <c r="D229" s="7" t="n">
        <f aca="false">'종목 기본정보'!D$2*'일자별 주가'!D229</f>
        <v>1023380000000</v>
      </c>
      <c r="E229" s="7" t="n">
        <f aca="false">'종목 기본정보'!E$2*'일자별 주가'!E229</f>
        <v>110045000000</v>
      </c>
      <c r="F229" s="7" t="n">
        <f aca="false">'종목 기본정보'!F$2*'일자별 주가'!F229</f>
        <v>2502917000000</v>
      </c>
      <c r="G229" s="7" t="n">
        <f aca="false">SUM(B229:F229)</f>
        <v>3979727000000</v>
      </c>
      <c r="H229" s="9" t="n">
        <f aca="false">G229*100/G$2</f>
        <v>209.459315789474</v>
      </c>
    </row>
    <row r="230" customFormat="false" ht="13.8" hidden="false" customHeight="false" outlineLevel="0" collapsed="false">
      <c r="A230" s="0" t="n">
        <v>229</v>
      </c>
      <c r="B230" s="7" t="n">
        <f aca="false">'종목 기본정보'!B$2*'일자별 주가'!B230</f>
        <v>207630000000</v>
      </c>
      <c r="C230" s="7" t="n">
        <f aca="false">'종목 기본정보'!C$2*'일자별 주가'!C230</f>
        <v>140165000000</v>
      </c>
      <c r="D230" s="7" t="n">
        <f aca="false">'종목 기본정보'!D$2*'일자별 주가'!D230</f>
        <v>1041060000000</v>
      </c>
      <c r="E230" s="7" t="n">
        <f aca="false">'종목 기본정보'!E$2*'일자별 주가'!E230</f>
        <v>106744000000</v>
      </c>
      <c r="F230" s="7" t="n">
        <f aca="false">'종목 기본정보'!F$2*'일자별 주가'!F230</f>
        <v>2431034000000</v>
      </c>
      <c r="G230" s="7" t="n">
        <f aca="false">SUM(B230:F230)</f>
        <v>3926633000000</v>
      </c>
      <c r="H230" s="9" t="n">
        <f aca="false">G230*100/G$2</f>
        <v>206.664894736842</v>
      </c>
    </row>
    <row r="231" customFormat="false" ht="13.8" hidden="false" customHeight="false" outlineLevel="0" collapsed="false">
      <c r="A231" s="0" t="n">
        <v>230</v>
      </c>
      <c r="B231" s="7" t="n">
        <f aca="false">'종목 기본정보'!B$2*'일자별 주가'!B231</f>
        <v>207220000000</v>
      </c>
      <c r="C231" s="7" t="n">
        <f aca="false">'종목 기본정보'!C$2*'일자별 주가'!C231</f>
        <v>144490000000</v>
      </c>
      <c r="D231" s="7" t="n">
        <f aca="false">'종목 기본정보'!D$2*'일자별 주가'!D231</f>
        <v>1051340000000</v>
      </c>
      <c r="E231" s="7" t="n">
        <f aca="false">'종목 기본정보'!E$2*'일자별 주가'!E231</f>
        <v>104840000000</v>
      </c>
      <c r="F231" s="7" t="n">
        <f aca="false">'종목 기본정보'!F$2*'일자별 주가'!F231</f>
        <v>2407359000000</v>
      </c>
      <c r="G231" s="7" t="n">
        <f aca="false">SUM(B231:F231)</f>
        <v>3915249000000</v>
      </c>
      <c r="H231" s="9" t="n">
        <f aca="false">G231*100/G$2</f>
        <v>206.065736842105</v>
      </c>
    </row>
    <row r="232" customFormat="false" ht="13.8" hidden="false" customHeight="false" outlineLevel="0" collapsed="false">
      <c r="A232" s="0" t="n">
        <v>231</v>
      </c>
      <c r="B232" s="7" t="n">
        <f aca="false">'종목 기본정보'!B$2*'일자별 주가'!B232</f>
        <v>202820000000</v>
      </c>
      <c r="C232" s="7" t="n">
        <f aca="false">'종목 기본정보'!C$2*'일자별 주가'!C232</f>
        <v>145410000000</v>
      </c>
      <c r="D232" s="7" t="n">
        <f aca="false">'종목 기본정보'!D$2*'일자별 주가'!D232</f>
        <v>1027560000000</v>
      </c>
      <c r="E232" s="7" t="n">
        <f aca="false">'종목 기본정보'!E$2*'일자별 주가'!E232</f>
        <v>105597000000</v>
      </c>
      <c r="F232" s="7" t="n">
        <f aca="false">'종목 기본정보'!F$2*'일자별 주가'!F232</f>
        <v>2422395000000</v>
      </c>
      <c r="G232" s="7" t="n">
        <f aca="false">SUM(B232:F232)</f>
        <v>3903782000000</v>
      </c>
      <c r="H232" s="9" t="n">
        <f aca="false">G232*100/G$2</f>
        <v>205.462210526316</v>
      </c>
    </row>
    <row r="233" customFormat="false" ht="13.8" hidden="false" customHeight="false" outlineLevel="0" collapsed="false">
      <c r="A233" s="0" t="n">
        <v>232</v>
      </c>
      <c r="B233" s="7" t="n">
        <f aca="false">'종목 기본정보'!B$2*'일자별 주가'!B233</f>
        <v>201840000000</v>
      </c>
      <c r="C233" s="7" t="n">
        <f aca="false">'종목 기본정보'!C$2*'일자별 주가'!C233</f>
        <v>143810000000</v>
      </c>
      <c r="D233" s="7" t="n">
        <f aca="false">'종목 기본정보'!D$2*'일자별 주가'!D233</f>
        <v>1059220000000</v>
      </c>
      <c r="E233" s="7" t="n">
        <f aca="false">'종목 기본정보'!E$2*'일자별 주가'!E233</f>
        <v>105166000000</v>
      </c>
      <c r="F233" s="7" t="n">
        <f aca="false">'종목 기본정보'!F$2*'일자별 주가'!F233</f>
        <v>2360272000000</v>
      </c>
      <c r="G233" s="7" t="n">
        <f aca="false">SUM(B233:F233)</f>
        <v>3870308000000</v>
      </c>
      <c r="H233" s="9" t="n">
        <f aca="false">G233*100/G$2</f>
        <v>203.700421052632</v>
      </c>
    </row>
    <row r="234" customFormat="false" ht="13.8" hidden="false" customHeight="false" outlineLevel="0" collapsed="false">
      <c r="A234" s="0" t="n">
        <v>233</v>
      </c>
      <c r="B234" s="7" t="n">
        <f aca="false">'종목 기본정보'!B$2*'일자별 주가'!B234</f>
        <v>197620000000</v>
      </c>
      <c r="C234" s="7" t="n">
        <f aca="false">'종목 기본정보'!C$2*'일자별 주가'!C234</f>
        <v>147910000000</v>
      </c>
      <c r="D234" s="7" t="n">
        <f aca="false">'종목 기본정보'!D$2*'일자별 주가'!D234</f>
        <v>1083580000000</v>
      </c>
      <c r="E234" s="7" t="n">
        <f aca="false">'종목 기본정보'!E$2*'일자별 주가'!E234</f>
        <v>103727000000</v>
      </c>
      <c r="F234" s="7" t="n">
        <f aca="false">'종목 기본정보'!F$2*'일자별 주가'!F234</f>
        <v>2397231000000</v>
      </c>
      <c r="G234" s="7" t="n">
        <f aca="false">SUM(B234:F234)</f>
        <v>3930068000000</v>
      </c>
      <c r="H234" s="9" t="n">
        <f aca="false">G234*100/G$2</f>
        <v>206.845684210526</v>
      </c>
    </row>
    <row r="235" customFormat="false" ht="13.8" hidden="false" customHeight="false" outlineLevel="0" collapsed="false">
      <c r="A235" s="0" t="n">
        <v>234</v>
      </c>
      <c r="B235" s="7" t="n">
        <f aca="false">'종목 기본정보'!B$2*'일자별 주가'!B235</f>
        <v>198520000000</v>
      </c>
      <c r="C235" s="7" t="n">
        <f aca="false">'종목 기본정보'!C$2*'일자별 주가'!C235</f>
        <v>144160000000</v>
      </c>
      <c r="D235" s="7" t="n">
        <f aca="false">'종목 기본정보'!D$2*'일자별 주가'!D235</f>
        <v>1063460000000</v>
      </c>
      <c r="E235" s="7" t="n">
        <f aca="false">'종목 기본정보'!E$2*'일자별 주가'!E235</f>
        <v>102124000000</v>
      </c>
      <c r="F235" s="7" t="n">
        <f aca="false">'종목 기본정보'!F$2*'일자별 주가'!F235</f>
        <v>2343064000000</v>
      </c>
      <c r="G235" s="7" t="n">
        <f aca="false">SUM(B235:F235)</f>
        <v>3851328000000</v>
      </c>
      <c r="H235" s="9" t="n">
        <f aca="false">G235*100/G$2</f>
        <v>202.701473684211</v>
      </c>
    </row>
    <row r="236" customFormat="false" ht="13.8" hidden="false" customHeight="false" outlineLevel="0" collapsed="false">
      <c r="A236" s="0" t="n">
        <v>235</v>
      </c>
      <c r="B236" s="7" t="n">
        <f aca="false">'종목 기본정보'!B$2*'일자별 주가'!B236</f>
        <v>193340000000</v>
      </c>
      <c r="C236" s="7" t="n">
        <f aca="false">'종목 기본정보'!C$2*'일자별 주가'!C236</f>
        <v>147190000000</v>
      </c>
      <c r="D236" s="7" t="n">
        <f aca="false">'종목 기본정보'!D$2*'일자별 주가'!D236</f>
        <v>1095020000000</v>
      </c>
      <c r="E236" s="7" t="n">
        <f aca="false">'종목 기본정보'!E$2*'일자별 주가'!E236</f>
        <v>102796000000</v>
      </c>
      <c r="F236" s="7" t="n">
        <f aca="false">'종목 기본정보'!F$2*'일자별 주가'!F236</f>
        <v>2292802000000</v>
      </c>
      <c r="G236" s="7" t="n">
        <f aca="false">SUM(B236:F236)</f>
        <v>3831148000000</v>
      </c>
      <c r="H236" s="9" t="n">
        <f aca="false">G236*100/G$2</f>
        <v>201.639368421053</v>
      </c>
    </row>
    <row r="237" customFormat="false" ht="13.8" hidden="false" customHeight="false" outlineLevel="0" collapsed="false">
      <c r="A237" s="0" t="n">
        <v>236</v>
      </c>
      <c r="B237" s="7" t="n">
        <f aca="false">'종목 기본정보'!B$2*'일자별 주가'!B237</f>
        <v>188660000000</v>
      </c>
      <c r="C237" s="7" t="n">
        <f aca="false">'종목 기본정보'!C$2*'일자별 주가'!C237</f>
        <v>146875000000</v>
      </c>
      <c r="D237" s="7" t="n">
        <f aca="false">'종목 기본정보'!D$2*'일자별 주가'!D237</f>
        <v>1095480000000</v>
      </c>
      <c r="E237" s="7" t="n">
        <f aca="false">'종목 기본정보'!E$2*'일자별 주가'!E237</f>
        <v>100501000000</v>
      </c>
      <c r="F237" s="7" t="n">
        <f aca="false">'종목 기본정보'!F$2*'일자별 주가'!F237</f>
        <v>2346435000000</v>
      </c>
      <c r="G237" s="7" t="n">
        <f aca="false">SUM(B237:F237)</f>
        <v>3877951000000</v>
      </c>
      <c r="H237" s="9" t="n">
        <f aca="false">G237*100/G$2</f>
        <v>204.102684210526</v>
      </c>
    </row>
    <row r="238" customFormat="false" ht="13.8" hidden="false" customHeight="false" outlineLevel="0" collapsed="false">
      <c r="A238" s="0" t="n">
        <v>237</v>
      </c>
      <c r="B238" s="7" t="n">
        <f aca="false">'종목 기본정보'!B$2*'일자별 주가'!B238</f>
        <v>192450000000</v>
      </c>
      <c r="C238" s="7" t="n">
        <f aca="false">'종목 기본정보'!C$2*'일자별 주가'!C238</f>
        <v>147035000000</v>
      </c>
      <c r="D238" s="7" t="n">
        <f aca="false">'종목 기본정보'!D$2*'일자별 주가'!D238</f>
        <v>1097280000000</v>
      </c>
      <c r="E238" s="7" t="n">
        <f aca="false">'종목 기본정보'!E$2*'일자별 주가'!E238</f>
        <v>99484000000</v>
      </c>
      <c r="F238" s="7" t="n">
        <f aca="false">'종목 기본정보'!F$2*'일자별 주가'!F238</f>
        <v>2331591000000</v>
      </c>
      <c r="G238" s="7" t="n">
        <f aca="false">SUM(B238:F238)</f>
        <v>3867840000000</v>
      </c>
      <c r="H238" s="9" t="n">
        <f aca="false">G238*100/G$2</f>
        <v>203.570526315789</v>
      </c>
    </row>
    <row r="239" customFormat="false" ht="13.8" hidden="false" customHeight="false" outlineLevel="0" collapsed="false">
      <c r="A239" s="0" t="n">
        <v>238</v>
      </c>
      <c r="B239" s="7" t="n">
        <f aca="false">'종목 기본정보'!B$2*'일자별 주가'!B239</f>
        <v>187460000000</v>
      </c>
      <c r="C239" s="7" t="n">
        <f aca="false">'종목 기본정보'!C$2*'일자별 주가'!C239</f>
        <v>145355000000</v>
      </c>
      <c r="D239" s="7" t="n">
        <f aca="false">'종목 기본정보'!D$2*'일자별 주가'!D239</f>
        <v>1084160000000</v>
      </c>
      <c r="E239" s="7" t="n">
        <f aca="false">'종목 기본정보'!E$2*'일자별 주가'!E239</f>
        <v>101419000000</v>
      </c>
      <c r="F239" s="7" t="n">
        <f aca="false">'종목 기본정보'!F$2*'일자별 주가'!F239</f>
        <v>2383699000000</v>
      </c>
      <c r="G239" s="7" t="n">
        <f aca="false">SUM(B239:F239)</f>
        <v>3902093000000</v>
      </c>
      <c r="H239" s="9" t="n">
        <f aca="false">G239*100/G$2</f>
        <v>205.373315789474</v>
      </c>
    </row>
    <row r="240" customFormat="false" ht="13.8" hidden="false" customHeight="false" outlineLevel="0" collapsed="false">
      <c r="A240" s="0" t="n">
        <v>239</v>
      </c>
      <c r="B240" s="7" t="n">
        <f aca="false">'종목 기본정보'!B$2*'일자별 주가'!B240</f>
        <v>182200000000</v>
      </c>
      <c r="C240" s="7" t="n">
        <f aca="false">'종목 기본정보'!C$2*'일자별 주가'!C240</f>
        <v>141525000000</v>
      </c>
      <c r="D240" s="7" t="n">
        <f aca="false">'종목 기본정보'!D$2*'일자별 주가'!D240</f>
        <v>1065840000000</v>
      </c>
      <c r="E240" s="7" t="n">
        <f aca="false">'종목 기본정보'!E$2*'일자별 주가'!E240</f>
        <v>100396000000</v>
      </c>
      <c r="F240" s="7" t="n">
        <f aca="false">'종목 기본정보'!F$2*'일자별 주가'!F240</f>
        <v>2340429000000</v>
      </c>
      <c r="G240" s="7" t="n">
        <f aca="false">SUM(B240:F240)</f>
        <v>3830390000000</v>
      </c>
      <c r="H240" s="9" t="n">
        <f aca="false">G240*100/G$2</f>
        <v>201.599473684211</v>
      </c>
    </row>
    <row r="241" customFormat="false" ht="13.8" hidden="false" customHeight="false" outlineLevel="0" collapsed="false">
      <c r="A241" s="0" t="n">
        <v>240</v>
      </c>
      <c r="B241" s="7" t="n">
        <f aca="false">'종목 기본정보'!B$2*'일자별 주가'!B241</f>
        <v>183540000000</v>
      </c>
      <c r="C241" s="7" t="n">
        <f aca="false">'종목 기본정보'!C$2*'일자별 주가'!C241</f>
        <v>144100000000</v>
      </c>
      <c r="D241" s="7" t="n">
        <f aca="false">'종목 기본정보'!D$2*'일자별 주가'!D241</f>
        <v>1087040000000</v>
      </c>
      <c r="E241" s="7" t="n">
        <f aca="false">'종목 기본정보'!E$2*'일자별 주가'!E241</f>
        <v>99346000000</v>
      </c>
      <c r="F241" s="7" t="n">
        <f aca="false">'종목 기본정보'!F$2*'일자별 주가'!F241</f>
        <v>2326337000000</v>
      </c>
      <c r="G241" s="7" t="n">
        <f aca="false">SUM(B241:F241)</f>
        <v>3840363000000</v>
      </c>
      <c r="H241" s="9" t="n">
        <f aca="false">G241*100/G$2</f>
        <v>202.124368421053</v>
      </c>
    </row>
    <row r="242" customFormat="false" ht="13.8" hidden="false" customHeight="false" outlineLevel="0" collapsed="false">
      <c r="A242" s="0" t="n">
        <v>241</v>
      </c>
      <c r="B242" s="7" t="n">
        <f aca="false">'종목 기본정보'!B$2*'일자별 주가'!B242</f>
        <v>182620000000</v>
      </c>
      <c r="C242" s="7" t="n">
        <f aca="false">'종목 기본정보'!C$2*'일자별 주가'!C242</f>
        <v>140505000000</v>
      </c>
      <c r="D242" s="7" t="n">
        <f aca="false">'종목 기본정보'!D$2*'일자별 주가'!D242</f>
        <v>1101640000000</v>
      </c>
      <c r="E242" s="7" t="n">
        <f aca="false">'종목 기본정보'!E$2*'일자별 주가'!E242</f>
        <v>102068000000</v>
      </c>
      <c r="F242" s="7" t="n">
        <f aca="false">'종목 기본정보'!F$2*'일자별 주가'!F242</f>
        <v>2372562000000</v>
      </c>
      <c r="G242" s="7" t="n">
        <f aca="false">SUM(B242:F242)</f>
        <v>3899395000000</v>
      </c>
      <c r="H242" s="9" t="n">
        <f aca="false">G242*100/G$2</f>
        <v>205.231315789474</v>
      </c>
    </row>
    <row r="243" customFormat="false" ht="13.8" hidden="false" customHeight="false" outlineLevel="0" collapsed="false">
      <c r="A243" s="0" t="n">
        <v>242</v>
      </c>
      <c r="B243" s="7" t="n">
        <f aca="false">'종목 기본정보'!B$2*'일자별 주가'!B243</f>
        <v>188440000000</v>
      </c>
      <c r="C243" s="7" t="n">
        <f aca="false">'종목 기본정보'!C$2*'일자별 주가'!C243</f>
        <v>144925000000</v>
      </c>
      <c r="D243" s="7" t="n">
        <f aca="false">'종목 기본정보'!D$2*'일자별 주가'!D243</f>
        <v>1136520000000</v>
      </c>
      <c r="E243" s="7" t="n">
        <f aca="false">'종목 기본정보'!E$2*'일자별 주가'!E243</f>
        <v>104813000000</v>
      </c>
      <c r="F243" s="7" t="n">
        <f aca="false">'종목 기본정보'!F$2*'일자별 주가'!F243</f>
        <v>2312419000000</v>
      </c>
      <c r="G243" s="7" t="n">
        <f aca="false">SUM(B243:F243)</f>
        <v>3887117000000</v>
      </c>
      <c r="H243" s="9" t="n">
        <f aca="false">G243*100/G$2</f>
        <v>204.585105263158</v>
      </c>
    </row>
    <row r="244" customFormat="false" ht="13.8" hidden="false" customHeight="false" outlineLevel="0" collapsed="false">
      <c r="A244" s="0" t="n">
        <v>243</v>
      </c>
      <c r="B244" s="7" t="n">
        <f aca="false">'종목 기본정보'!B$2*'일자별 주가'!B244</f>
        <v>193460000000</v>
      </c>
      <c r="C244" s="7" t="n">
        <f aca="false">'종목 기본정보'!C$2*'일자별 주가'!C244</f>
        <v>147735000000</v>
      </c>
      <c r="D244" s="7" t="n">
        <f aca="false">'종목 기본정보'!D$2*'일자별 주가'!D244</f>
        <v>1109880000000</v>
      </c>
      <c r="E244" s="7" t="n">
        <f aca="false">'종목 기본정보'!E$2*'일자별 주가'!E244</f>
        <v>101747000000</v>
      </c>
      <c r="F244" s="7" t="n">
        <f aca="false">'종목 기본정보'!F$2*'일자별 주가'!F244</f>
        <v>2369366000000</v>
      </c>
      <c r="G244" s="7" t="n">
        <f aca="false">SUM(B244:F244)</f>
        <v>3922188000000</v>
      </c>
      <c r="H244" s="9" t="n">
        <f aca="false">G244*100/G$2</f>
        <v>206.430947368421</v>
      </c>
    </row>
    <row r="245" customFormat="false" ht="13.8" hidden="false" customHeight="false" outlineLevel="0" collapsed="false">
      <c r="A245" s="0" t="n">
        <v>244</v>
      </c>
      <c r="B245" s="7" t="n">
        <f aca="false">'종목 기본정보'!B$2*'일자별 주가'!B245</f>
        <v>191320000000</v>
      </c>
      <c r="C245" s="7" t="n">
        <f aca="false">'종목 기본정보'!C$2*'일자별 주가'!C245</f>
        <v>148330000000</v>
      </c>
      <c r="D245" s="7" t="n">
        <f aca="false">'종목 기본정보'!D$2*'일자별 주가'!D245</f>
        <v>1111660000000</v>
      </c>
      <c r="E245" s="7" t="n">
        <f aca="false">'종목 기본정보'!E$2*'일자별 주가'!E245</f>
        <v>99218000000</v>
      </c>
      <c r="F245" s="7" t="n">
        <f aca="false">'종목 기본정보'!F$2*'일자별 주가'!F245</f>
        <v>2397089000000</v>
      </c>
      <c r="G245" s="7" t="n">
        <f aca="false">SUM(B245:F245)</f>
        <v>3947617000000</v>
      </c>
      <c r="H245" s="9" t="n">
        <f aca="false">G245*100/G$2</f>
        <v>207.769315789474</v>
      </c>
    </row>
    <row r="246" customFormat="false" ht="13.8" hidden="false" customHeight="false" outlineLevel="0" collapsed="false">
      <c r="A246" s="0" t="n">
        <v>245</v>
      </c>
      <c r="B246" s="7" t="n">
        <f aca="false">'종목 기본정보'!B$2*'일자별 주가'!B246</f>
        <v>196050000000</v>
      </c>
      <c r="C246" s="7" t="n">
        <f aca="false">'종목 기본정보'!C$2*'일자별 주가'!C246</f>
        <v>149040000000</v>
      </c>
      <c r="D246" s="7" t="n">
        <f aca="false">'종목 기본정보'!D$2*'일자별 주가'!D246</f>
        <v>1094100000000</v>
      </c>
      <c r="E246" s="7" t="n">
        <f aca="false">'종목 기본정보'!E$2*'일자별 주가'!E246</f>
        <v>97485000000</v>
      </c>
      <c r="F246" s="7" t="n">
        <f aca="false">'종목 기본정보'!F$2*'일자별 주가'!F246</f>
        <v>2360066000000</v>
      </c>
      <c r="G246" s="7" t="n">
        <f aca="false">SUM(B246:F246)</f>
        <v>3896741000000</v>
      </c>
      <c r="H246" s="9" t="n">
        <f aca="false">G246*100/G$2</f>
        <v>205.091631578947</v>
      </c>
    </row>
    <row r="247" customFormat="false" ht="13.8" hidden="false" customHeight="false" outlineLevel="0" collapsed="false">
      <c r="A247" s="0" t="n">
        <v>246</v>
      </c>
      <c r="B247" s="7" t="n">
        <f aca="false">'종목 기본정보'!B$2*'일자별 주가'!B247</f>
        <v>200410000000</v>
      </c>
      <c r="C247" s="7" t="n">
        <f aca="false">'종목 기본정보'!C$2*'일자별 주가'!C247</f>
        <v>148500000000</v>
      </c>
      <c r="D247" s="7" t="n">
        <f aca="false">'종목 기본정보'!D$2*'일자별 주가'!D247</f>
        <v>1092620000000</v>
      </c>
      <c r="E247" s="7" t="n">
        <f aca="false">'종목 기본정보'!E$2*'일자별 주가'!E247</f>
        <v>96999000000</v>
      </c>
      <c r="F247" s="7" t="n">
        <f aca="false">'종목 기본정보'!F$2*'일자별 주가'!F247</f>
        <v>2300059000000</v>
      </c>
      <c r="G247" s="7" t="n">
        <f aca="false">SUM(B247:F247)</f>
        <v>3838588000000</v>
      </c>
      <c r="H247" s="9" t="n">
        <f aca="false">G247*100/G$2</f>
        <v>202.030947368421</v>
      </c>
    </row>
    <row r="248" customFormat="false" ht="13.8" hidden="false" customHeight="false" outlineLevel="0" collapsed="false">
      <c r="A248" s="0" t="n">
        <v>247</v>
      </c>
      <c r="B248" s="7" t="n">
        <f aca="false">'종목 기본정보'!B$2*'일자별 주가'!B248</f>
        <v>194980000000</v>
      </c>
      <c r="C248" s="7" t="n">
        <f aca="false">'종목 기본정보'!C$2*'일자별 주가'!C248</f>
        <v>152040000000</v>
      </c>
      <c r="D248" s="7" t="n">
        <f aca="false">'종목 기본정보'!D$2*'일자별 주가'!D248</f>
        <v>1067680000000</v>
      </c>
      <c r="E248" s="7" t="n">
        <f aca="false">'종목 기본정보'!E$2*'일자별 주가'!E248</f>
        <v>95550000000</v>
      </c>
      <c r="F248" s="7" t="n">
        <f aca="false">'종목 기본정보'!F$2*'일자별 주가'!F248</f>
        <v>2263712000000</v>
      </c>
      <c r="G248" s="7" t="n">
        <f aca="false">SUM(B248:F248)</f>
        <v>3773962000000</v>
      </c>
      <c r="H248" s="9" t="n">
        <f aca="false">G248*100/G$2</f>
        <v>198.629578947368</v>
      </c>
    </row>
    <row r="249" customFormat="false" ht="13.8" hidden="false" customHeight="false" outlineLevel="0" collapsed="false">
      <c r="A249" s="0" t="n">
        <v>248</v>
      </c>
      <c r="B249" s="7" t="n">
        <f aca="false">'종목 기본정보'!B$2*'일자별 주가'!B249</f>
        <v>192280000000</v>
      </c>
      <c r="C249" s="7" t="n">
        <f aca="false">'종목 기본정보'!C$2*'일자별 주가'!C249</f>
        <v>151070000000</v>
      </c>
      <c r="D249" s="7" t="n">
        <f aca="false">'종목 기본정보'!D$2*'일자별 주가'!D249</f>
        <v>1082000000000</v>
      </c>
      <c r="E249" s="7" t="n">
        <f aca="false">'종목 기본정보'!E$2*'일자별 주가'!E249</f>
        <v>93384000000</v>
      </c>
      <c r="F249" s="7" t="n">
        <f aca="false">'종목 기본정보'!F$2*'일자별 주가'!F249</f>
        <v>2272891000000</v>
      </c>
      <c r="G249" s="7" t="n">
        <f aca="false">SUM(B249:F249)</f>
        <v>3791625000000</v>
      </c>
      <c r="H249" s="9" t="n">
        <f aca="false">G249*100/G$2</f>
        <v>199.559210526316</v>
      </c>
    </row>
    <row r="250" customFormat="false" ht="13.8" hidden="false" customHeight="false" outlineLevel="0" collapsed="false">
      <c r="A250" s="0" t="n">
        <v>249</v>
      </c>
      <c r="B250" s="7" t="n">
        <f aca="false">'종목 기본정보'!B$2*'일자별 주가'!B250</f>
        <v>198430000000</v>
      </c>
      <c r="C250" s="7" t="n">
        <f aca="false">'종목 기본정보'!C$2*'일자별 주가'!C250</f>
        <v>151400000000</v>
      </c>
      <c r="D250" s="7" t="n">
        <f aca="false">'종목 기본정보'!D$2*'일자별 주가'!D250</f>
        <v>1097760000000</v>
      </c>
      <c r="E250" s="7" t="n">
        <f aca="false">'종목 기본정보'!E$2*'일자별 주가'!E250</f>
        <v>90661000000</v>
      </c>
      <c r="F250" s="7" t="n">
        <f aca="false">'종목 기본정보'!F$2*'일자별 주가'!F250</f>
        <v>2205824000000</v>
      </c>
      <c r="G250" s="7" t="n">
        <f aca="false">SUM(B250:F250)</f>
        <v>3744075000000</v>
      </c>
      <c r="H250" s="9" t="n">
        <f aca="false">G250*100/G$2</f>
        <v>197.056578947368</v>
      </c>
    </row>
    <row r="251" customFormat="false" ht="13.8" hidden="false" customHeight="false" outlineLevel="0" collapsed="false">
      <c r="A251" s="0" t="n">
        <v>250</v>
      </c>
      <c r="B251" s="7" t="n">
        <f aca="false">'종목 기본정보'!B$2*'일자별 주가'!B251</f>
        <v>199070000000</v>
      </c>
      <c r="C251" s="7" t="n">
        <f aca="false">'종목 기본정보'!C$2*'일자별 주가'!C251</f>
        <v>149350000000</v>
      </c>
      <c r="D251" s="7" t="n">
        <f aca="false">'종목 기본정보'!D$2*'일자별 주가'!D251</f>
        <v>1081920000000</v>
      </c>
      <c r="E251" s="7" t="n">
        <f aca="false">'종목 기본정보'!E$2*'일자별 주가'!E251</f>
        <v>88279000000</v>
      </c>
      <c r="F251" s="7" t="n">
        <f aca="false">'종목 기본정보'!F$2*'일자별 주가'!F251</f>
        <v>2203496000000</v>
      </c>
      <c r="G251" s="7" t="n">
        <f aca="false">SUM(B251:F251)</f>
        <v>3722115000000</v>
      </c>
      <c r="H251" s="9" t="n">
        <f aca="false">G251*100/G$2</f>
        <v>195.900789473684</v>
      </c>
    </row>
    <row r="252" customFormat="false" ht="13.8" hidden="false" customHeight="false" outlineLevel="0" collapsed="false">
      <c r="A252" s="0" t="n">
        <v>251</v>
      </c>
      <c r="B252" s="7" t="n">
        <f aca="false">'종목 기본정보'!B$2*'일자별 주가'!B252</f>
        <v>201300000000</v>
      </c>
      <c r="C252" s="7" t="n">
        <f aca="false">'종목 기본정보'!C$2*'일자별 주가'!C252</f>
        <v>146340000000</v>
      </c>
      <c r="D252" s="7" t="n">
        <f aca="false">'종목 기본정보'!D$2*'일자별 주가'!D252</f>
        <v>1113400000000</v>
      </c>
      <c r="E252" s="7" t="n">
        <f aca="false">'종목 기본정보'!E$2*'일자별 주가'!E252</f>
        <v>90663000000</v>
      </c>
      <c r="F252" s="7" t="n">
        <f aca="false">'종목 기본정보'!F$2*'일자별 주가'!F252</f>
        <v>2144910000000</v>
      </c>
      <c r="G252" s="7" t="n">
        <f aca="false">SUM(B252:F252)</f>
        <v>3696613000000</v>
      </c>
      <c r="H252" s="9" t="n">
        <f aca="false">G252*100/G$2</f>
        <v>194.558578947368</v>
      </c>
    </row>
    <row r="253" customFormat="false" ht="13.8" hidden="false" customHeight="false" outlineLevel="0" collapsed="false">
      <c r="A253" s="0" t="n">
        <v>252</v>
      </c>
      <c r="B253" s="7" t="n">
        <f aca="false">'종목 기본정보'!B$2*'일자별 주가'!B253</f>
        <v>205230000000</v>
      </c>
      <c r="C253" s="7" t="n">
        <f aca="false">'종목 기본정보'!C$2*'일자별 주가'!C253</f>
        <v>142920000000</v>
      </c>
      <c r="D253" s="7" t="n">
        <f aca="false">'종목 기본정보'!D$2*'일자별 주가'!D253</f>
        <v>1140480000000</v>
      </c>
      <c r="E253" s="7" t="n">
        <f aca="false">'종목 기본정보'!E$2*'일자별 주가'!E253</f>
        <v>88976000000</v>
      </c>
      <c r="F253" s="7" t="n">
        <f aca="false">'종목 기본정보'!F$2*'일자별 주가'!F253</f>
        <v>2094038000000</v>
      </c>
      <c r="G253" s="7" t="n">
        <f aca="false">SUM(B253:F253)</f>
        <v>3671644000000</v>
      </c>
      <c r="H253" s="9" t="n">
        <f aca="false">G253*100/G$2</f>
        <v>193.244421052632</v>
      </c>
    </row>
    <row r="254" customFormat="false" ht="13.8" hidden="false" customHeight="false" outlineLevel="0" collapsed="false">
      <c r="A254" s="0" t="n">
        <v>253</v>
      </c>
      <c r="B254" s="7" t="n">
        <f aca="false">'종목 기본정보'!B$2*'일자별 주가'!B254</f>
        <v>199780000000</v>
      </c>
      <c r="C254" s="7" t="n">
        <f aca="false">'종목 기본정보'!C$2*'일자별 주가'!C254</f>
        <v>147450000000</v>
      </c>
      <c r="D254" s="7" t="n">
        <f aca="false">'종목 기본정보'!D$2*'일자별 주가'!D254</f>
        <v>1154380000000</v>
      </c>
      <c r="E254" s="7" t="n">
        <f aca="false">'종목 기본정보'!E$2*'일자별 주가'!E254</f>
        <v>88390000000</v>
      </c>
      <c r="F254" s="7" t="n">
        <f aca="false">'종목 기본정보'!F$2*'일자별 주가'!F254</f>
        <v>2126527000000</v>
      </c>
      <c r="G254" s="7" t="n">
        <f aca="false">SUM(B254:F254)</f>
        <v>3716527000000</v>
      </c>
      <c r="H254" s="9" t="n">
        <f aca="false">G254*100/G$2</f>
        <v>195.606684210526</v>
      </c>
    </row>
    <row r="255" customFormat="false" ht="13.8" hidden="false" customHeight="false" outlineLevel="0" collapsed="false">
      <c r="A255" s="0" t="n">
        <v>254</v>
      </c>
      <c r="B255" s="7" t="n">
        <f aca="false">'종목 기본정보'!B$2*'일자별 주가'!B255</f>
        <v>198050000000</v>
      </c>
      <c r="C255" s="7" t="n">
        <f aca="false">'종목 기본정보'!C$2*'일자별 주가'!C255</f>
        <v>151725000000</v>
      </c>
      <c r="D255" s="7" t="n">
        <f aca="false">'종목 기본정보'!D$2*'일자별 주가'!D255</f>
        <v>1124120000000</v>
      </c>
      <c r="E255" s="7" t="n">
        <f aca="false">'종목 기본정보'!E$2*'일자별 주가'!E255</f>
        <v>87754000000</v>
      </c>
      <c r="F255" s="7" t="n">
        <f aca="false">'종목 기본정보'!F$2*'일자별 주가'!F255</f>
        <v>2101023000000</v>
      </c>
      <c r="G255" s="7" t="n">
        <f aca="false">SUM(B255:F255)</f>
        <v>3662672000000</v>
      </c>
      <c r="H255" s="9" t="n">
        <f aca="false">G255*100/G$2</f>
        <v>192.772210526316</v>
      </c>
    </row>
    <row r="256" customFormat="false" ht="13.8" hidden="false" customHeight="false" outlineLevel="0" collapsed="false">
      <c r="A256" s="0" t="n">
        <v>255</v>
      </c>
      <c r="B256" s="7" t="n">
        <f aca="false">'종목 기본정보'!B$2*'일자별 주가'!B256</f>
        <v>194710000000</v>
      </c>
      <c r="C256" s="7" t="n">
        <f aca="false">'종목 기본정보'!C$2*'일자별 주가'!C256</f>
        <v>152790000000</v>
      </c>
      <c r="D256" s="7" t="n">
        <f aca="false">'종목 기본정보'!D$2*'일자별 주가'!D256</f>
        <v>1102940000000</v>
      </c>
      <c r="E256" s="7" t="n">
        <f aca="false">'종목 기본정보'!E$2*'일자별 주가'!E256</f>
        <v>89460000000</v>
      </c>
      <c r="F256" s="7" t="n">
        <f aca="false">'종목 기본정보'!F$2*'일자별 주가'!F256</f>
        <v>2137955000000</v>
      </c>
      <c r="G256" s="7" t="n">
        <f aca="false">SUM(B256:F256)</f>
        <v>3677855000000</v>
      </c>
      <c r="H256" s="9" t="n">
        <f aca="false">G256*100/G$2</f>
        <v>193.571315789474</v>
      </c>
    </row>
    <row r="257" customFormat="false" ht="13.8" hidden="false" customHeight="false" outlineLevel="0" collapsed="false">
      <c r="A257" s="0" t="n">
        <v>256</v>
      </c>
      <c r="B257" s="7" t="n">
        <f aca="false">'종목 기본정보'!B$2*'일자별 주가'!B257</f>
        <v>196750000000</v>
      </c>
      <c r="C257" s="7" t="n">
        <f aca="false">'종목 기본정보'!C$2*'일자별 주가'!C257</f>
        <v>149110000000</v>
      </c>
      <c r="D257" s="7" t="n">
        <f aca="false">'종목 기본정보'!D$2*'일자별 주가'!D257</f>
        <v>1083320000000</v>
      </c>
      <c r="E257" s="7" t="n">
        <f aca="false">'종목 기본정보'!E$2*'일자별 주가'!E257</f>
        <v>90442000000</v>
      </c>
      <c r="F257" s="7" t="n">
        <f aca="false">'종목 기본정보'!F$2*'일자별 주가'!F257</f>
        <v>2190663000000</v>
      </c>
      <c r="G257" s="7" t="n">
        <f aca="false">SUM(B257:F257)</f>
        <v>3710285000000</v>
      </c>
      <c r="H257" s="9" t="n">
        <f aca="false">G257*100/G$2</f>
        <v>195.278157894737</v>
      </c>
    </row>
    <row r="258" customFormat="false" ht="13.8" hidden="false" customHeight="false" outlineLevel="0" collapsed="false">
      <c r="A258" s="0" t="n">
        <v>257</v>
      </c>
      <c r="B258" s="7" t="n">
        <f aca="false">'종목 기본정보'!B$2*'일자별 주가'!B258</f>
        <v>199010000000</v>
      </c>
      <c r="C258" s="7" t="n">
        <f aca="false">'종목 기본정보'!C$2*'일자별 주가'!C258</f>
        <v>151990000000</v>
      </c>
      <c r="D258" s="7" t="n">
        <f aca="false">'종목 기본정보'!D$2*'일자별 주가'!D258</f>
        <v>1101700000000</v>
      </c>
      <c r="E258" s="7" t="n">
        <f aca="false">'종목 기본정보'!E$2*'일자별 주가'!E258</f>
        <v>93192000000</v>
      </c>
      <c r="F258" s="7" t="n">
        <f aca="false">'종목 기본정보'!F$2*'일자별 주가'!F258</f>
        <v>2187954000000</v>
      </c>
      <c r="G258" s="7" t="n">
        <f aca="false">SUM(B258:F258)</f>
        <v>3733846000000</v>
      </c>
      <c r="H258" s="9" t="n">
        <f aca="false">G258*100/G$2</f>
        <v>196.518210526316</v>
      </c>
    </row>
    <row r="259" customFormat="false" ht="13.8" hidden="false" customHeight="false" outlineLevel="0" collapsed="false">
      <c r="A259" s="0" t="n">
        <v>258</v>
      </c>
      <c r="B259" s="7" t="n">
        <f aca="false">'종목 기본정보'!B$2*'일자별 주가'!B259</f>
        <v>198920000000</v>
      </c>
      <c r="C259" s="7" t="n">
        <f aca="false">'종목 기본정보'!C$2*'일자별 주가'!C259</f>
        <v>148110000000</v>
      </c>
      <c r="D259" s="7" t="n">
        <f aca="false">'종목 기본정보'!D$2*'일자별 주가'!D259</f>
        <v>1129160000000</v>
      </c>
      <c r="E259" s="7" t="n">
        <f aca="false">'종목 기본정보'!E$2*'일자별 주가'!E259</f>
        <v>95018000000</v>
      </c>
      <c r="F259" s="7" t="n">
        <f aca="false">'종목 기본정보'!F$2*'일자별 주가'!F259</f>
        <v>2179499000000</v>
      </c>
      <c r="G259" s="7" t="n">
        <f aca="false">SUM(B259:F259)</f>
        <v>3750707000000</v>
      </c>
      <c r="H259" s="9" t="n">
        <f aca="false">G259*100/G$2</f>
        <v>197.405631578947</v>
      </c>
    </row>
    <row r="260" customFormat="false" ht="13.8" hidden="false" customHeight="false" outlineLevel="0" collapsed="false">
      <c r="A260" s="0" t="n">
        <v>259</v>
      </c>
      <c r="B260" s="7" t="n">
        <f aca="false">'종목 기본정보'!B$2*'일자별 주가'!B260</f>
        <v>201530000000</v>
      </c>
      <c r="C260" s="7" t="n">
        <f aca="false">'종목 기본정보'!C$2*'일자별 주가'!C260</f>
        <v>151320000000</v>
      </c>
      <c r="D260" s="7" t="n">
        <f aca="false">'종목 기본정보'!D$2*'일자별 주가'!D260</f>
        <v>1106960000000</v>
      </c>
      <c r="E260" s="7" t="n">
        <f aca="false">'종목 기본정보'!E$2*'일자별 주가'!E260</f>
        <v>92302000000</v>
      </c>
      <c r="F260" s="7" t="n">
        <f aca="false">'종목 기본정보'!F$2*'일자별 주가'!F260</f>
        <v>2126144000000</v>
      </c>
      <c r="G260" s="7" t="n">
        <f aca="false">SUM(B260:F260)</f>
        <v>3678256000000</v>
      </c>
      <c r="H260" s="9" t="n">
        <f aca="false">G260*100/G$2</f>
        <v>193.592421052632</v>
      </c>
    </row>
    <row r="261" customFormat="false" ht="13.8" hidden="false" customHeight="false" outlineLevel="0" collapsed="false">
      <c r="A261" s="0" t="n">
        <v>260</v>
      </c>
      <c r="B261" s="7" t="n">
        <f aca="false">'종목 기본정보'!B$2*'일자별 주가'!B261</f>
        <v>197490000000</v>
      </c>
      <c r="C261" s="7" t="n">
        <f aca="false">'종목 기본정보'!C$2*'일자별 주가'!C261</f>
        <v>148905000000</v>
      </c>
      <c r="D261" s="7" t="n">
        <f aca="false">'종목 기본정보'!D$2*'일자별 주가'!D261</f>
        <v>1120060000000</v>
      </c>
      <c r="E261" s="7" t="n">
        <f aca="false">'종목 기본정보'!E$2*'일자별 주가'!E261</f>
        <v>94963000000</v>
      </c>
      <c r="F261" s="7" t="n">
        <f aca="false">'종목 기본정보'!F$2*'일자별 주가'!F261</f>
        <v>2105873000000</v>
      </c>
      <c r="G261" s="7" t="n">
        <f aca="false">SUM(B261:F261)</f>
        <v>3667291000000</v>
      </c>
      <c r="H261" s="9" t="n">
        <f aca="false">G261*100/G$2</f>
        <v>193.015315789474</v>
      </c>
    </row>
    <row r="262" customFormat="false" ht="13.8" hidden="false" customHeight="false" outlineLevel="0" collapsed="false">
      <c r="A262" s="0" t="n">
        <v>261</v>
      </c>
      <c r="B262" s="7" t="n">
        <f aca="false">'종목 기본정보'!B$2*'일자별 주가'!B262</f>
        <v>203870000000</v>
      </c>
      <c r="C262" s="7" t="n">
        <f aca="false">'종목 기본정보'!C$2*'일자별 주가'!C262</f>
        <v>151240000000</v>
      </c>
      <c r="D262" s="7" t="n">
        <f aca="false">'종목 기본정보'!D$2*'일자별 주가'!D262</f>
        <v>1096220000000</v>
      </c>
      <c r="E262" s="7" t="n">
        <f aca="false">'종목 기본정보'!E$2*'일자별 주가'!E262</f>
        <v>96115000000</v>
      </c>
      <c r="F262" s="7" t="n">
        <f aca="false">'종목 기본정보'!F$2*'일자별 주가'!F262</f>
        <v>2157423000000</v>
      </c>
      <c r="G262" s="7" t="n">
        <f aca="false">SUM(B262:F262)</f>
        <v>3704868000000</v>
      </c>
      <c r="H262" s="9" t="n">
        <f aca="false">G262*100/G$2</f>
        <v>194.993052631579</v>
      </c>
    </row>
    <row r="263" customFormat="false" ht="13.8" hidden="false" customHeight="false" outlineLevel="0" collapsed="false">
      <c r="A263" s="0" t="n">
        <v>262</v>
      </c>
      <c r="B263" s="7" t="n">
        <f aca="false">'종목 기본정보'!B$2*'일자별 주가'!B263</f>
        <v>198450000000</v>
      </c>
      <c r="C263" s="7" t="n">
        <f aca="false">'종목 기본정보'!C$2*'일자별 주가'!C263</f>
        <v>155625000000</v>
      </c>
      <c r="D263" s="7" t="n">
        <f aca="false">'종목 기본정보'!D$2*'일자별 주가'!D263</f>
        <v>1115280000000</v>
      </c>
      <c r="E263" s="7" t="n">
        <f aca="false">'종목 기본정보'!E$2*'일자별 주가'!E263</f>
        <v>94303000000</v>
      </c>
      <c r="F263" s="7" t="n">
        <f aca="false">'종목 기본정보'!F$2*'일자별 주가'!F263</f>
        <v>2170317000000</v>
      </c>
      <c r="G263" s="7" t="n">
        <f aca="false">SUM(B263:F263)</f>
        <v>3733975000000</v>
      </c>
      <c r="H263" s="9" t="n">
        <f aca="false">G263*100/G$2</f>
        <v>196.525</v>
      </c>
    </row>
    <row r="264" customFormat="false" ht="13.8" hidden="false" customHeight="false" outlineLevel="0" collapsed="false">
      <c r="A264" s="0" t="n">
        <v>263</v>
      </c>
      <c r="B264" s="7" t="n">
        <f aca="false">'종목 기본정보'!B$2*'일자별 주가'!B264</f>
        <v>196840000000</v>
      </c>
      <c r="C264" s="7" t="n">
        <f aca="false">'종목 기본정보'!C$2*'일자별 주가'!C264</f>
        <v>158180000000</v>
      </c>
      <c r="D264" s="7" t="n">
        <f aca="false">'종목 기본정보'!D$2*'일자별 주가'!D264</f>
        <v>1131420000000</v>
      </c>
      <c r="E264" s="7" t="n">
        <f aca="false">'종목 기본정보'!E$2*'일자별 주가'!E264</f>
        <v>96962000000</v>
      </c>
      <c r="F264" s="7" t="n">
        <f aca="false">'종목 기본정보'!F$2*'일자별 주가'!F264</f>
        <v>2127952000000</v>
      </c>
      <c r="G264" s="7" t="n">
        <f aca="false">SUM(B264:F264)</f>
        <v>3711354000000</v>
      </c>
      <c r="H264" s="9" t="n">
        <f aca="false">G264*100/G$2</f>
        <v>195.334421052632</v>
      </c>
    </row>
    <row r="265" customFormat="false" ht="13.8" hidden="false" customHeight="false" outlineLevel="0" collapsed="false">
      <c r="A265" s="0" t="n">
        <v>264</v>
      </c>
      <c r="B265" s="7" t="n">
        <f aca="false">'종목 기본정보'!B$2*'일자별 주가'!B265</f>
        <v>202790000000</v>
      </c>
      <c r="C265" s="7" t="n">
        <f aca="false">'종목 기본정보'!C$2*'일자별 주가'!C265</f>
        <v>155765000000</v>
      </c>
      <c r="D265" s="7" t="n">
        <f aca="false">'종목 기본정보'!D$2*'일자별 주가'!D265</f>
        <v>1124500000000</v>
      </c>
      <c r="E265" s="7" t="n">
        <f aca="false">'종목 기본정보'!E$2*'일자별 주가'!E265</f>
        <v>98628000000</v>
      </c>
      <c r="F265" s="7" t="n">
        <f aca="false">'종목 기본정보'!F$2*'일자별 주가'!F265</f>
        <v>2120042000000</v>
      </c>
      <c r="G265" s="7" t="n">
        <f aca="false">SUM(B265:F265)</f>
        <v>3701725000000</v>
      </c>
      <c r="H265" s="9" t="n">
        <f aca="false">G265*100/G$2</f>
        <v>194.827631578947</v>
      </c>
    </row>
    <row r="266" customFormat="false" ht="13.8" hidden="false" customHeight="false" outlineLevel="0" collapsed="false">
      <c r="A266" s="0" t="n">
        <v>265</v>
      </c>
      <c r="B266" s="7" t="n">
        <f aca="false">'종목 기본정보'!B$2*'일자별 주가'!B266</f>
        <v>199410000000</v>
      </c>
      <c r="C266" s="7" t="n">
        <f aca="false">'종목 기본정보'!C$2*'일자별 주가'!C266</f>
        <v>159980000000</v>
      </c>
      <c r="D266" s="7" t="n">
        <f aca="false">'종목 기본정보'!D$2*'일자별 주가'!D266</f>
        <v>1123820000000</v>
      </c>
      <c r="E266" s="7" t="n">
        <f aca="false">'종목 기본정보'!E$2*'일자별 주가'!E266</f>
        <v>95821000000</v>
      </c>
      <c r="F266" s="7" t="n">
        <f aca="false">'종목 기본정보'!F$2*'일자별 주가'!F266</f>
        <v>2109099000000</v>
      </c>
      <c r="G266" s="7" t="n">
        <f aca="false">SUM(B266:F266)</f>
        <v>3688130000000</v>
      </c>
      <c r="H266" s="9" t="n">
        <f aca="false">G266*100/G$2</f>
        <v>194.112105263158</v>
      </c>
    </row>
    <row r="267" customFormat="false" ht="13.8" hidden="false" customHeight="false" outlineLevel="0" collapsed="false">
      <c r="A267" s="0" t="n">
        <v>266</v>
      </c>
      <c r="B267" s="7" t="n">
        <f aca="false">'종목 기본정보'!B$2*'일자별 주가'!B267</f>
        <v>196860000000</v>
      </c>
      <c r="C267" s="7" t="n">
        <f aca="false">'종목 기본정보'!C$2*'일자별 주가'!C267</f>
        <v>160660000000</v>
      </c>
      <c r="D267" s="7" t="n">
        <f aca="false">'종목 기본정보'!D$2*'일자별 주가'!D267</f>
        <v>1144820000000</v>
      </c>
      <c r="E267" s="7" t="n">
        <f aca="false">'종목 기본정보'!E$2*'일자별 주가'!E267</f>
        <v>94539000000</v>
      </c>
      <c r="F267" s="7" t="n">
        <f aca="false">'종목 기본정보'!F$2*'일자별 주가'!F267</f>
        <v>2092022000000</v>
      </c>
      <c r="G267" s="7" t="n">
        <f aca="false">SUM(B267:F267)</f>
        <v>3688901000000</v>
      </c>
      <c r="H267" s="9" t="n">
        <f aca="false">G267*100/G$2</f>
        <v>194.152684210526</v>
      </c>
    </row>
    <row r="268" customFormat="false" ht="13.8" hidden="false" customHeight="false" outlineLevel="0" collapsed="false">
      <c r="A268" s="0" t="n">
        <v>267</v>
      </c>
      <c r="B268" s="7" t="n">
        <f aca="false">'종목 기본정보'!B$2*'일자별 주가'!B268</f>
        <v>195640000000</v>
      </c>
      <c r="C268" s="7" t="n">
        <f aca="false">'종목 기본정보'!C$2*'일자별 주가'!C268</f>
        <v>162965000000</v>
      </c>
      <c r="D268" s="7" t="n">
        <f aca="false">'종목 기본정보'!D$2*'일자별 주가'!D268</f>
        <v>1123560000000</v>
      </c>
      <c r="E268" s="7" t="n">
        <f aca="false">'종목 기본정보'!E$2*'일자별 주가'!E268</f>
        <v>91887000000</v>
      </c>
      <c r="F268" s="7" t="n">
        <f aca="false">'종목 기본정보'!F$2*'일자별 주가'!F268</f>
        <v>2150661000000</v>
      </c>
      <c r="G268" s="7" t="n">
        <f aca="false">SUM(B268:F268)</f>
        <v>3724713000000</v>
      </c>
      <c r="H268" s="9" t="n">
        <f aca="false">G268*100/G$2</f>
        <v>196.037526315789</v>
      </c>
    </row>
    <row r="269" customFormat="false" ht="13.8" hidden="false" customHeight="false" outlineLevel="0" collapsed="false">
      <c r="A269" s="0" t="n">
        <v>268</v>
      </c>
      <c r="B269" s="7" t="n">
        <f aca="false">'종목 기본정보'!B$2*'일자별 주가'!B269</f>
        <v>193540000000</v>
      </c>
      <c r="C269" s="7" t="n">
        <f aca="false">'종목 기본정보'!C$2*'일자별 주가'!C269</f>
        <v>167875000000</v>
      </c>
      <c r="D269" s="7" t="n">
        <f aca="false">'종목 기본정보'!D$2*'일자별 주가'!D269</f>
        <v>1145620000000</v>
      </c>
      <c r="E269" s="7" t="n">
        <f aca="false">'종목 기본정보'!E$2*'일자별 주가'!E269</f>
        <v>90241000000</v>
      </c>
      <c r="F269" s="7" t="n">
        <f aca="false">'종목 기본정보'!F$2*'일자별 주가'!F269</f>
        <v>2219231000000</v>
      </c>
      <c r="G269" s="7" t="n">
        <f aca="false">SUM(B269:F269)</f>
        <v>3816507000000</v>
      </c>
      <c r="H269" s="9" t="n">
        <f aca="false">G269*100/G$2</f>
        <v>200.868789473684</v>
      </c>
    </row>
    <row r="270" customFormat="false" ht="13.8" hidden="false" customHeight="false" outlineLevel="0" collapsed="false">
      <c r="A270" s="0" t="n">
        <v>269</v>
      </c>
      <c r="B270" s="7" t="n">
        <f aca="false">'종목 기본정보'!B$2*'일자별 주가'!B270</f>
        <v>198500000000</v>
      </c>
      <c r="C270" s="7" t="n">
        <f aca="false">'종목 기본정보'!C$2*'일자별 주가'!C270</f>
        <v>169615000000</v>
      </c>
      <c r="D270" s="7" t="n">
        <f aca="false">'종목 기본정보'!D$2*'일자별 주가'!D270</f>
        <v>1181440000000</v>
      </c>
      <c r="E270" s="7" t="n">
        <f aca="false">'종목 기본정보'!E$2*'일자별 주가'!E270</f>
        <v>90051000000</v>
      </c>
      <c r="F270" s="7" t="n">
        <f aca="false">'종목 기본정보'!F$2*'일자별 주가'!F270</f>
        <v>2230276000000</v>
      </c>
      <c r="G270" s="7" t="n">
        <f aca="false">SUM(B270:F270)</f>
        <v>3869882000000</v>
      </c>
      <c r="H270" s="9" t="n">
        <f aca="false">G270*100/G$2</f>
        <v>203.678</v>
      </c>
    </row>
    <row r="271" customFormat="false" ht="13.8" hidden="false" customHeight="false" outlineLevel="0" collapsed="false">
      <c r="A271" s="0" t="n">
        <v>270</v>
      </c>
      <c r="B271" s="7" t="n">
        <f aca="false">'종목 기본정보'!B$2*'일자별 주가'!B271</f>
        <v>194740000000</v>
      </c>
      <c r="C271" s="7" t="n">
        <f aca="false">'종목 기본정보'!C$2*'일자별 주가'!C271</f>
        <v>168370000000</v>
      </c>
      <c r="D271" s="7" t="n">
        <f aca="false">'종목 기본정보'!D$2*'일자별 주가'!D271</f>
        <v>1175720000000</v>
      </c>
      <c r="E271" s="7" t="n">
        <f aca="false">'종목 기본정보'!E$2*'일자별 주가'!E271</f>
        <v>88991000000</v>
      </c>
      <c r="F271" s="7" t="n">
        <f aca="false">'종목 기본정보'!F$2*'일자별 주가'!F271</f>
        <v>2189030000000</v>
      </c>
      <c r="G271" s="7" t="n">
        <f aca="false">SUM(B271:F271)</f>
        <v>3816851000000</v>
      </c>
      <c r="H271" s="9" t="n">
        <f aca="false">G271*100/G$2</f>
        <v>200.886894736842</v>
      </c>
    </row>
    <row r="272" customFormat="false" ht="13.8" hidden="false" customHeight="false" outlineLevel="0" collapsed="false">
      <c r="A272" s="0" t="n">
        <v>271</v>
      </c>
      <c r="B272" s="7" t="n">
        <f aca="false">'종목 기본정보'!B$2*'일자별 주가'!B272</f>
        <v>198270000000</v>
      </c>
      <c r="C272" s="7" t="n">
        <f aca="false">'종목 기본정보'!C$2*'일자별 주가'!C272</f>
        <v>169890000000</v>
      </c>
      <c r="D272" s="7" t="n">
        <f aca="false">'종목 기본정보'!D$2*'일자별 주가'!D272</f>
        <v>1145820000000</v>
      </c>
      <c r="E272" s="7" t="n">
        <f aca="false">'종목 기본정보'!E$2*'일자별 주가'!E272</f>
        <v>88149000000</v>
      </c>
      <c r="F272" s="7" t="n">
        <f aca="false">'종목 기본정보'!F$2*'일자별 주가'!F272</f>
        <v>2126035000000</v>
      </c>
      <c r="G272" s="7" t="n">
        <f aca="false">SUM(B272:F272)</f>
        <v>3728164000000</v>
      </c>
      <c r="H272" s="9" t="n">
        <f aca="false">G272*100/G$2</f>
        <v>196.219157894737</v>
      </c>
    </row>
    <row r="273" customFormat="false" ht="13.8" hidden="false" customHeight="false" outlineLevel="0" collapsed="false">
      <c r="A273" s="0" t="n">
        <v>272</v>
      </c>
      <c r="B273" s="7" t="n">
        <f aca="false">'종목 기본정보'!B$2*'일자별 주가'!B273</f>
        <v>200280000000</v>
      </c>
      <c r="C273" s="7" t="n">
        <f aca="false">'종목 기본정보'!C$2*'일자별 주가'!C273</f>
        <v>166105000000</v>
      </c>
      <c r="D273" s="7" t="n">
        <f aca="false">'종목 기본정보'!D$2*'일자별 주가'!D273</f>
        <v>1161740000000</v>
      </c>
      <c r="E273" s="7" t="n">
        <f aca="false">'종목 기본정보'!E$2*'일자별 주가'!E273</f>
        <v>87735000000</v>
      </c>
      <c r="F273" s="7" t="n">
        <f aca="false">'종목 기본정보'!F$2*'일자별 주가'!F273</f>
        <v>2079741000000</v>
      </c>
      <c r="G273" s="7" t="n">
        <f aca="false">SUM(B273:F273)</f>
        <v>3695601000000</v>
      </c>
      <c r="H273" s="9" t="n">
        <f aca="false">G273*100/G$2</f>
        <v>194.505315789474</v>
      </c>
    </row>
    <row r="274" customFormat="false" ht="13.8" hidden="false" customHeight="false" outlineLevel="0" collapsed="false">
      <c r="A274" s="0" t="n">
        <v>273</v>
      </c>
      <c r="B274" s="7" t="n">
        <f aca="false">'종목 기본정보'!B$2*'일자별 주가'!B274</f>
        <v>203940000000</v>
      </c>
      <c r="C274" s="7" t="n">
        <f aca="false">'종목 기본정보'!C$2*'일자별 주가'!C274</f>
        <v>162555000000</v>
      </c>
      <c r="D274" s="7" t="n">
        <f aca="false">'종목 기본정보'!D$2*'일자별 주가'!D274</f>
        <v>1161420000000</v>
      </c>
      <c r="E274" s="7" t="n">
        <f aca="false">'종목 기본정보'!E$2*'일자별 주가'!E274</f>
        <v>87261000000</v>
      </c>
      <c r="F274" s="7" t="n">
        <f aca="false">'종목 기본정보'!F$2*'일자별 주가'!F274</f>
        <v>2038038000000</v>
      </c>
      <c r="G274" s="7" t="n">
        <f aca="false">SUM(B274:F274)</f>
        <v>3653214000000</v>
      </c>
      <c r="H274" s="9" t="n">
        <f aca="false">G274*100/G$2</f>
        <v>192.274421052632</v>
      </c>
    </row>
    <row r="275" customFormat="false" ht="13.8" hidden="false" customHeight="false" outlineLevel="0" collapsed="false">
      <c r="A275" s="0" t="n">
        <v>274</v>
      </c>
      <c r="B275" s="7" t="n">
        <f aca="false">'종목 기본정보'!B$2*'일자별 주가'!B275</f>
        <v>207920000000</v>
      </c>
      <c r="C275" s="7" t="n">
        <f aca="false">'종목 기본정보'!C$2*'일자별 주가'!C275</f>
        <v>160150000000</v>
      </c>
      <c r="D275" s="7" t="n">
        <f aca="false">'종목 기본정보'!D$2*'일자별 주가'!D275</f>
        <v>1155780000000</v>
      </c>
      <c r="E275" s="7" t="n">
        <f aca="false">'종목 기본정보'!E$2*'일자별 주가'!E275</f>
        <v>89724000000</v>
      </c>
      <c r="F275" s="7" t="n">
        <f aca="false">'종목 기본정보'!F$2*'일자별 주가'!F275</f>
        <v>1989735000000</v>
      </c>
      <c r="G275" s="7" t="n">
        <f aca="false">SUM(B275:F275)</f>
        <v>3603309000000</v>
      </c>
      <c r="H275" s="9" t="n">
        <f aca="false">G275*100/G$2</f>
        <v>189.647842105263</v>
      </c>
    </row>
    <row r="276" customFormat="false" ht="13.8" hidden="false" customHeight="false" outlineLevel="0" collapsed="false">
      <c r="A276" s="0" t="n">
        <v>275</v>
      </c>
      <c r="B276" s="7" t="n">
        <f aca="false">'종목 기본정보'!B$2*'일자별 주가'!B276</f>
        <v>210180000000</v>
      </c>
      <c r="C276" s="7" t="n">
        <f aca="false">'종목 기본정보'!C$2*'일자별 주가'!C276</f>
        <v>159150000000</v>
      </c>
      <c r="D276" s="7" t="n">
        <f aca="false">'종목 기본정보'!D$2*'일자별 주가'!D276</f>
        <v>1135540000000</v>
      </c>
      <c r="E276" s="7" t="n">
        <f aca="false">'종목 기본정보'!E$2*'일자별 주가'!E276</f>
        <v>91756000000</v>
      </c>
      <c r="F276" s="7" t="n">
        <f aca="false">'종목 기본정보'!F$2*'일자별 주가'!F276</f>
        <v>2051532000000</v>
      </c>
      <c r="G276" s="7" t="n">
        <f aca="false">SUM(B276:F276)</f>
        <v>3648158000000</v>
      </c>
      <c r="H276" s="9" t="n">
        <f aca="false">G276*100/G$2</f>
        <v>192.008315789474</v>
      </c>
    </row>
    <row r="277" customFormat="false" ht="13.8" hidden="false" customHeight="false" outlineLevel="0" collapsed="false">
      <c r="A277" s="0" t="n">
        <v>276</v>
      </c>
      <c r="B277" s="7" t="n">
        <f aca="false">'종목 기본정보'!B$2*'일자별 주가'!B277</f>
        <v>209610000000</v>
      </c>
      <c r="C277" s="7" t="n">
        <f aca="false">'종목 기본정보'!C$2*'일자별 주가'!C277</f>
        <v>154545000000</v>
      </c>
      <c r="D277" s="7" t="n">
        <f aca="false">'종목 기본정보'!D$2*'일자별 주가'!D277</f>
        <v>1167520000000</v>
      </c>
      <c r="E277" s="7" t="n">
        <f aca="false">'종목 기본정보'!E$2*'일자별 주가'!E277</f>
        <v>92344000000</v>
      </c>
      <c r="F277" s="7" t="n">
        <f aca="false">'종목 기본정보'!F$2*'일자별 주가'!F277</f>
        <v>2003560000000</v>
      </c>
      <c r="G277" s="7" t="n">
        <f aca="false">SUM(B277:F277)</f>
        <v>3627579000000</v>
      </c>
      <c r="H277" s="9" t="n">
        <f aca="false">G277*100/G$2</f>
        <v>190.925210526316</v>
      </c>
    </row>
    <row r="278" customFormat="false" ht="13.8" hidden="false" customHeight="false" outlineLevel="0" collapsed="false">
      <c r="A278" s="0" t="n">
        <v>277</v>
      </c>
      <c r="B278" s="7" t="n">
        <f aca="false">'종목 기본정보'!B$2*'일자별 주가'!B278</f>
        <v>213980000000</v>
      </c>
      <c r="C278" s="7" t="n">
        <f aca="false">'종목 기본정보'!C$2*'일자별 주가'!C278</f>
        <v>157800000000</v>
      </c>
      <c r="D278" s="7" t="n">
        <f aca="false">'종목 기본정보'!D$2*'일자별 주가'!D278</f>
        <v>1193660000000</v>
      </c>
      <c r="E278" s="7" t="n">
        <f aca="false">'종목 기본정보'!E$2*'일자별 주가'!E278</f>
        <v>94710000000</v>
      </c>
      <c r="F278" s="7" t="n">
        <f aca="false">'종목 기본정보'!F$2*'일자별 주가'!F278</f>
        <v>1976415000000</v>
      </c>
      <c r="G278" s="7" t="n">
        <f aca="false">SUM(B278:F278)</f>
        <v>3636565000000</v>
      </c>
      <c r="H278" s="9" t="n">
        <f aca="false">G278*100/G$2</f>
        <v>191.398157894737</v>
      </c>
    </row>
    <row r="279" customFormat="false" ht="13.8" hidden="false" customHeight="false" outlineLevel="0" collapsed="false">
      <c r="A279" s="0" t="n">
        <v>278</v>
      </c>
      <c r="B279" s="7" t="n">
        <f aca="false">'종목 기본정보'!B$2*'일자별 주가'!B279</f>
        <v>213370000000</v>
      </c>
      <c r="C279" s="7" t="n">
        <f aca="false">'종목 기본정보'!C$2*'일자별 주가'!C279</f>
        <v>161085000000</v>
      </c>
      <c r="D279" s="7" t="n">
        <f aca="false">'종목 기본정보'!D$2*'일자별 주가'!D279</f>
        <v>1221320000000</v>
      </c>
      <c r="E279" s="7" t="n">
        <f aca="false">'종목 기본정보'!E$2*'일자별 주가'!E279</f>
        <v>97242000000</v>
      </c>
      <c r="F279" s="7" t="n">
        <f aca="false">'종목 기본정보'!F$2*'일자별 주가'!F279</f>
        <v>2037077000000</v>
      </c>
      <c r="G279" s="7" t="n">
        <f aca="false">SUM(B279:F279)</f>
        <v>3730094000000</v>
      </c>
      <c r="H279" s="9" t="n">
        <f aca="false">G279*100/G$2</f>
        <v>196.320736842105</v>
      </c>
    </row>
    <row r="280" customFormat="false" ht="13.8" hidden="false" customHeight="false" outlineLevel="0" collapsed="false">
      <c r="A280" s="0" t="n">
        <v>279</v>
      </c>
      <c r="B280" s="7" t="n">
        <f aca="false">'종목 기본정보'!B$2*'일자별 주가'!B280</f>
        <v>217650000000</v>
      </c>
      <c r="C280" s="7" t="n">
        <f aca="false">'종목 기본정보'!C$2*'일자별 주가'!C280</f>
        <v>162355000000</v>
      </c>
      <c r="D280" s="7" t="n">
        <f aca="false">'종목 기본정보'!D$2*'일자별 주가'!D280</f>
        <v>1202860000000</v>
      </c>
      <c r="E280" s="7" t="n">
        <f aca="false">'종목 기본정보'!E$2*'일자별 주가'!E280</f>
        <v>95721000000</v>
      </c>
      <c r="F280" s="7" t="n">
        <f aca="false">'종목 기본정보'!F$2*'일자별 주가'!F280</f>
        <v>2071476000000</v>
      </c>
      <c r="G280" s="7" t="n">
        <f aca="false">SUM(B280:F280)</f>
        <v>3750062000000</v>
      </c>
      <c r="H280" s="9" t="n">
        <f aca="false">G280*100/G$2</f>
        <v>197.371684210526</v>
      </c>
    </row>
    <row r="281" customFormat="false" ht="13.8" hidden="false" customHeight="false" outlineLevel="0" collapsed="false">
      <c r="A281" s="0" t="n">
        <v>280</v>
      </c>
      <c r="B281" s="7" t="n">
        <f aca="false">'종목 기본정보'!B$2*'일자별 주가'!B281</f>
        <v>213690000000</v>
      </c>
      <c r="C281" s="7" t="n">
        <f aca="false">'종목 기본정보'!C$2*'일자별 주가'!C281</f>
        <v>159515000000</v>
      </c>
      <c r="D281" s="7" t="n">
        <f aca="false">'종목 기본정보'!D$2*'일자별 주가'!D281</f>
        <v>1194760000000</v>
      </c>
      <c r="E281" s="7" t="n">
        <f aca="false">'종목 기본정보'!E$2*'일자별 주가'!E281</f>
        <v>94749000000</v>
      </c>
      <c r="F281" s="7" t="n">
        <f aca="false">'종목 기본정보'!F$2*'일자별 주가'!F281</f>
        <v>2098981000000</v>
      </c>
      <c r="G281" s="7" t="n">
        <f aca="false">SUM(B281:F281)</f>
        <v>3761695000000</v>
      </c>
      <c r="H281" s="9" t="n">
        <f aca="false">G281*100/G$2</f>
        <v>197.983947368421</v>
      </c>
    </row>
    <row r="282" customFormat="false" ht="13.8" hidden="false" customHeight="false" outlineLevel="0" collapsed="false">
      <c r="A282" s="0" t="n">
        <v>281</v>
      </c>
      <c r="B282" s="7" t="n">
        <f aca="false">'종목 기본정보'!B$2*'일자별 주가'!B282</f>
        <v>214700000000</v>
      </c>
      <c r="C282" s="7" t="n">
        <f aca="false">'종목 기본정보'!C$2*'일자별 주가'!C282</f>
        <v>156520000000</v>
      </c>
      <c r="D282" s="7" t="n">
        <f aca="false">'종목 기본정보'!D$2*'일자별 주가'!D282</f>
        <v>1196100000000</v>
      </c>
      <c r="E282" s="7" t="n">
        <f aca="false">'종목 기본정보'!E$2*'일자별 주가'!E282</f>
        <v>97827000000</v>
      </c>
      <c r="F282" s="7" t="n">
        <f aca="false">'종목 기본정보'!F$2*'일자별 주가'!F282</f>
        <v>2085316000000</v>
      </c>
      <c r="G282" s="7" t="n">
        <f aca="false">SUM(B282:F282)</f>
        <v>3750463000000</v>
      </c>
      <c r="H282" s="9" t="n">
        <f aca="false">G282*100/G$2</f>
        <v>197.392789473684</v>
      </c>
    </row>
    <row r="283" customFormat="false" ht="13.8" hidden="false" customHeight="false" outlineLevel="0" collapsed="false">
      <c r="A283" s="0" t="n">
        <v>282</v>
      </c>
      <c r="B283" s="7" t="n">
        <f aca="false">'종목 기본정보'!B$2*'일자별 주가'!B283</f>
        <v>217640000000</v>
      </c>
      <c r="C283" s="7" t="n">
        <f aca="false">'종목 기본정보'!C$2*'일자별 주가'!C283</f>
        <v>160570000000</v>
      </c>
      <c r="D283" s="7" t="n">
        <f aca="false">'종목 기본정보'!D$2*'일자별 주가'!D283</f>
        <v>1231960000000</v>
      </c>
      <c r="E283" s="7" t="n">
        <f aca="false">'종목 기본정보'!E$2*'일자별 주가'!E283</f>
        <v>94950000000</v>
      </c>
      <c r="F283" s="7" t="n">
        <f aca="false">'종목 기본정보'!F$2*'일자별 주가'!F283</f>
        <v>2064815000000</v>
      </c>
      <c r="G283" s="7" t="n">
        <f aca="false">SUM(B283:F283)</f>
        <v>3769935000000</v>
      </c>
      <c r="H283" s="9" t="n">
        <f aca="false">G283*100/G$2</f>
        <v>198.417631578947</v>
      </c>
    </row>
    <row r="284" customFormat="false" ht="13.8" hidden="false" customHeight="false" outlineLevel="0" collapsed="false">
      <c r="A284" s="0" t="n">
        <v>283</v>
      </c>
      <c r="B284" s="7" t="n">
        <f aca="false">'종목 기본정보'!B$2*'일자별 주가'!B284</f>
        <v>214970000000</v>
      </c>
      <c r="C284" s="7" t="n">
        <f aca="false">'종목 기본정보'!C$2*'일자별 주가'!C284</f>
        <v>162205000000</v>
      </c>
      <c r="D284" s="7" t="n">
        <f aca="false">'종목 기본정보'!D$2*'일자별 주가'!D284</f>
        <v>1226360000000</v>
      </c>
      <c r="E284" s="7" t="n">
        <f aca="false">'종목 기본정보'!E$2*'일자별 주가'!E284</f>
        <v>96138000000</v>
      </c>
      <c r="F284" s="7" t="n">
        <f aca="false">'종목 기본정보'!F$2*'일자별 주가'!F284</f>
        <v>2130240000000</v>
      </c>
      <c r="G284" s="7" t="n">
        <f aca="false">SUM(B284:F284)</f>
        <v>3829913000000</v>
      </c>
      <c r="H284" s="9" t="n">
        <f aca="false">G284*100/G$2</f>
        <v>201.574368421053</v>
      </c>
    </row>
    <row r="285" customFormat="false" ht="13.8" hidden="false" customHeight="false" outlineLevel="0" collapsed="false">
      <c r="A285" s="0" t="n">
        <v>284</v>
      </c>
      <c r="B285" s="7" t="n">
        <f aca="false">'종목 기본정보'!B$2*'일자별 주가'!B285</f>
        <v>214990000000</v>
      </c>
      <c r="C285" s="7" t="n">
        <f aca="false">'종목 기본정보'!C$2*'일자별 주가'!C285</f>
        <v>157460000000</v>
      </c>
      <c r="D285" s="7" t="n">
        <f aca="false">'종목 기본정보'!D$2*'일자별 주가'!D285</f>
        <v>1202800000000</v>
      </c>
      <c r="E285" s="7" t="n">
        <f aca="false">'종목 기본정보'!E$2*'일자별 주가'!E285</f>
        <v>95856000000</v>
      </c>
      <c r="F285" s="7" t="n">
        <f aca="false">'종목 기본정보'!F$2*'일자별 주가'!F285</f>
        <v>2123324000000</v>
      </c>
      <c r="G285" s="7" t="n">
        <f aca="false">SUM(B285:F285)</f>
        <v>3794430000000</v>
      </c>
      <c r="H285" s="9" t="n">
        <f aca="false">G285*100/G$2</f>
        <v>199.706842105263</v>
      </c>
    </row>
    <row r="286" customFormat="false" ht="13.8" hidden="false" customHeight="false" outlineLevel="0" collapsed="false">
      <c r="A286" s="0" t="n">
        <v>285</v>
      </c>
      <c r="B286" s="7" t="n">
        <f aca="false">'종목 기본정보'!B$2*'일자별 주가'!B286</f>
        <v>210110000000</v>
      </c>
      <c r="C286" s="7" t="n">
        <f aca="false">'종목 기본정보'!C$2*'일자별 주가'!C286</f>
        <v>160865000000</v>
      </c>
      <c r="D286" s="7" t="n">
        <f aca="false">'종목 기본정보'!D$2*'일자별 주가'!D286</f>
        <v>1230300000000</v>
      </c>
      <c r="E286" s="7" t="n">
        <f aca="false">'종목 기본정보'!E$2*'일자별 주가'!E286</f>
        <v>93573000000</v>
      </c>
      <c r="F286" s="7" t="n">
        <f aca="false">'종목 기본정보'!F$2*'일자별 주가'!F286</f>
        <v>2128881000000</v>
      </c>
      <c r="G286" s="7" t="n">
        <f aca="false">SUM(B286:F286)</f>
        <v>3823729000000</v>
      </c>
      <c r="H286" s="9" t="n">
        <f aca="false">G286*100/G$2</f>
        <v>201.248894736842</v>
      </c>
    </row>
    <row r="287" customFormat="false" ht="13.8" hidden="false" customHeight="false" outlineLevel="0" collapsed="false">
      <c r="A287" s="0" t="n">
        <v>286</v>
      </c>
      <c r="B287" s="7" t="n">
        <f aca="false">'종목 기본정보'!B$2*'일자별 주가'!B287</f>
        <v>206890000000</v>
      </c>
      <c r="C287" s="7" t="n">
        <f aca="false">'종목 기본정보'!C$2*'일자별 주가'!C287</f>
        <v>160610000000</v>
      </c>
      <c r="D287" s="7" t="n">
        <f aca="false">'종목 기본정보'!D$2*'일자별 주가'!D287</f>
        <v>1214760000000</v>
      </c>
      <c r="E287" s="7" t="n">
        <f aca="false">'종목 기본정보'!E$2*'일자별 주가'!E287</f>
        <v>92459000000</v>
      </c>
      <c r="F287" s="7" t="n">
        <f aca="false">'종목 기본정보'!F$2*'일자별 주가'!F287</f>
        <v>2103668000000</v>
      </c>
      <c r="G287" s="7" t="n">
        <f aca="false">SUM(B287:F287)</f>
        <v>3778387000000</v>
      </c>
      <c r="H287" s="9" t="n">
        <f aca="false">G287*100/G$2</f>
        <v>198.862473684211</v>
      </c>
    </row>
    <row r="288" customFormat="false" ht="13.8" hidden="false" customHeight="false" outlineLevel="0" collapsed="false">
      <c r="A288" s="0" t="n">
        <v>287</v>
      </c>
      <c r="B288" s="7" t="n">
        <f aca="false">'종목 기본정보'!B$2*'일자별 주가'!B288</f>
        <v>204720000000</v>
      </c>
      <c r="C288" s="7" t="n">
        <f aca="false">'종목 기본정보'!C$2*'일자별 주가'!C288</f>
        <v>161460000000</v>
      </c>
      <c r="D288" s="7" t="n">
        <f aca="false">'종목 기본정보'!D$2*'일자별 주가'!D288</f>
        <v>1251260000000</v>
      </c>
      <c r="E288" s="7" t="n">
        <f aca="false">'종목 기본정보'!E$2*'일자별 주가'!E288</f>
        <v>91227000000</v>
      </c>
      <c r="F288" s="7" t="n">
        <f aca="false">'종목 기본정보'!F$2*'일자별 주가'!F288</f>
        <v>2042516000000</v>
      </c>
      <c r="G288" s="7" t="n">
        <f aca="false">SUM(B288:F288)</f>
        <v>3751183000000</v>
      </c>
      <c r="H288" s="9" t="n">
        <f aca="false">G288*100/G$2</f>
        <v>197.430684210526</v>
      </c>
    </row>
    <row r="289" customFormat="false" ht="13.8" hidden="false" customHeight="false" outlineLevel="0" collapsed="false">
      <c r="A289" s="0" t="n">
        <v>288</v>
      </c>
      <c r="B289" s="7" t="n">
        <f aca="false">'종목 기본정보'!B$2*'일자별 주가'!B289</f>
        <v>209570000000</v>
      </c>
      <c r="C289" s="7" t="n">
        <f aca="false">'종목 기본정보'!C$2*'일자별 주가'!C289</f>
        <v>162450000000</v>
      </c>
      <c r="D289" s="7" t="n">
        <f aca="false">'종목 기본정보'!D$2*'일자별 주가'!D289</f>
        <v>1265760000000</v>
      </c>
      <c r="E289" s="7" t="n">
        <f aca="false">'종목 기본정보'!E$2*'일자별 주가'!E289</f>
        <v>89669000000</v>
      </c>
      <c r="F289" s="7" t="n">
        <f aca="false">'종목 기본정보'!F$2*'일자별 주가'!F289</f>
        <v>2094684000000</v>
      </c>
      <c r="G289" s="7" t="n">
        <f aca="false">SUM(B289:F289)</f>
        <v>3822133000000</v>
      </c>
      <c r="H289" s="9" t="n">
        <f aca="false">G289*100/G$2</f>
        <v>201.164894736842</v>
      </c>
    </row>
    <row r="290" customFormat="false" ht="13.8" hidden="false" customHeight="false" outlineLevel="0" collapsed="false">
      <c r="A290" s="0" t="n">
        <v>289</v>
      </c>
      <c r="B290" s="7" t="n">
        <f aca="false">'종목 기본정보'!B$2*'일자별 주가'!B290</f>
        <v>207530000000</v>
      </c>
      <c r="C290" s="7" t="n">
        <f aca="false">'종목 기본정보'!C$2*'일자별 주가'!C290</f>
        <v>159585000000</v>
      </c>
      <c r="D290" s="7" t="n">
        <f aca="false">'종목 기본정보'!D$2*'일자별 주가'!D290</f>
        <v>1250880000000</v>
      </c>
      <c r="E290" s="7" t="n">
        <f aca="false">'종목 기본정보'!E$2*'일자별 주가'!E290</f>
        <v>87838000000</v>
      </c>
      <c r="F290" s="7" t="n">
        <f aca="false">'종목 기본정보'!F$2*'일자별 주가'!F290</f>
        <v>2120428000000</v>
      </c>
      <c r="G290" s="7" t="n">
        <f aca="false">SUM(B290:F290)</f>
        <v>3826261000000</v>
      </c>
      <c r="H290" s="9" t="n">
        <f aca="false">G290*100/G$2</f>
        <v>201.382157894737</v>
      </c>
    </row>
    <row r="291" customFormat="false" ht="13.8" hidden="false" customHeight="false" outlineLevel="0" collapsed="false">
      <c r="A291" s="0" t="n">
        <v>290</v>
      </c>
      <c r="B291" s="7" t="n">
        <f aca="false">'종목 기본정보'!B$2*'일자별 주가'!B291</f>
        <v>201800000000</v>
      </c>
      <c r="C291" s="7" t="n">
        <f aca="false">'종목 기본정보'!C$2*'일자별 주가'!C291</f>
        <v>163915000000</v>
      </c>
      <c r="D291" s="7" t="n">
        <f aca="false">'종목 기본정보'!D$2*'일자별 주가'!D291</f>
        <v>1254000000000</v>
      </c>
      <c r="E291" s="7" t="n">
        <f aca="false">'종목 기본정보'!E$2*'일자별 주가'!E291</f>
        <v>90420000000</v>
      </c>
      <c r="F291" s="7" t="n">
        <f aca="false">'종목 기본정보'!F$2*'일자별 주가'!F291</f>
        <v>2165238000000</v>
      </c>
      <c r="G291" s="7" t="n">
        <f aca="false">SUM(B291:F291)</f>
        <v>3875373000000</v>
      </c>
      <c r="H291" s="9" t="n">
        <f aca="false">G291*100/G$2</f>
        <v>203.967</v>
      </c>
    </row>
    <row r="292" customFormat="false" ht="13.8" hidden="false" customHeight="false" outlineLevel="0" collapsed="false">
      <c r="A292" s="0" t="n">
        <v>291</v>
      </c>
      <c r="B292" s="7" t="n">
        <f aca="false">'종목 기본정보'!B$2*'일자별 주가'!B292</f>
        <v>204630000000</v>
      </c>
      <c r="C292" s="7" t="n">
        <f aca="false">'종목 기본정보'!C$2*'일자별 주가'!C292</f>
        <v>164090000000</v>
      </c>
      <c r="D292" s="7" t="n">
        <f aca="false">'종목 기본정보'!D$2*'일자별 주가'!D292</f>
        <v>1225680000000</v>
      </c>
      <c r="E292" s="7" t="n">
        <f aca="false">'종목 기본정보'!E$2*'일자별 주가'!E292</f>
        <v>91484000000</v>
      </c>
      <c r="F292" s="7" t="n">
        <f aca="false">'종목 기본정보'!F$2*'일자별 주가'!F292</f>
        <v>2207851000000</v>
      </c>
      <c r="G292" s="7" t="n">
        <f aca="false">SUM(B292:F292)</f>
        <v>3893735000000</v>
      </c>
      <c r="H292" s="9" t="n">
        <f aca="false">G292*100/G$2</f>
        <v>204.933421052632</v>
      </c>
    </row>
    <row r="293" customFormat="false" ht="13.8" hidden="false" customHeight="false" outlineLevel="0" collapsed="false">
      <c r="A293" s="0" t="n">
        <v>292</v>
      </c>
      <c r="B293" s="7" t="n">
        <f aca="false">'종목 기본정보'!B$2*'일자별 주가'!B293</f>
        <v>209820000000</v>
      </c>
      <c r="C293" s="7" t="n">
        <f aca="false">'종목 기본정보'!C$2*'일자별 주가'!C293</f>
        <v>161455000000</v>
      </c>
      <c r="D293" s="7" t="n">
        <f aca="false">'종목 기본정보'!D$2*'일자별 주가'!D293</f>
        <v>1251660000000</v>
      </c>
      <c r="E293" s="7" t="n">
        <f aca="false">'종목 기본정보'!E$2*'일자별 주가'!E293</f>
        <v>93941000000</v>
      </c>
      <c r="F293" s="7" t="n">
        <f aca="false">'종목 기본정보'!F$2*'일자별 주가'!F293</f>
        <v>2251423000000</v>
      </c>
      <c r="G293" s="7" t="n">
        <f aca="false">SUM(B293:F293)</f>
        <v>3968299000000</v>
      </c>
      <c r="H293" s="9" t="n">
        <f aca="false">G293*100/G$2</f>
        <v>208.857842105263</v>
      </c>
    </row>
    <row r="294" customFormat="false" ht="13.8" hidden="false" customHeight="false" outlineLevel="0" collapsed="false">
      <c r="A294" s="0" t="n">
        <v>293</v>
      </c>
      <c r="B294" s="7" t="n">
        <f aca="false">'종목 기본정보'!B$2*'일자별 주가'!B294</f>
        <v>215780000000</v>
      </c>
      <c r="C294" s="7" t="n">
        <f aca="false">'종목 기본정보'!C$2*'일자별 주가'!C294</f>
        <v>160735000000</v>
      </c>
      <c r="D294" s="7" t="n">
        <f aca="false">'종목 기본정보'!D$2*'일자별 주가'!D294</f>
        <v>1254560000000</v>
      </c>
      <c r="E294" s="7" t="n">
        <f aca="false">'종목 기본정보'!E$2*'일자별 주가'!E294</f>
        <v>94266000000</v>
      </c>
      <c r="F294" s="7" t="n">
        <f aca="false">'종목 기본정보'!F$2*'일자별 주가'!F294</f>
        <v>2218610000000</v>
      </c>
      <c r="G294" s="7" t="n">
        <f aca="false">SUM(B294:F294)</f>
        <v>3943951000000</v>
      </c>
      <c r="H294" s="9" t="n">
        <f aca="false">G294*100/G$2</f>
        <v>207.576368421053</v>
      </c>
    </row>
    <row r="295" customFormat="false" ht="13.8" hidden="false" customHeight="false" outlineLevel="0" collapsed="false">
      <c r="A295" s="0" t="n">
        <v>294</v>
      </c>
      <c r="B295" s="7" t="n">
        <f aca="false">'종목 기본정보'!B$2*'일자별 주가'!B295</f>
        <v>210160000000</v>
      </c>
      <c r="C295" s="7" t="n">
        <f aca="false">'종목 기본정보'!C$2*'일자별 주가'!C295</f>
        <v>156635000000</v>
      </c>
      <c r="D295" s="7" t="n">
        <f aca="false">'종목 기본정보'!D$2*'일자별 주가'!D295</f>
        <v>1256980000000</v>
      </c>
      <c r="E295" s="7" t="n">
        <f aca="false">'종목 기본정보'!E$2*'일자별 주가'!E295</f>
        <v>95315000000</v>
      </c>
      <c r="F295" s="7" t="n">
        <f aca="false">'종목 기본정보'!F$2*'일자별 주가'!F295</f>
        <v>2232627000000</v>
      </c>
      <c r="G295" s="7" t="n">
        <f aca="false">SUM(B295:F295)</f>
        <v>3951717000000</v>
      </c>
      <c r="H295" s="9" t="n">
        <f aca="false">G295*100/G$2</f>
        <v>207.985105263158</v>
      </c>
    </row>
    <row r="296" customFormat="false" ht="13.8" hidden="false" customHeight="false" outlineLevel="0" collapsed="false">
      <c r="A296" s="0" t="n">
        <v>295</v>
      </c>
      <c r="B296" s="7" t="n">
        <f aca="false">'종목 기본정보'!B$2*'일자별 주가'!B296</f>
        <v>204510000000</v>
      </c>
      <c r="C296" s="7" t="n">
        <f aca="false">'종목 기본정보'!C$2*'일자별 주가'!C296</f>
        <v>161350000000</v>
      </c>
      <c r="D296" s="7" t="n">
        <f aca="false">'종목 기본정보'!D$2*'일자별 주가'!D296</f>
        <v>1234000000000</v>
      </c>
      <c r="E296" s="7" t="n">
        <f aca="false">'종목 기본정보'!E$2*'일자별 주가'!E296</f>
        <v>93120000000</v>
      </c>
      <c r="F296" s="7" t="n">
        <f aca="false">'종목 기본정보'!F$2*'일자별 주가'!F296</f>
        <v>2185913000000</v>
      </c>
      <c r="G296" s="7" t="n">
        <f aca="false">SUM(B296:F296)</f>
        <v>3878893000000</v>
      </c>
      <c r="H296" s="9" t="n">
        <f aca="false">G296*100/G$2</f>
        <v>204.152263157895</v>
      </c>
    </row>
    <row r="297" customFormat="false" ht="13.8" hidden="false" customHeight="false" outlineLevel="0" collapsed="false">
      <c r="A297" s="0" t="n">
        <v>296</v>
      </c>
      <c r="B297" s="7" t="n">
        <f aca="false">'종목 기본정보'!B$2*'일자별 주가'!B297</f>
        <v>203600000000</v>
      </c>
      <c r="C297" s="7" t="n">
        <f aca="false">'종목 기본정보'!C$2*'일자별 주가'!C297</f>
        <v>161715000000</v>
      </c>
      <c r="D297" s="7" t="n">
        <f aca="false">'종목 기본정보'!D$2*'일자별 주가'!D297</f>
        <v>1213660000000</v>
      </c>
      <c r="E297" s="7" t="n">
        <f aca="false">'종목 기본정보'!E$2*'일자별 주가'!E297</f>
        <v>92064000000</v>
      </c>
      <c r="F297" s="7" t="n">
        <f aca="false">'종목 기본정보'!F$2*'일자별 주가'!F297</f>
        <v>2209928000000</v>
      </c>
      <c r="G297" s="7" t="n">
        <f aca="false">SUM(B297:F297)</f>
        <v>3880967000000</v>
      </c>
      <c r="H297" s="9" t="n">
        <f aca="false">G297*100/G$2</f>
        <v>204.261421052632</v>
      </c>
    </row>
    <row r="298" customFormat="false" ht="13.8" hidden="false" customHeight="false" outlineLevel="0" collapsed="false">
      <c r="A298" s="0" t="n">
        <v>297</v>
      </c>
      <c r="B298" s="7" t="n">
        <f aca="false">'종목 기본정보'!B$2*'일자별 주가'!B298</f>
        <v>204910000000</v>
      </c>
      <c r="C298" s="7" t="n">
        <f aca="false">'종목 기본정보'!C$2*'일자별 주가'!C298</f>
        <v>163405000000</v>
      </c>
      <c r="D298" s="7" t="n">
        <f aca="false">'종목 기본정보'!D$2*'일자별 주가'!D298</f>
        <v>1218380000000</v>
      </c>
      <c r="E298" s="7" t="n">
        <f aca="false">'종목 기본정보'!E$2*'일자별 주가'!E298</f>
        <v>91604000000</v>
      </c>
      <c r="F298" s="7" t="n">
        <f aca="false">'종목 기본정보'!F$2*'일자별 주가'!F298</f>
        <v>2252587000000</v>
      </c>
      <c r="G298" s="7" t="n">
        <f aca="false">SUM(B298:F298)</f>
        <v>3930886000000</v>
      </c>
      <c r="H298" s="9" t="n">
        <f aca="false">G298*100/G$2</f>
        <v>206.888736842105</v>
      </c>
    </row>
    <row r="299" customFormat="false" ht="13.8" hidden="false" customHeight="false" outlineLevel="0" collapsed="false">
      <c r="A299" s="0" t="n">
        <v>298</v>
      </c>
      <c r="B299" s="7" t="n">
        <f aca="false">'종목 기본정보'!B$2*'일자별 주가'!B299</f>
        <v>203880000000</v>
      </c>
      <c r="C299" s="7" t="n">
        <f aca="false">'종목 기본정보'!C$2*'일자별 주가'!C299</f>
        <v>164740000000</v>
      </c>
      <c r="D299" s="7" t="n">
        <f aca="false">'종목 기본정보'!D$2*'일자별 주가'!D299</f>
        <v>1205860000000</v>
      </c>
      <c r="E299" s="7" t="n">
        <f aca="false">'종목 기본정보'!E$2*'일자별 주가'!E299</f>
        <v>88961000000</v>
      </c>
      <c r="F299" s="7" t="n">
        <f aca="false">'종목 기본정보'!F$2*'일자별 주가'!F299</f>
        <v>2292699000000</v>
      </c>
      <c r="G299" s="7" t="n">
        <f aca="false">SUM(B299:F299)</f>
        <v>3956140000000</v>
      </c>
      <c r="H299" s="9" t="n">
        <f aca="false">G299*100/G$2</f>
        <v>208.217894736842</v>
      </c>
    </row>
    <row r="300" customFormat="false" ht="13.8" hidden="false" customHeight="false" outlineLevel="0" collapsed="false">
      <c r="A300" s="0" t="n">
        <v>299</v>
      </c>
      <c r="B300" s="7" t="n">
        <f aca="false">'종목 기본정보'!B$2*'일자별 주가'!B300</f>
        <v>198100000000</v>
      </c>
      <c r="C300" s="7" t="n">
        <f aca="false">'종목 기본정보'!C$2*'일자별 주가'!C300</f>
        <v>160465000000</v>
      </c>
      <c r="D300" s="7" t="n">
        <f aca="false">'종목 기본정보'!D$2*'일자별 주가'!D300</f>
        <v>1178360000000</v>
      </c>
      <c r="E300" s="7" t="n">
        <f aca="false">'종목 기본정보'!E$2*'일자별 주가'!E300</f>
        <v>89537000000</v>
      </c>
      <c r="F300" s="7" t="n">
        <f aca="false">'종목 기본정보'!F$2*'일자별 주가'!F300</f>
        <v>2342955000000</v>
      </c>
      <c r="G300" s="7" t="n">
        <f aca="false">SUM(B300:F300)</f>
        <v>3969417000000</v>
      </c>
      <c r="H300" s="9" t="n">
        <f aca="false">G300*100/G$2</f>
        <v>208.916684210526</v>
      </c>
    </row>
    <row r="301" customFormat="false" ht="13.8" hidden="false" customHeight="false" outlineLevel="0" collapsed="false">
      <c r="A301" s="0" t="n">
        <v>300</v>
      </c>
      <c r="B301" s="7" t="n">
        <f aca="false">'종목 기본정보'!B$2*'일자별 주가'!B301</f>
        <v>203130000000</v>
      </c>
      <c r="C301" s="7" t="n">
        <f aca="false">'종목 기본정보'!C$2*'일자별 주가'!C301</f>
        <v>155860000000</v>
      </c>
      <c r="D301" s="7" t="n">
        <f aca="false">'종목 기본정보'!D$2*'일자별 주가'!D301</f>
        <v>1176700000000</v>
      </c>
      <c r="E301" s="7" t="n">
        <f aca="false">'종목 기본정보'!E$2*'일자별 주가'!E301</f>
        <v>88876000000</v>
      </c>
      <c r="F301" s="7" t="n">
        <f aca="false">'종목 기본정보'!F$2*'일자별 주가'!F301</f>
        <v>2323221000000</v>
      </c>
      <c r="G301" s="7" t="n">
        <f aca="false">SUM(B301:F301)</f>
        <v>3947787000000</v>
      </c>
      <c r="H301" s="9" t="n">
        <f aca="false">G301*100/G$2</f>
        <v>207.778263157895</v>
      </c>
    </row>
    <row r="302" customFormat="false" ht="13.8" hidden="false" customHeight="false" outlineLevel="0" collapsed="false">
      <c r="A302" s="0" t="n">
        <v>301</v>
      </c>
      <c r="B302" s="7" t="n">
        <f aca="false">'종목 기본정보'!B$2*'일자별 주가'!B302</f>
        <v>199030000000</v>
      </c>
      <c r="C302" s="7" t="n">
        <f aca="false">'종목 기본정보'!C$2*'일자별 주가'!C302</f>
        <v>152070000000</v>
      </c>
      <c r="D302" s="7" t="n">
        <f aca="false">'종목 기본정보'!D$2*'일자별 주가'!D302</f>
        <v>1175400000000</v>
      </c>
      <c r="E302" s="7" t="n">
        <f aca="false">'종목 기본정보'!E$2*'일자별 주가'!E302</f>
        <v>90917000000</v>
      </c>
      <c r="F302" s="7" t="n">
        <f aca="false">'종목 기본정보'!F$2*'일자별 주가'!F302</f>
        <v>2399002000000</v>
      </c>
      <c r="G302" s="7" t="n">
        <f aca="false">SUM(B302:F302)</f>
        <v>4016419000000</v>
      </c>
      <c r="H302" s="9" t="n">
        <f aca="false">G302*100/G$2</f>
        <v>211.390473684211</v>
      </c>
    </row>
    <row r="303" customFormat="false" ht="13.8" hidden="false" customHeight="false" outlineLevel="0" collapsed="false">
      <c r="A303" s="0" t="n">
        <v>302</v>
      </c>
      <c r="B303" s="7" t="n">
        <f aca="false">'종목 기본정보'!B$2*'일자별 주가'!B303</f>
        <v>193540000000</v>
      </c>
      <c r="C303" s="7" t="n">
        <f aca="false">'종목 기본정보'!C$2*'일자별 주가'!C303</f>
        <v>151010000000</v>
      </c>
      <c r="D303" s="7" t="n">
        <f aca="false">'종목 기본정보'!D$2*'일자별 주가'!D303</f>
        <v>1209600000000</v>
      </c>
      <c r="E303" s="7" t="n">
        <f aca="false">'종목 기본정보'!E$2*'일자별 주가'!E303</f>
        <v>93003000000</v>
      </c>
      <c r="F303" s="7" t="n">
        <f aca="false">'종목 기본정보'!F$2*'일자별 주가'!F303</f>
        <v>2461516000000</v>
      </c>
      <c r="G303" s="7" t="n">
        <f aca="false">SUM(B303:F303)</f>
        <v>4108669000000</v>
      </c>
      <c r="H303" s="9" t="n">
        <f aca="false">G303*100/G$2</f>
        <v>216.245736842105</v>
      </c>
    </row>
    <row r="304" customFormat="false" ht="13.8" hidden="false" customHeight="false" outlineLevel="0" collapsed="false">
      <c r="A304" s="0" t="n">
        <v>303</v>
      </c>
      <c r="B304" s="7" t="n">
        <f aca="false">'종목 기본정보'!B$2*'일자별 주가'!B304</f>
        <v>191340000000</v>
      </c>
      <c r="C304" s="7" t="n">
        <f aca="false">'종목 기본정보'!C$2*'일자별 주가'!C304</f>
        <v>146525000000</v>
      </c>
      <c r="D304" s="7" t="n">
        <f aca="false">'종목 기본정보'!D$2*'일자별 주가'!D304</f>
        <v>1208920000000</v>
      </c>
      <c r="E304" s="7" t="n">
        <f aca="false">'종목 기본정보'!E$2*'일자별 주가'!E304</f>
        <v>94936000000</v>
      </c>
      <c r="F304" s="7" t="n">
        <f aca="false">'종목 기본정보'!F$2*'일자별 주가'!F304</f>
        <v>2396309000000</v>
      </c>
      <c r="G304" s="7" t="n">
        <f aca="false">SUM(B304:F304)</f>
        <v>4038030000000</v>
      </c>
      <c r="H304" s="9" t="n">
        <f aca="false">G304*100/G$2</f>
        <v>212.527894736842</v>
      </c>
    </row>
    <row r="305" customFormat="false" ht="13.8" hidden="false" customHeight="false" outlineLevel="0" collapsed="false">
      <c r="A305" s="0" t="n">
        <v>304</v>
      </c>
      <c r="B305" s="7" t="n">
        <f aca="false">'종목 기본정보'!B$2*'일자별 주가'!B305</f>
        <v>196490000000</v>
      </c>
      <c r="C305" s="7" t="n">
        <f aca="false">'종목 기본정보'!C$2*'일자별 주가'!C305</f>
        <v>149825000000</v>
      </c>
      <c r="D305" s="7" t="n">
        <f aca="false">'종목 기본정보'!D$2*'일자별 주가'!D305</f>
        <v>1184460000000</v>
      </c>
      <c r="E305" s="7" t="n">
        <f aca="false">'종목 기본정보'!E$2*'일자별 주가'!E305</f>
        <v>96910000000</v>
      </c>
      <c r="F305" s="7" t="n">
        <f aca="false">'종목 기본정보'!F$2*'일자별 주가'!F305</f>
        <v>2369853000000</v>
      </c>
      <c r="G305" s="7" t="n">
        <f aca="false">SUM(B305:F305)</f>
        <v>3997538000000</v>
      </c>
      <c r="H305" s="9" t="n">
        <f aca="false">G305*100/G$2</f>
        <v>210.396736842105</v>
      </c>
    </row>
    <row r="306" customFormat="false" ht="13.8" hidden="false" customHeight="false" outlineLevel="0" collapsed="false">
      <c r="A306" s="0" t="n">
        <v>305</v>
      </c>
      <c r="B306" s="7" t="n">
        <f aca="false">'종목 기본정보'!B$2*'일자별 주가'!B306</f>
        <v>191080000000</v>
      </c>
      <c r="C306" s="7" t="n">
        <f aca="false">'종목 기본정보'!C$2*'일자별 주가'!C306</f>
        <v>150620000000</v>
      </c>
      <c r="D306" s="7" t="n">
        <f aca="false">'종목 기본정보'!D$2*'일자별 주가'!D306</f>
        <v>1177540000000</v>
      </c>
      <c r="E306" s="7" t="n">
        <f aca="false">'종목 기본정보'!E$2*'일자별 주가'!E306</f>
        <v>98386000000</v>
      </c>
      <c r="F306" s="7" t="n">
        <f aca="false">'종목 기본정보'!F$2*'일자별 주가'!F306</f>
        <v>2447353000000</v>
      </c>
      <c r="G306" s="7" t="n">
        <f aca="false">SUM(B306:F306)</f>
        <v>4064979000000</v>
      </c>
      <c r="H306" s="9" t="n">
        <f aca="false">G306*100/G$2</f>
        <v>213.946263157895</v>
      </c>
    </row>
    <row r="307" customFormat="false" ht="13.8" hidden="false" customHeight="false" outlineLevel="0" collapsed="false">
      <c r="A307" s="0" t="n">
        <v>306</v>
      </c>
      <c r="B307" s="7" t="n">
        <f aca="false">'종목 기본정보'!B$2*'일자별 주가'!B307</f>
        <v>193560000000</v>
      </c>
      <c r="C307" s="7" t="n">
        <f aca="false">'종목 기본정보'!C$2*'일자별 주가'!C307</f>
        <v>146185000000</v>
      </c>
      <c r="D307" s="7" t="n">
        <f aca="false">'종목 기본정보'!D$2*'일자별 주가'!D307</f>
        <v>1183960000000</v>
      </c>
      <c r="E307" s="7" t="n">
        <f aca="false">'종목 기본정보'!E$2*'일자별 주가'!E307</f>
        <v>98742000000</v>
      </c>
      <c r="F307" s="7" t="n">
        <f aca="false">'종목 기본정보'!F$2*'일자별 주가'!F307</f>
        <v>2479356000000</v>
      </c>
      <c r="G307" s="7" t="n">
        <f aca="false">SUM(B307:F307)</f>
        <v>4101803000000</v>
      </c>
      <c r="H307" s="9" t="n">
        <f aca="false">G307*100/G$2</f>
        <v>215.884368421053</v>
      </c>
    </row>
    <row r="308" customFormat="false" ht="13.8" hidden="false" customHeight="false" outlineLevel="0" collapsed="false">
      <c r="A308" s="0" t="n">
        <v>307</v>
      </c>
      <c r="B308" s="7" t="n">
        <f aca="false">'종목 기본정보'!B$2*'일자별 주가'!B308</f>
        <v>198220000000</v>
      </c>
      <c r="C308" s="7" t="n">
        <f aca="false">'종목 기본정보'!C$2*'일자별 주가'!C308</f>
        <v>143075000000</v>
      </c>
      <c r="D308" s="7" t="n">
        <f aca="false">'종목 기본정보'!D$2*'일자별 주가'!D308</f>
        <v>1201000000000</v>
      </c>
      <c r="E308" s="7" t="n">
        <f aca="false">'종목 기본정보'!E$2*'일자별 주가'!E308</f>
        <v>101050000000</v>
      </c>
      <c r="F308" s="7" t="n">
        <f aca="false">'종목 기본정보'!F$2*'일자별 주가'!F308</f>
        <v>2491612000000</v>
      </c>
      <c r="G308" s="7" t="n">
        <f aca="false">SUM(B308:F308)</f>
        <v>4134957000000</v>
      </c>
      <c r="H308" s="9" t="n">
        <f aca="false">G308*100/G$2</f>
        <v>217.629315789474</v>
      </c>
    </row>
    <row r="309" customFormat="false" ht="13.8" hidden="false" customHeight="false" outlineLevel="0" collapsed="false">
      <c r="A309" s="0" t="n">
        <v>308</v>
      </c>
      <c r="B309" s="7" t="n">
        <f aca="false">'종목 기본정보'!B$2*'일자별 주가'!B309</f>
        <v>199570000000</v>
      </c>
      <c r="C309" s="7" t="n">
        <f aca="false">'종목 기본정보'!C$2*'일자별 주가'!C309</f>
        <v>138950000000</v>
      </c>
      <c r="D309" s="7" t="n">
        <f aca="false">'종목 기본정보'!D$2*'일자별 주가'!D309</f>
        <v>1205200000000</v>
      </c>
      <c r="E309" s="7" t="n">
        <f aca="false">'종목 기본정보'!E$2*'일자별 주가'!E309</f>
        <v>100817000000</v>
      </c>
      <c r="F309" s="7" t="n">
        <f aca="false">'종목 기본정보'!F$2*'일자별 주가'!F309</f>
        <v>2431346000000</v>
      </c>
      <c r="G309" s="7" t="n">
        <f aca="false">SUM(B309:F309)</f>
        <v>4075883000000</v>
      </c>
      <c r="H309" s="9" t="n">
        <f aca="false">G309*100/G$2</f>
        <v>214.520157894737</v>
      </c>
    </row>
    <row r="310" customFormat="false" ht="13.8" hidden="false" customHeight="false" outlineLevel="0" collapsed="false">
      <c r="A310" s="0" t="n">
        <v>309</v>
      </c>
      <c r="B310" s="7" t="n">
        <f aca="false">'종목 기본정보'!B$2*'일자별 주가'!B310</f>
        <v>196230000000</v>
      </c>
      <c r="C310" s="7" t="n">
        <f aca="false">'종목 기본정보'!C$2*'일자별 주가'!C310</f>
        <v>137275000000</v>
      </c>
      <c r="D310" s="7" t="n">
        <f aca="false">'종목 기본정보'!D$2*'일자별 주가'!D310</f>
        <v>1212260000000</v>
      </c>
      <c r="E310" s="7" t="n">
        <f aca="false">'종목 기본정보'!E$2*'일자별 주가'!E310</f>
        <v>98845000000</v>
      </c>
      <c r="F310" s="7" t="n">
        <f aca="false">'종목 기본정보'!F$2*'일자별 주가'!F310</f>
        <v>2396062000000</v>
      </c>
      <c r="G310" s="7" t="n">
        <f aca="false">SUM(B310:F310)</f>
        <v>4040672000000</v>
      </c>
      <c r="H310" s="9" t="n">
        <f aca="false">G310*100/G$2</f>
        <v>212.666947368421</v>
      </c>
    </row>
    <row r="311" customFormat="false" ht="13.8" hidden="false" customHeight="false" outlineLevel="0" collapsed="false">
      <c r="A311" s="0" t="n">
        <v>310</v>
      </c>
      <c r="B311" s="7" t="n">
        <f aca="false">'종목 기본정보'!B$2*'일자별 주가'!B311</f>
        <v>194020000000</v>
      </c>
      <c r="C311" s="7" t="n">
        <f aca="false">'종목 기본정보'!C$2*'일자별 주가'!C311</f>
        <v>138040000000</v>
      </c>
      <c r="D311" s="7" t="n">
        <f aca="false">'종목 기본정보'!D$2*'일자별 주가'!D311</f>
        <v>1176520000000</v>
      </c>
      <c r="E311" s="7" t="n">
        <f aca="false">'종목 기본정보'!E$2*'일자별 주가'!E311</f>
        <v>100558000000</v>
      </c>
      <c r="F311" s="7" t="n">
        <f aca="false">'종목 기본정보'!F$2*'일자별 주가'!F311</f>
        <v>2443543000000</v>
      </c>
      <c r="G311" s="7" t="n">
        <f aca="false">SUM(B311:F311)</f>
        <v>4052681000000</v>
      </c>
      <c r="H311" s="9" t="n">
        <f aca="false">G311*100/G$2</f>
        <v>213.299</v>
      </c>
    </row>
    <row r="312" customFormat="false" ht="13.8" hidden="false" customHeight="false" outlineLevel="0" collapsed="false">
      <c r="A312" s="0" t="n">
        <v>311</v>
      </c>
      <c r="B312" s="7" t="n">
        <f aca="false">'종목 기본정보'!B$2*'일자별 주가'!B312</f>
        <v>188680000000</v>
      </c>
      <c r="C312" s="7" t="n">
        <f aca="false">'종목 기본정보'!C$2*'일자별 주가'!C312</f>
        <v>140605000000</v>
      </c>
      <c r="D312" s="7" t="n">
        <f aca="false">'종목 기본정보'!D$2*'일자별 주가'!D312</f>
        <v>1167460000000</v>
      </c>
      <c r="E312" s="7" t="n">
        <f aca="false">'종목 기본정보'!E$2*'일자별 주가'!E312</f>
        <v>103841000000</v>
      </c>
      <c r="F312" s="7" t="n">
        <f aca="false">'종목 기본정보'!F$2*'일자별 주가'!F312</f>
        <v>2375708000000</v>
      </c>
      <c r="G312" s="7" t="n">
        <f aca="false">SUM(B312:F312)</f>
        <v>3976294000000</v>
      </c>
      <c r="H312" s="9" t="n">
        <f aca="false">G312*100/G$2</f>
        <v>209.278631578947</v>
      </c>
    </row>
    <row r="313" customFormat="false" ht="13.8" hidden="false" customHeight="false" outlineLevel="0" collapsed="false">
      <c r="A313" s="0" t="n">
        <v>312</v>
      </c>
      <c r="B313" s="7" t="n">
        <f aca="false">'종목 기본정보'!B$2*'일자별 주가'!B313</f>
        <v>193020000000</v>
      </c>
      <c r="C313" s="7" t="n">
        <f aca="false">'종목 기본정보'!C$2*'일자별 주가'!C313</f>
        <v>138370000000</v>
      </c>
      <c r="D313" s="7" t="n">
        <f aca="false">'종목 기본정보'!D$2*'일자별 주가'!D313</f>
        <v>1198760000000</v>
      </c>
      <c r="E313" s="7" t="n">
        <f aca="false">'종목 기본정보'!E$2*'일자별 주가'!E313</f>
        <v>102980000000</v>
      </c>
      <c r="F313" s="7" t="n">
        <f aca="false">'종목 기본정보'!F$2*'일자별 주가'!F313</f>
        <v>2370878000000</v>
      </c>
      <c r="G313" s="7" t="n">
        <f aca="false">SUM(B313:F313)</f>
        <v>4004008000000</v>
      </c>
      <c r="H313" s="9" t="n">
        <f aca="false">G313*100/G$2</f>
        <v>210.737263157895</v>
      </c>
    </row>
    <row r="314" customFormat="false" ht="13.8" hidden="false" customHeight="false" outlineLevel="0" collapsed="false">
      <c r="A314" s="0" t="n">
        <v>313</v>
      </c>
      <c r="B314" s="7" t="n">
        <f aca="false">'종목 기본정보'!B$2*'일자별 주가'!B314</f>
        <v>196790000000</v>
      </c>
      <c r="C314" s="7" t="n">
        <f aca="false">'종목 기본정보'!C$2*'일자별 주가'!C314</f>
        <v>140945000000</v>
      </c>
      <c r="D314" s="7" t="n">
        <f aca="false">'종목 기본정보'!D$2*'일자별 주가'!D314</f>
        <v>1216160000000</v>
      </c>
      <c r="E314" s="7" t="n">
        <f aca="false">'종목 기본정보'!E$2*'일자별 주가'!E314</f>
        <v>102850000000</v>
      </c>
      <c r="F314" s="7" t="n">
        <f aca="false">'종목 기본정보'!F$2*'일자별 주가'!F314</f>
        <v>2354661000000</v>
      </c>
      <c r="G314" s="7" t="n">
        <f aca="false">SUM(B314:F314)</f>
        <v>4011406000000</v>
      </c>
      <c r="H314" s="9" t="n">
        <f aca="false">G314*100/G$2</f>
        <v>211.126631578947</v>
      </c>
    </row>
    <row r="315" customFormat="false" ht="13.8" hidden="false" customHeight="false" outlineLevel="0" collapsed="false">
      <c r="A315" s="0" t="n">
        <v>314</v>
      </c>
      <c r="B315" s="7" t="n">
        <f aca="false">'종목 기본정보'!B$2*'일자별 주가'!B315</f>
        <v>199310000000</v>
      </c>
      <c r="C315" s="7" t="n">
        <f aca="false">'종목 기본정보'!C$2*'일자별 주가'!C315</f>
        <v>144375000000</v>
      </c>
      <c r="D315" s="7" t="n">
        <f aca="false">'종목 기본정보'!D$2*'일자별 주가'!D315</f>
        <v>1242740000000</v>
      </c>
      <c r="E315" s="7" t="n">
        <f aca="false">'종목 기본정보'!E$2*'일자별 주가'!E315</f>
        <v>101349000000</v>
      </c>
      <c r="F315" s="7" t="n">
        <f aca="false">'종목 기본정보'!F$2*'일자별 주가'!F315</f>
        <v>2349597000000</v>
      </c>
      <c r="G315" s="7" t="n">
        <f aca="false">SUM(B315:F315)</f>
        <v>4037371000000</v>
      </c>
      <c r="H315" s="9" t="n">
        <f aca="false">G315*100/G$2</f>
        <v>212.493210526316</v>
      </c>
    </row>
    <row r="316" customFormat="false" ht="13.8" hidden="false" customHeight="false" outlineLevel="0" collapsed="false">
      <c r="A316" s="0" t="n">
        <v>315</v>
      </c>
      <c r="B316" s="7" t="n">
        <f aca="false">'종목 기본정보'!B$2*'일자별 주가'!B316</f>
        <v>195120000000</v>
      </c>
      <c r="C316" s="7" t="n">
        <f aca="false">'종목 기본정보'!C$2*'일자별 주가'!C316</f>
        <v>144025000000</v>
      </c>
      <c r="D316" s="7" t="n">
        <f aca="false">'종목 기본정보'!D$2*'일자별 주가'!D316</f>
        <v>1215480000000</v>
      </c>
      <c r="E316" s="7" t="n">
        <f aca="false">'종목 기본정보'!E$2*'일자별 주가'!E316</f>
        <v>100604000000</v>
      </c>
      <c r="F316" s="7" t="n">
        <f aca="false">'종목 기본정보'!F$2*'일자별 주가'!F316</f>
        <v>2327851000000</v>
      </c>
      <c r="G316" s="7" t="n">
        <f aca="false">SUM(B316:F316)</f>
        <v>3983080000000</v>
      </c>
      <c r="H316" s="9" t="n">
        <f aca="false">G316*100/G$2</f>
        <v>209.635789473684</v>
      </c>
    </row>
    <row r="317" customFormat="false" ht="13.8" hidden="false" customHeight="false" outlineLevel="0" collapsed="false">
      <c r="A317" s="0" t="n">
        <v>316</v>
      </c>
      <c r="B317" s="7" t="n">
        <f aca="false">'종목 기본정보'!B$2*'일자별 주가'!B317</f>
        <v>191380000000</v>
      </c>
      <c r="C317" s="7" t="n">
        <f aca="false">'종목 기본정보'!C$2*'일자별 주가'!C317</f>
        <v>142200000000</v>
      </c>
      <c r="D317" s="7" t="n">
        <f aca="false">'종목 기본정보'!D$2*'일자별 주가'!D317</f>
        <v>1218560000000</v>
      </c>
      <c r="E317" s="7" t="n">
        <f aca="false">'종목 기본정보'!E$2*'일자별 주가'!E317</f>
        <v>101118000000</v>
      </c>
      <c r="F317" s="7" t="n">
        <f aca="false">'종목 기본정보'!F$2*'일자별 주가'!F317</f>
        <v>2401862000000</v>
      </c>
      <c r="G317" s="7" t="n">
        <f aca="false">SUM(B317:F317)</f>
        <v>4055120000000</v>
      </c>
      <c r="H317" s="9" t="n">
        <f aca="false">G317*100/G$2</f>
        <v>213.427368421053</v>
      </c>
    </row>
    <row r="318" customFormat="false" ht="13.8" hidden="false" customHeight="false" outlineLevel="0" collapsed="false">
      <c r="A318" s="0" t="n">
        <v>317</v>
      </c>
      <c r="B318" s="7" t="n">
        <f aca="false">'종목 기본정보'!B$2*'일자별 주가'!B318</f>
        <v>186740000000</v>
      </c>
      <c r="C318" s="7" t="n">
        <f aca="false">'종목 기본정보'!C$2*'일자별 주가'!C318</f>
        <v>145130000000</v>
      </c>
      <c r="D318" s="7" t="n">
        <f aca="false">'종목 기본정보'!D$2*'일자별 주가'!D318</f>
        <v>1205540000000</v>
      </c>
      <c r="E318" s="7" t="n">
        <f aca="false">'종목 기본정보'!E$2*'일자별 주가'!E318</f>
        <v>101309000000</v>
      </c>
      <c r="F318" s="7" t="n">
        <f aca="false">'종목 기본정보'!F$2*'일자별 주가'!F318</f>
        <v>2432166000000</v>
      </c>
      <c r="G318" s="7" t="n">
        <f aca="false">SUM(B318:F318)</f>
        <v>4070885000000</v>
      </c>
      <c r="H318" s="9" t="n">
        <f aca="false">G318*100/G$2</f>
        <v>214.257105263158</v>
      </c>
    </row>
    <row r="319" customFormat="false" ht="13.8" hidden="false" customHeight="false" outlineLevel="0" collapsed="false">
      <c r="A319" s="0" t="n">
        <v>318</v>
      </c>
      <c r="B319" s="7" t="n">
        <f aca="false">'종목 기본정보'!B$2*'일자별 주가'!B319</f>
        <v>186530000000</v>
      </c>
      <c r="C319" s="7" t="n">
        <f aca="false">'종목 기본정보'!C$2*'일자별 주가'!C319</f>
        <v>141715000000</v>
      </c>
      <c r="D319" s="7" t="n">
        <f aca="false">'종목 기본정보'!D$2*'일자별 주가'!D319</f>
        <v>1219520000000</v>
      </c>
      <c r="E319" s="7" t="n">
        <f aca="false">'종목 기본정보'!E$2*'일자별 주가'!E319</f>
        <v>101677000000</v>
      </c>
      <c r="F319" s="7" t="n">
        <f aca="false">'종목 기본정보'!F$2*'일자별 주가'!F319</f>
        <v>2512122000000</v>
      </c>
      <c r="G319" s="7" t="n">
        <f aca="false">SUM(B319:F319)</f>
        <v>4161564000000</v>
      </c>
      <c r="H319" s="9" t="n">
        <f aca="false">G319*100/G$2</f>
        <v>219.029684210526</v>
      </c>
    </row>
    <row r="320" customFormat="false" ht="13.8" hidden="false" customHeight="false" outlineLevel="0" collapsed="false">
      <c r="A320" s="0" t="n">
        <v>319</v>
      </c>
      <c r="B320" s="7" t="n">
        <f aca="false">'종목 기본정보'!B$2*'일자별 주가'!B320</f>
        <v>184170000000</v>
      </c>
      <c r="C320" s="7" t="n">
        <f aca="false">'종목 기본정보'!C$2*'일자별 주가'!C320</f>
        <v>138350000000</v>
      </c>
      <c r="D320" s="7" t="n">
        <f aca="false">'종목 기본정보'!D$2*'일자별 주가'!D320</f>
        <v>1232160000000</v>
      </c>
      <c r="E320" s="7" t="n">
        <f aca="false">'종목 기본정보'!E$2*'일자별 주가'!E320</f>
        <v>102760000000</v>
      </c>
      <c r="F320" s="7" t="n">
        <f aca="false">'종목 기본정보'!F$2*'일자별 주가'!F320</f>
        <v>2526054000000</v>
      </c>
      <c r="G320" s="7" t="n">
        <f aca="false">SUM(B320:F320)</f>
        <v>4183494000000</v>
      </c>
      <c r="H320" s="9" t="n">
        <f aca="false">G320*100/G$2</f>
        <v>220.183894736842</v>
      </c>
    </row>
    <row r="321" customFormat="false" ht="13.8" hidden="false" customHeight="false" outlineLevel="0" collapsed="false">
      <c r="A321" s="0" t="n">
        <v>320</v>
      </c>
      <c r="B321" s="7" t="n">
        <f aca="false">'종목 기본정보'!B$2*'일자별 주가'!B321</f>
        <v>180830000000</v>
      </c>
      <c r="C321" s="7" t="n">
        <f aca="false">'종목 기본정보'!C$2*'일자별 주가'!C321</f>
        <v>138185000000</v>
      </c>
      <c r="D321" s="7" t="n">
        <f aca="false">'종목 기본정보'!D$2*'일자별 주가'!D321</f>
        <v>1225020000000</v>
      </c>
      <c r="E321" s="7" t="n">
        <f aca="false">'종목 기본정보'!E$2*'일자별 주가'!E321</f>
        <v>103593000000</v>
      </c>
      <c r="F321" s="7" t="n">
        <f aca="false">'종목 기본정보'!F$2*'일자별 주가'!F321</f>
        <v>2588478000000</v>
      </c>
      <c r="G321" s="7" t="n">
        <f aca="false">SUM(B321:F321)</f>
        <v>4236106000000</v>
      </c>
      <c r="H321" s="9" t="n">
        <f aca="false">G321*100/G$2</f>
        <v>222.952947368421</v>
      </c>
    </row>
    <row r="322" customFormat="false" ht="13.8" hidden="false" customHeight="false" outlineLevel="0" collapsed="false">
      <c r="A322" s="0" t="n">
        <v>321</v>
      </c>
      <c r="B322" s="7" t="n">
        <f aca="false">'종목 기본정보'!B$2*'일자별 주가'!B322</f>
        <v>181730000000</v>
      </c>
      <c r="C322" s="7" t="n">
        <f aca="false">'종목 기본정보'!C$2*'일자별 주가'!C322</f>
        <v>136830000000</v>
      </c>
      <c r="D322" s="7" t="n">
        <f aca="false">'종목 기본정보'!D$2*'일자별 주가'!D322</f>
        <v>1199780000000</v>
      </c>
      <c r="E322" s="7" t="n">
        <f aca="false">'종목 기본정보'!E$2*'일자별 주가'!E322</f>
        <v>106450000000</v>
      </c>
      <c r="F322" s="7" t="n">
        <f aca="false">'종목 기본정보'!F$2*'일자별 주가'!F322</f>
        <v>2575851000000</v>
      </c>
      <c r="G322" s="7" t="n">
        <f aca="false">SUM(B322:F322)</f>
        <v>4200641000000</v>
      </c>
      <c r="H322" s="9" t="n">
        <f aca="false">G322*100/G$2</f>
        <v>221.086368421053</v>
      </c>
    </row>
    <row r="323" customFormat="false" ht="13.8" hidden="false" customHeight="false" outlineLevel="0" collapsed="false">
      <c r="A323" s="0" t="n">
        <v>322</v>
      </c>
      <c r="B323" s="7" t="n">
        <f aca="false">'종목 기본정보'!B$2*'일자별 주가'!B323</f>
        <v>180290000000</v>
      </c>
      <c r="C323" s="7" t="n">
        <f aca="false">'종목 기본정보'!C$2*'일자별 주가'!C323</f>
        <v>136085000000</v>
      </c>
      <c r="D323" s="7" t="n">
        <f aca="false">'종목 기본정보'!D$2*'일자별 주가'!D323</f>
        <v>1223780000000</v>
      </c>
      <c r="E323" s="7" t="n">
        <f aca="false">'종목 기본정보'!E$2*'일자별 주가'!E323</f>
        <v>105744000000</v>
      </c>
      <c r="F323" s="7" t="n">
        <f aca="false">'종목 기본정보'!F$2*'일자별 주가'!F323</f>
        <v>2611542000000</v>
      </c>
      <c r="G323" s="7" t="n">
        <f aca="false">SUM(B323:F323)</f>
        <v>4257441000000</v>
      </c>
      <c r="H323" s="9" t="n">
        <f aca="false">G323*100/G$2</f>
        <v>224.075842105263</v>
      </c>
    </row>
    <row r="324" customFormat="false" ht="13.8" hidden="false" customHeight="false" outlineLevel="0" collapsed="false">
      <c r="A324" s="0" t="n">
        <v>323</v>
      </c>
      <c r="B324" s="7" t="n">
        <f aca="false">'종목 기본정보'!B$2*'일자별 주가'!B324</f>
        <v>176440000000</v>
      </c>
      <c r="C324" s="7" t="n">
        <f aca="false">'종목 기본정보'!C$2*'일자별 주가'!C324</f>
        <v>140225000000</v>
      </c>
      <c r="D324" s="7" t="n">
        <f aca="false">'종목 기본정보'!D$2*'일자별 주가'!D324</f>
        <v>1233880000000</v>
      </c>
      <c r="E324" s="7" t="n">
        <f aca="false">'종목 기본정보'!E$2*'일자별 주가'!E324</f>
        <v>106822000000</v>
      </c>
      <c r="F324" s="7" t="n">
        <f aca="false">'종목 기본정보'!F$2*'일자별 주가'!F324</f>
        <v>2578896000000</v>
      </c>
      <c r="G324" s="7" t="n">
        <f aca="false">SUM(B324:F324)</f>
        <v>4236263000000</v>
      </c>
      <c r="H324" s="9" t="n">
        <f aca="false">G324*100/G$2</f>
        <v>222.961210526316</v>
      </c>
    </row>
    <row r="325" customFormat="false" ht="13.8" hidden="false" customHeight="false" outlineLevel="0" collapsed="false">
      <c r="A325" s="0" t="n">
        <v>324</v>
      </c>
      <c r="B325" s="7" t="n">
        <f aca="false">'종목 기본정보'!B$2*'일자별 주가'!B325</f>
        <v>179390000000</v>
      </c>
      <c r="C325" s="7" t="n">
        <f aca="false">'종목 기본정보'!C$2*'일자별 주가'!C325</f>
        <v>136250000000</v>
      </c>
      <c r="D325" s="7" t="n">
        <f aca="false">'종목 기본정보'!D$2*'일자별 주가'!D325</f>
        <v>1214500000000</v>
      </c>
      <c r="E325" s="7" t="n">
        <f aca="false">'종목 기본정보'!E$2*'일자별 주가'!E325</f>
        <v>106175000000</v>
      </c>
      <c r="F325" s="7" t="n">
        <f aca="false">'종목 기본정보'!F$2*'일자별 주가'!F325</f>
        <v>2575557000000</v>
      </c>
      <c r="G325" s="7" t="n">
        <f aca="false">SUM(B325:F325)</f>
        <v>4211872000000</v>
      </c>
      <c r="H325" s="9" t="n">
        <f aca="false">G325*100/G$2</f>
        <v>221.677473684211</v>
      </c>
    </row>
    <row r="326" customFormat="false" ht="13.8" hidden="false" customHeight="false" outlineLevel="0" collapsed="false">
      <c r="A326" s="0" t="n">
        <v>325</v>
      </c>
      <c r="B326" s="7" t="n">
        <f aca="false">'종목 기본정보'!B$2*'일자별 주가'!B326</f>
        <v>174090000000</v>
      </c>
      <c r="C326" s="7" t="n">
        <f aca="false">'종목 기본정보'!C$2*'일자별 주가'!C326</f>
        <v>133800000000</v>
      </c>
      <c r="D326" s="7" t="n">
        <f aca="false">'종목 기본정보'!D$2*'일자별 주가'!D326</f>
        <v>1244740000000</v>
      </c>
      <c r="E326" s="7" t="n">
        <f aca="false">'종목 기본정보'!E$2*'일자별 주가'!E326</f>
        <v>104972000000</v>
      </c>
      <c r="F326" s="7" t="n">
        <f aca="false">'종목 기본정보'!F$2*'일자별 주가'!F326</f>
        <v>2554734000000</v>
      </c>
      <c r="G326" s="7" t="n">
        <f aca="false">SUM(B326:F326)</f>
        <v>4212336000000</v>
      </c>
      <c r="H326" s="9" t="n">
        <f aca="false">G326*100/G$2</f>
        <v>221.701894736842</v>
      </c>
    </row>
    <row r="327" customFormat="false" ht="13.8" hidden="false" customHeight="false" outlineLevel="0" collapsed="false">
      <c r="A327" s="0" t="n">
        <v>326</v>
      </c>
      <c r="B327" s="7" t="n">
        <f aca="false">'종목 기본정보'!B$2*'일자별 주가'!B327</f>
        <v>174820000000</v>
      </c>
      <c r="C327" s="7" t="n">
        <f aca="false">'종목 기본정보'!C$2*'일자별 주가'!C327</f>
        <v>136975000000</v>
      </c>
      <c r="D327" s="7" t="n">
        <f aca="false">'종목 기본정보'!D$2*'일자별 주가'!D327</f>
        <v>1226580000000</v>
      </c>
      <c r="E327" s="7" t="n">
        <f aca="false">'종목 기본정보'!E$2*'일자별 주가'!E327</f>
        <v>108330000000</v>
      </c>
      <c r="F327" s="7" t="n">
        <f aca="false">'종목 기본정보'!F$2*'일자별 주가'!F327</f>
        <v>2527905000000</v>
      </c>
      <c r="G327" s="7" t="n">
        <f aca="false">SUM(B327:F327)</f>
        <v>4174610000000</v>
      </c>
      <c r="H327" s="9" t="n">
        <f aca="false">G327*100/G$2</f>
        <v>219.716315789474</v>
      </c>
    </row>
    <row r="328" customFormat="false" ht="13.8" hidden="false" customHeight="false" outlineLevel="0" collapsed="false">
      <c r="A328" s="0" t="n">
        <v>327</v>
      </c>
      <c r="B328" s="7" t="n">
        <f aca="false">'종목 기본정보'!B$2*'일자별 주가'!B328</f>
        <v>172870000000</v>
      </c>
      <c r="C328" s="7" t="n">
        <f aca="false">'종목 기본정보'!C$2*'일자별 주가'!C328</f>
        <v>137370000000</v>
      </c>
      <c r="D328" s="7" t="n">
        <f aca="false">'종목 기본정보'!D$2*'일자별 주가'!D328</f>
        <v>1234560000000</v>
      </c>
      <c r="E328" s="7" t="n">
        <f aca="false">'종목 기본정보'!E$2*'일자별 주가'!E328</f>
        <v>106849000000</v>
      </c>
      <c r="F328" s="7" t="n">
        <f aca="false">'종목 기본정보'!F$2*'일자별 주가'!F328</f>
        <v>2485311000000</v>
      </c>
      <c r="G328" s="7" t="n">
        <f aca="false">SUM(B328:F328)</f>
        <v>4136960000000</v>
      </c>
      <c r="H328" s="9" t="n">
        <f aca="false">G328*100/G$2</f>
        <v>217.734736842105</v>
      </c>
    </row>
    <row r="329" customFormat="false" ht="13.8" hidden="false" customHeight="false" outlineLevel="0" collapsed="false">
      <c r="A329" s="0" t="n">
        <v>328</v>
      </c>
      <c r="B329" s="7" t="n">
        <f aca="false">'종목 기본정보'!B$2*'일자별 주가'!B329</f>
        <v>170170000000</v>
      </c>
      <c r="C329" s="7" t="n">
        <f aca="false">'종목 기본정보'!C$2*'일자별 주가'!C329</f>
        <v>133400000000</v>
      </c>
      <c r="D329" s="7" t="n">
        <f aca="false">'종목 기본정보'!D$2*'일자별 주가'!D329</f>
        <v>1232080000000</v>
      </c>
      <c r="E329" s="7" t="n">
        <f aca="false">'종목 기본정보'!E$2*'일자별 주가'!E329</f>
        <v>106525000000</v>
      </c>
      <c r="F329" s="7" t="n">
        <f aca="false">'종목 기본정보'!F$2*'일자별 주가'!F329</f>
        <v>2502063000000</v>
      </c>
      <c r="G329" s="7" t="n">
        <f aca="false">SUM(B329:F329)</f>
        <v>4144238000000</v>
      </c>
      <c r="H329" s="9" t="n">
        <f aca="false">G329*100/G$2</f>
        <v>218.117789473684</v>
      </c>
    </row>
    <row r="330" customFormat="false" ht="13.8" hidden="false" customHeight="false" outlineLevel="0" collapsed="false">
      <c r="A330" s="0" t="n">
        <v>329</v>
      </c>
      <c r="B330" s="7" t="n">
        <f aca="false">'종목 기본정보'!B$2*'일자별 주가'!B330</f>
        <v>171270000000</v>
      </c>
      <c r="C330" s="7" t="n">
        <f aca="false">'종목 기본정보'!C$2*'일자별 주가'!C330</f>
        <v>132460000000</v>
      </c>
      <c r="D330" s="7" t="n">
        <f aca="false">'종목 기본정보'!D$2*'일자별 주가'!D330</f>
        <v>1270920000000</v>
      </c>
      <c r="E330" s="7" t="n">
        <f aca="false">'종목 기본정보'!E$2*'일자별 주가'!E330</f>
        <v>108286000000</v>
      </c>
      <c r="F330" s="7" t="n">
        <f aca="false">'종목 기본정보'!F$2*'일자별 주가'!F330</f>
        <v>2437812000000</v>
      </c>
      <c r="G330" s="7" t="n">
        <f aca="false">SUM(B330:F330)</f>
        <v>4120748000000</v>
      </c>
      <c r="H330" s="9" t="n">
        <f aca="false">G330*100/G$2</f>
        <v>216.881473684211</v>
      </c>
    </row>
    <row r="331" customFormat="false" ht="13.8" hidden="false" customHeight="false" outlineLevel="0" collapsed="false">
      <c r="A331" s="0" t="n">
        <v>330</v>
      </c>
      <c r="B331" s="7" t="n">
        <f aca="false">'종목 기본정보'!B$2*'일자별 주가'!B331</f>
        <v>169920000000</v>
      </c>
      <c r="C331" s="7" t="n">
        <f aca="false">'종목 기본정보'!C$2*'일자별 주가'!C331</f>
        <v>130460000000</v>
      </c>
      <c r="D331" s="7" t="n">
        <f aca="false">'종목 기본정보'!D$2*'일자별 주가'!D331</f>
        <v>1281260000000</v>
      </c>
      <c r="E331" s="7" t="n">
        <f aca="false">'종목 기본정보'!E$2*'일자별 주가'!E331</f>
        <v>105684000000</v>
      </c>
      <c r="F331" s="7" t="n">
        <f aca="false">'종목 기본정보'!F$2*'일자별 주가'!F331</f>
        <v>2455637000000</v>
      </c>
      <c r="G331" s="7" t="n">
        <f aca="false">SUM(B331:F331)</f>
        <v>4142961000000</v>
      </c>
      <c r="H331" s="9" t="n">
        <f aca="false">G331*100/G$2</f>
        <v>218.050578947368</v>
      </c>
    </row>
    <row r="332" customFormat="false" ht="13.8" hidden="false" customHeight="false" outlineLevel="0" collapsed="false">
      <c r="A332" s="0" t="n">
        <v>331</v>
      </c>
      <c r="B332" s="7" t="n">
        <f aca="false">'종목 기본정보'!B$2*'일자별 주가'!B332</f>
        <v>169710000000</v>
      </c>
      <c r="C332" s="7" t="n">
        <f aca="false">'종목 기본정보'!C$2*'일자별 주가'!C332</f>
        <v>131530000000</v>
      </c>
      <c r="D332" s="7" t="n">
        <f aca="false">'종목 기본정보'!D$2*'일자별 주가'!D332</f>
        <v>1306680000000</v>
      </c>
      <c r="E332" s="7" t="n">
        <f aca="false">'종목 기본정보'!E$2*'일자별 주가'!E332</f>
        <v>103687000000</v>
      </c>
      <c r="F332" s="7" t="n">
        <f aca="false">'종목 기본정보'!F$2*'일자별 주가'!F332</f>
        <v>2534205000000</v>
      </c>
      <c r="G332" s="7" t="n">
        <f aca="false">SUM(B332:F332)</f>
        <v>4245812000000</v>
      </c>
      <c r="H332" s="9" t="n">
        <f aca="false">G332*100/G$2</f>
        <v>223.463789473684</v>
      </c>
    </row>
    <row r="333" customFormat="false" ht="13.8" hidden="false" customHeight="false" outlineLevel="0" collapsed="false">
      <c r="A333" s="0" t="n">
        <v>332</v>
      </c>
      <c r="B333" s="7" t="n">
        <f aca="false">'종목 기본정보'!B$2*'일자별 주가'!B333</f>
        <v>166250000000</v>
      </c>
      <c r="C333" s="7" t="n">
        <f aca="false">'종목 기본정보'!C$2*'일자별 주가'!C333</f>
        <v>130910000000</v>
      </c>
      <c r="D333" s="7" t="n">
        <f aca="false">'종목 기본정보'!D$2*'일자별 주가'!D333</f>
        <v>1282920000000</v>
      </c>
      <c r="E333" s="7" t="n">
        <f aca="false">'종목 기본정보'!E$2*'일자별 주가'!E333</f>
        <v>104899000000</v>
      </c>
      <c r="F333" s="7" t="n">
        <f aca="false">'종목 기본정보'!F$2*'일자별 주가'!F333</f>
        <v>2512252000000</v>
      </c>
      <c r="G333" s="7" t="n">
        <f aca="false">SUM(B333:F333)</f>
        <v>4197231000000</v>
      </c>
      <c r="H333" s="9" t="n">
        <f aca="false">G333*100/G$2</f>
        <v>220.906894736842</v>
      </c>
    </row>
    <row r="334" customFormat="false" ht="13.8" hidden="false" customHeight="false" outlineLevel="0" collapsed="false">
      <c r="A334" s="0" t="n">
        <v>333</v>
      </c>
      <c r="B334" s="7" t="n">
        <f aca="false">'종목 기본정보'!B$2*'일자별 주가'!B334</f>
        <v>163500000000</v>
      </c>
      <c r="C334" s="7" t="n">
        <f aca="false">'종목 기본정보'!C$2*'일자별 주가'!C334</f>
        <v>129650000000</v>
      </c>
      <c r="D334" s="7" t="n">
        <f aca="false">'종목 기본정보'!D$2*'일자별 주가'!D334</f>
        <v>1319460000000</v>
      </c>
      <c r="E334" s="7" t="n">
        <f aca="false">'종목 기본정보'!E$2*'일자별 주가'!E334</f>
        <v>102988000000</v>
      </c>
      <c r="F334" s="7" t="n">
        <f aca="false">'종목 기본정보'!F$2*'일자별 주가'!F334</f>
        <v>2513863000000</v>
      </c>
      <c r="G334" s="7" t="n">
        <f aca="false">SUM(B334:F334)</f>
        <v>4229461000000</v>
      </c>
      <c r="H334" s="9" t="n">
        <f aca="false">G334*100/G$2</f>
        <v>222.603210526316</v>
      </c>
    </row>
    <row r="335" customFormat="false" ht="13.8" hidden="false" customHeight="false" outlineLevel="0" collapsed="false">
      <c r="A335" s="0" t="n">
        <v>334</v>
      </c>
      <c r="B335" s="7" t="n">
        <f aca="false">'종목 기본정보'!B$2*'일자별 주가'!B335</f>
        <v>165220000000</v>
      </c>
      <c r="C335" s="7" t="n">
        <f aca="false">'종목 기본정보'!C$2*'일자별 주가'!C335</f>
        <v>126665000000</v>
      </c>
      <c r="D335" s="7" t="n">
        <f aca="false">'종목 기본정보'!D$2*'일자별 주가'!D335</f>
        <v>1354700000000</v>
      </c>
      <c r="E335" s="7" t="n">
        <f aca="false">'종목 기본정보'!E$2*'일자별 주가'!E335</f>
        <v>100763000000</v>
      </c>
      <c r="F335" s="7" t="n">
        <f aca="false">'종목 기본정보'!F$2*'일자별 주가'!F335</f>
        <v>2449986000000</v>
      </c>
      <c r="G335" s="7" t="n">
        <f aca="false">SUM(B335:F335)</f>
        <v>4197334000000</v>
      </c>
      <c r="H335" s="9" t="n">
        <f aca="false">G335*100/G$2</f>
        <v>220.912315789474</v>
      </c>
    </row>
    <row r="336" customFormat="false" ht="13.8" hidden="false" customHeight="false" outlineLevel="0" collapsed="false">
      <c r="A336" s="0" t="n">
        <v>335</v>
      </c>
      <c r="B336" s="7" t="n">
        <f aca="false">'종목 기본정보'!B$2*'일자별 주가'!B336</f>
        <v>166950000000</v>
      </c>
      <c r="C336" s="7" t="n">
        <f aca="false">'종목 기본정보'!C$2*'일자별 주가'!C336</f>
        <v>124590000000</v>
      </c>
      <c r="D336" s="7" t="n">
        <f aca="false">'종목 기본정보'!D$2*'일자별 주가'!D336</f>
        <v>1328440000000</v>
      </c>
      <c r="E336" s="7" t="n">
        <f aca="false">'종목 기본정보'!E$2*'일자별 주가'!E336</f>
        <v>98597000000</v>
      </c>
      <c r="F336" s="7" t="n">
        <f aca="false">'종목 기본정보'!F$2*'일자별 주가'!F336</f>
        <v>2385615000000</v>
      </c>
      <c r="G336" s="7" t="n">
        <f aca="false">SUM(B336:F336)</f>
        <v>4104192000000</v>
      </c>
      <c r="H336" s="9" t="n">
        <f aca="false">G336*100/G$2</f>
        <v>216.010105263158</v>
      </c>
    </row>
    <row r="337" customFormat="false" ht="13.8" hidden="false" customHeight="false" outlineLevel="0" collapsed="false">
      <c r="A337" s="0" t="n">
        <v>336</v>
      </c>
      <c r="B337" s="7" t="n">
        <f aca="false">'종목 기본정보'!B$2*'일자별 주가'!B337</f>
        <v>168280000000</v>
      </c>
      <c r="C337" s="7" t="n">
        <f aca="false">'종목 기본정보'!C$2*'일자별 주가'!C337</f>
        <v>125245000000</v>
      </c>
      <c r="D337" s="7" t="n">
        <f aca="false">'종목 기본정보'!D$2*'일자별 주가'!D337</f>
        <v>1367200000000</v>
      </c>
      <c r="E337" s="7" t="n">
        <f aca="false">'종목 기본정보'!E$2*'일자별 주가'!E337</f>
        <v>100322000000</v>
      </c>
      <c r="F337" s="7" t="n">
        <f aca="false">'종목 기본정보'!F$2*'일자별 주가'!F337</f>
        <v>2435743000000</v>
      </c>
      <c r="G337" s="7" t="n">
        <f aca="false">SUM(B337:F337)</f>
        <v>4196790000000</v>
      </c>
      <c r="H337" s="9" t="n">
        <f aca="false">G337*100/G$2</f>
        <v>220.883684210526</v>
      </c>
    </row>
    <row r="338" customFormat="false" ht="13.8" hidden="false" customHeight="false" outlineLevel="0" collapsed="false">
      <c r="A338" s="0" t="n">
        <v>337</v>
      </c>
      <c r="B338" s="7" t="n">
        <f aca="false">'종목 기본정보'!B$2*'일자별 주가'!B338</f>
        <v>171520000000</v>
      </c>
      <c r="C338" s="7" t="n">
        <f aca="false">'종목 기본정보'!C$2*'일자별 주가'!C338</f>
        <v>123950000000</v>
      </c>
      <c r="D338" s="7" t="n">
        <f aca="false">'종목 기본정보'!D$2*'일자별 주가'!D338</f>
        <v>1336920000000</v>
      </c>
      <c r="E338" s="7" t="n">
        <f aca="false">'종목 기본정보'!E$2*'일자별 주가'!E338</f>
        <v>103286000000</v>
      </c>
      <c r="F338" s="7" t="n">
        <f aca="false">'종목 기본정보'!F$2*'일자별 주가'!F338</f>
        <v>2458125000000</v>
      </c>
      <c r="G338" s="7" t="n">
        <f aca="false">SUM(B338:F338)</f>
        <v>4193801000000</v>
      </c>
      <c r="H338" s="9" t="n">
        <f aca="false">G338*100/G$2</f>
        <v>220.726368421053</v>
      </c>
    </row>
    <row r="339" customFormat="false" ht="13.8" hidden="false" customHeight="false" outlineLevel="0" collapsed="false">
      <c r="A339" s="0" t="n">
        <v>338</v>
      </c>
      <c r="B339" s="7" t="n">
        <f aca="false">'종목 기본정보'!B$2*'일자별 주가'!B339</f>
        <v>174510000000</v>
      </c>
      <c r="C339" s="7" t="n">
        <f aca="false">'종목 기본정보'!C$2*'일자별 주가'!C339</f>
        <v>127390000000</v>
      </c>
      <c r="D339" s="7" t="n">
        <f aca="false">'종목 기본정보'!D$2*'일자별 주가'!D339</f>
        <v>1357740000000</v>
      </c>
      <c r="E339" s="7" t="n">
        <f aca="false">'종목 기본정보'!E$2*'일자별 주가'!E339</f>
        <v>106364000000</v>
      </c>
      <c r="F339" s="7" t="n">
        <f aca="false">'종목 기본정보'!F$2*'일자별 주가'!F339</f>
        <v>2527894000000</v>
      </c>
      <c r="G339" s="7" t="n">
        <f aca="false">SUM(B339:F339)</f>
        <v>4293898000000</v>
      </c>
      <c r="H339" s="9" t="n">
        <f aca="false">G339*100/G$2</f>
        <v>225.994631578947</v>
      </c>
    </row>
    <row r="340" customFormat="false" ht="13.8" hidden="false" customHeight="false" outlineLevel="0" collapsed="false">
      <c r="A340" s="0" t="n">
        <v>339</v>
      </c>
      <c r="B340" s="7" t="n">
        <f aca="false">'종목 기본정보'!B$2*'일자별 주가'!B340</f>
        <v>170350000000</v>
      </c>
      <c r="C340" s="7" t="n">
        <f aca="false">'종목 기본정보'!C$2*'일자별 주가'!C340</f>
        <v>125570000000</v>
      </c>
      <c r="D340" s="7" t="n">
        <f aca="false">'종목 기본정보'!D$2*'일자별 주가'!D340</f>
        <v>1368160000000</v>
      </c>
      <c r="E340" s="7" t="n">
        <f aca="false">'종목 기본정보'!E$2*'일자별 주가'!E340</f>
        <v>105555000000</v>
      </c>
      <c r="F340" s="7" t="n">
        <f aca="false">'종목 기본정보'!F$2*'일자별 주가'!F340</f>
        <v>2491423000000</v>
      </c>
      <c r="G340" s="7" t="n">
        <f aca="false">SUM(B340:F340)</f>
        <v>4261058000000</v>
      </c>
      <c r="H340" s="9" t="n">
        <f aca="false">G340*100/G$2</f>
        <v>224.266210526316</v>
      </c>
    </row>
    <row r="341" customFormat="false" ht="13.8" hidden="false" customHeight="false" outlineLevel="0" collapsed="false">
      <c r="A341" s="0" t="n">
        <v>340</v>
      </c>
      <c r="B341" s="7" t="n">
        <f aca="false">'종목 기본정보'!B$2*'일자별 주가'!B341</f>
        <v>169600000000</v>
      </c>
      <c r="C341" s="7" t="n">
        <f aca="false">'종목 기본정보'!C$2*'일자별 주가'!C341</f>
        <v>127510000000</v>
      </c>
      <c r="D341" s="7" t="n">
        <f aca="false">'종목 기본정보'!D$2*'일자별 주가'!D341</f>
        <v>1408580000000</v>
      </c>
      <c r="E341" s="7" t="n">
        <f aca="false">'종목 기본정보'!E$2*'일자별 주가'!E341</f>
        <v>108471000000</v>
      </c>
      <c r="F341" s="7" t="n">
        <f aca="false">'종목 기본정보'!F$2*'일자별 주가'!F341</f>
        <v>2450719000000</v>
      </c>
      <c r="G341" s="7" t="n">
        <f aca="false">SUM(B341:F341)</f>
        <v>4264880000000</v>
      </c>
      <c r="H341" s="9" t="n">
        <f aca="false">G341*100/G$2</f>
        <v>224.467368421053</v>
      </c>
    </row>
    <row r="342" customFormat="false" ht="13.8" hidden="false" customHeight="false" outlineLevel="0" collapsed="false">
      <c r="A342" s="0" t="n">
        <v>341</v>
      </c>
      <c r="B342" s="7" t="n">
        <f aca="false">'종목 기본정보'!B$2*'일자별 주가'!B342</f>
        <v>172670000000</v>
      </c>
      <c r="C342" s="7" t="n">
        <f aca="false">'종목 기본정보'!C$2*'일자별 주가'!C342</f>
        <v>125725000000</v>
      </c>
      <c r="D342" s="7" t="n">
        <f aca="false">'종목 기본정보'!D$2*'일자별 주가'!D342</f>
        <v>1453400000000</v>
      </c>
      <c r="E342" s="7" t="n">
        <f aca="false">'종목 기본정보'!E$2*'일자별 주가'!E342</f>
        <v>111372000000</v>
      </c>
      <c r="F342" s="7" t="n">
        <f aca="false">'종목 기본정보'!F$2*'일자별 주가'!F342</f>
        <v>2387551000000</v>
      </c>
      <c r="G342" s="7" t="n">
        <f aca="false">SUM(B342:F342)</f>
        <v>4250718000000</v>
      </c>
      <c r="H342" s="9" t="n">
        <f aca="false">G342*100/G$2</f>
        <v>223.722</v>
      </c>
    </row>
    <row r="343" customFormat="false" ht="13.8" hidden="false" customHeight="false" outlineLevel="0" collapsed="false">
      <c r="A343" s="0" t="n">
        <v>342</v>
      </c>
      <c r="B343" s="7" t="n">
        <f aca="false">'종목 기본정보'!B$2*'일자별 주가'!B343</f>
        <v>168820000000</v>
      </c>
      <c r="C343" s="7" t="n">
        <f aca="false">'종목 기본정보'!C$2*'일자별 주가'!C343</f>
        <v>129100000000</v>
      </c>
      <c r="D343" s="7" t="n">
        <f aca="false">'종목 기본정보'!D$2*'일자별 주가'!D343</f>
        <v>1434980000000</v>
      </c>
      <c r="E343" s="7" t="n">
        <f aca="false">'종목 기본정보'!E$2*'일자별 주가'!E343</f>
        <v>109443000000</v>
      </c>
      <c r="F343" s="7" t="n">
        <f aca="false">'종목 기본정보'!F$2*'일자별 주가'!F343</f>
        <v>2440095000000</v>
      </c>
      <c r="G343" s="7" t="n">
        <f aca="false">SUM(B343:F343)</f>
        <v>4282438000000</v>
      </c>
      <c r="H343" s="9" t="n">
        <f aca="false">G343*100/G$2</f>
        <v>225.39147368421</v>
      </c>
    </row>
    <row r="344" customFormat="false" ht="13.8" hidden="false" customHeight="false" outlineLevel="0" collapsed="false">
      <c r="A344" s="0" t="n">
        <v>343</v>
      </c>
      <c r="B344" s="7" t="n">
        <f aca="false">'종목 기본정보'!B$2*'일자별 주가'!B344</f>
        <v>165760000000</v>
      </c>
      <c r="C344" s="7" t="n">
        <f aca="false">'종목 기본정보'!C$2*'일자별 주가'!C344</f>
        <v>128000000000</v>
      </c>
      <c r="D344" s="7" t="n">
        <f aca="false">'종목 기본정보'!D$2*'일자별 주가'!D344</f>
        <v>1410140000000</v>
      </c>
      <c r="E344" s="7" t="n">
        <f aca="false">'종목 기본정보'!E$2*'일자별 주가'!E344</f>
        <v>109842000000</v>
      </c>
      <c r="F344" s="7" t="n">
        <f aca="false">'종목 기본정보'!F$2*'일자별 주가'!F344</f>
        <v>2391539000000</v>
      </c>
      <c r="G344" s="7" t="n">
        <f aca="false">SUM(B344:F344)</f>
        <v>4205281000000</v>
      </c>
      <c r="H344" s="9" t="n">
        <f aca="false">G344*100/G$2</f>
        <v>221.330578947368</v>
      </c>
    </row>
    <row r="345" customFormat="false" ht="13.8" hidden="false" customHeight="false" outlineLevel="0" collapsed="false">
      <c r="A345" s="0" t="n">
        <v>344</v>
      </c>
      <c r="B345" s="7" t="n">
        <f aca="false">'종목 기본정보'!B$2*'일자별 주가'!B345</f>
        <v>163380000000</v>
      </c>
      <c r="C345" s="7" t="n">
        <f aca="false">'종목 기본정보'!C$2*'일자별 주가'!C345</f>
        <v>131280000000</v>
      </c>
      <c r="D345" s="7" t="n">
        <f aca="false">'종목 기본정보'!D$2*'일자별 주가'!D345</f>
        <v>1401740000000</v>
      </c>
      <c r="E345" s="7" t="n">
        <f aca="false">'종목 기본정보'!E$2*'일자별 주가'!E345</f>
        <v>109982000000</v>
      </c>
      <c r="F345" s="7" t="n">
        <f aca="false">'종목 기본정보'!F$2*'일자별 주가'!F345</f>
        <v>2411880000000</v>
      </c>
      <c r="G345" s="7" t="n">
        <f aca="false">SUM(B345:F345)</f>
        <v>4218262000000</v>
      </c>
      <c r="H345" s="9" t="n">
        <f aca="false">G345*100/G$2</f>
        <v>222.013789473684</v>
      </c>
    </row>
    <row r="346" customFormat="false" ht="13.8" hidden="false" customHeight="false" outlineLevel="0" collapsed="false">
      <c r="A346" s="0" t="n">
        <v>345</v>
      </c>
      <c r="B346" s="7" t="n">
        <f aca="false">'종목 기본정보'!B$2*'일자별 주가'!B346</f>
        <v>166190000000</v>
      </c>
      <c r="C346" s="7" t="n">
        <f aca="false">'종목 기본정보'!C$2*'일자별 주가'!C346</f>
        <v>129775000000</v>
      </c>
      <c r="D346" s="7" t="n">
        <f aca="false">'종목 기본정보'!D$2*'일자별 주가'!D346</f>
        <v>1420520000000</v>
      </c>
      <c r="E346" s="7" t="n">
        <f aca="false">'종목 기본정보'!E$2*'일자별 주가'!E346</f>
        <v>113226000000</v>
      </c>
      <c r="F346" s="7" t="n">
        <f aca="false">'종목 기본정보'!F$2*'일자별 주가'!F346</f>
        <v>2451558000000</v>
      </c>
      <c r="G346" s="7" t="n">
        <f aca="false">SUM(B346:F346)</f>
        <v>4281269000000</v>
      </c>
      <c r="H346" s="9" t="n">
        <f aca="false">G346*100/G$2</f>
        <v>225.329947368421</v>
      </c>
    </row>
    <row r="347" customFormat="false" ht="13.8" hidden="false" customHeight="false" outlineLevel="0" collapsed="false">
      <c r="A347" s="0" t="n">
        <v>346</v>
      </c>
      <c r="B347" s="7" t="n">
        <f aca="false">'종목 기본정보'!B$2*'일자별 주가'!B347</f>
        <v>168720000000</v>
      </c>
      <c r="C347" s="7" t="n">
        <f aca="false">'종목 기본정보'!C$2*'일자별 주가'!C347</f>
        <v>127255000000</v>
      </c>
      <c r="D347" s="7" t="n">
        <f aca="false">'종목 기본정보'!D$2*'일자별 주가'!D347</f>
        <v>1389360000000</v>
      </c>
      <c r="E347" s="7" t="n">
        <f aca="false">'종목 기본정보'!E$2*'일자별 주가'!E347</f>
        <v>112492000000</v>
      </c>
      <c r="F347" s="7" t="n">
        <f aca="false">'종목 기본정보'!F$2*'일자별 주가'!F347</f>
        <v>2468083000000</v>
      </c>
      <c r="G347" s="7" t="n">
        <f aca="false">SUM(B347:F347)</f>
        <v>4265910000000</v>
      </c>
      <c r="H347" s="9" t="n">
        <f aca="false">G347*100/G$2</f>
        <v>224.521578947368</v>
      </c>
    </row>
    <row r="348" customFormat="false" ht="13.8" hidden="false" customHeight="false" outlineLevel="0" collapsed="false">
      <c r="A348" s="0" t="n">
        <v>347</v>
      </c>
      <c r="B348" s="7" t="n">
        <f aca="false">'종목 기본정보'!B$2*'일자별 주가'!B348</f>
        <v>170240000000</v>
      </c>
      <c r="C348" s="7" t="n">
        <f aca="false">'종목 기본정보'!C$2*'일자별 주가'!C348</f>
        <v>129285000000</v>
      </c>
      <c r="D348" s="7" t="n">
        <f aca="false">'종목 기본정보'!D$2*'일자별 주가'!D348</f>
        <v>1412900000000</v>
      </c>
      <c r="E348" s="7" t="n">
        <f aca="false">'종목 기본정보'!E$2*'일자별 주가'!E348</f>
        <v>111913000000</v>
      </c>
      <c r="F348" s="7" t="n">
        <f aca="false">'종목 기본정보'!F$2*'일자별 주가'!F348</f>
        <v>2425187000000</v>
      </c>
      <c r="G348" s="7" t="n">
        <f aca="false">SUM(B348:F348)</f>
        <v>4249525000000</v>
      </c>
      <c r="H348" s="9" t="n">
        <f aca="false">G348*100/G$2</f>
        <v>223.659210526316</v>
      </c>
    </row>
    <row r="349" customFormat="false" ht="13.8" hidden="false" customHeight="false" outlineLevel="0" collapsed="false">
      <c r="A349" s="0" t="n">
        <v>348</v>
      </c>
      <c r="B349" s="7" t="n">
        <f aca="false">'종목 기본정보'!B$2*'일자별 주가'!B349</f>
        <v>167750000000</v>
      </c>
      <c r="C349" s="7" t="n">
        <f aca="false">'종목 기본정보'!C$2*'일자별 주가'!C349</f>
        <v>127980000000</v>
      </c>
      <c r="D349" s="7" t="n">
        <f aca="false">'종목 기본정보'!D$2*'일자별 주가'!D349</f>
        <v>1394080000000</v>
      </c>
      <c r="E349" s="7" t="n">
        <f aca="false">'종목 기본정보'!E$2*'일자별 주가'!E349</f>
        <v>111328000000</v>
      </c>
      <c r="F349" s="7" t="n">
        <f aca="false">'종목 기본정보'!F$2*'일자별 주가'!F349</f>
        <v>2500363000000</v>
      </c>
      <c r="G349" s="7" t="n">
        <f aca="false">SUM(B349:F349)</f>
        <v>4301501000000</v>
      </c>
      <c r="H349" s="9" t="n">
        <f aca="false">G349*100/G$2</f>
        <v>226.394789473684</v>
      </c>
    </row>
    <row r="350" customFormat="false" ht="13.8" hidden="false" customHeight="false" outlineLevel="0" collapsed="false">
      <c r="A350" s="0" t="n">
        <v>349</v>
      </c>
      <c r="B350" s="7" t="n">
        <f aca="false">'종목 기본정보'!B$2*'일자별 주가'!B350</f>
        <v>166480000000</v>
      </c>
      <c r="C350" s="7" t="n">
        <f aca="false">'종목 기본정보'!C$2*'일자별 주가'!C350</f>
        <v>127260000000</v>
      </c>
      <c r="D350" s="7" t="n">
        <f aca="false">'종목 기본정보'!D$2*'일자별 주가'!D350</f>
        <v>1398640000000</v>
      </c>
      <c r="E350" s="7" t="n">
        <f aca="false">'종목 기본정보'!E$2*'일자별 주가'!E350</f>
        <v>113509000000</v>
      </c>
      <c r="F350" s="7" t="n">
        <f aca="false">'종목 기본정보'!F$2*'일자별 주가'!F350</f>
        <v>2536143000000</v>
      </c>
      <c r="G350" s="7" t="n">
        <f aca="false">SUM(B350:F350)</f>
        <v>4342032000000</v>
      </c>
      <c r="H350" s="9" t="n">
        <f aca="false">G350*100/G$2</f>
        <v>228.528</v>
      </c>
    </row>
    <row r="351" customFormat="false" ht="13.8" hidden="false" customHeight="false" outlineLevel="0" collapsed="false">
      <c r="A351" s="0" t="n">
        <v>350</v>
      </c>
      <c r="B351" s="7" t="n">
        <f aca="false">'종목 기본정보'!B$2*'일자별 주가'!B351</f>
        <v>164470000000</v>
      </c>
      <c r="C351" s="7" t="n">
        <f aca="false">'종목 기본정보'!C$2*'일자별 주가'!C351</f>
        <v>130695000000</v>
      </c>
      <c r="D351" s="7" t="n">
        <f aca="false">'종목 기본정보'!D$2*'일자별 주가'!D351</f>
        <v>1435660000000</v>
      </c>
      <c r="E351" s="7" t="n">
        <f aca="false">'종목 기본정보'!E$2*'일자별 주가'!E351</f>
        <v>110664000000</v>
      </c>
      <c r="F351" s="7" t="n">
        <f aca="false">'종목 기본정보'!F$2*'일자별 주가'!F351</f>
        <v>2555116000000</v>
      </c>
      <c r="G351" s="7" t="n">
        <f aca="false">SUM(B351:F351)</f>
        <v>4396605000000</v>
      </c>
      <c r="H351" s="9" t="n">
        <f aca="false">G351*100/G$2</f>
        <v>231.400263157895</v>
      </c>
    </row>
    <row r="352" customFormat="false" ht="13.8" hidden="false" customHeight="false" outlineLevel="0" collapsed="false">
      <c r="A352" s="0" t="n">
        <v>351</v>
      </c>
      <c r="B352" s="7" t="n">
        <f aca="false">'종목 기본정보'!B$2*'일자별 주가'!B352</f>
        <v>165030000000</v>
      </c>
      <c r="C352" s="7" t="n">
        <f aca="false">'종목 기본정보'!C$2*'일자별 주가'!C352</f>
        <v>134410000000</v>
      </c>
      <c r="D352" s="7" t="n">
        <f aca="false">'종목 기본정보'!D$2*'일자별 주가'!D352</f>
        <v>1463960000000</v>
      </c>
      <c r="E352" s="7" t="n">
        <f aca="false">'종목 기본정보'!E$2*'일자별 주가'!E352</f>
        <v>108877000000</v>
      </c>
      <c r="F352" s="7" t="n">
        <f aca="false">'종목 기본정보'!F$2*'일자별 주가'!F352</f>
        <v>2611040000000</v>
      </c>
      <c r="G352" s="7" t="n">
        <f aca="false">SUM(B352:F352)</f>
        <v>4483317000000</v>
      </c>
      <c r="H352" s="9" t="n">
        <f aca="false">G352*100/G$2</f>
        <v>235.964052631579</v>
      </c>
    </row>
    <row r="353" customFormat="false" ht="13.8" hidden="false" customHeight="false" outlineLevel="0" collapsed="false">
      <c r="A353" s="0" t="n">
        <v>352</v>
      </c>
      <c r="B353" s="7" t="n">
        <f aca="false">'종목 기본정보'!B$2*'일자별 주가'!B353</f>
        <v>164400000000</v>
      </c>
      <c r="C353" s="7" t="n">
        <f aca="false">'종목 기본정보'!C$2*'일자별 주가'!C353</f>
        <v>137030000000</v>
      </c>
      <c r="D353" s="7" t="n">
        <f aca="false">'종목 기본정보'!D$2*'일자별 주가'!D353</f>
        <v>1482720000000</v>
      </c>
      <c r="E353" s="7" t="n">
        <f aca="false">'종목 기본정보'!E$2*'일자별 주가'!E353</f>
        <v>108997000000</v>
      </c>
      <c r="F353" s="7" t="n">
        <f aca="false">'종목 기본정보'!F$2*'일자별 주가'!F353</f>
        <v>2670172000000</v>
      </c>
      <c r="G353" s="7" t="n">
        <f aca="false">SUM(B353:F353)</f>
        <v>4563319000000</v>
      </c>
      <c r="H353" s="9" t="n">
        <f aca="false">G353*100/G$2</f>
        <v>240.174684210526</v>
      </c>
    </row>
    <row r="354" customFormat="false" ht="13.8" hidden="false" customHeight="false" outlineLevel="0" collapsed="false">
      <c r="A354" s="0" t="n">
        <v>353</v>
      </c>
      <c r="B354" s="7" t="n">
        <f aca="false">'종목 기본정보'!B$2*'일자별 주가'!B354</f>
        <v>165230000000</v>
      </c>
      <c r="C354" s="7" t="n">
        <f aca="false">'종목 기본정보'!C$2*'일자별 주가'!C354</f>
        <v>134740000000</v>
      </c>
      <c r="D354" s="7" t="n">
        <f aca="false">'종목 기본정보'!D$2*'일자별 주가'!D354</f>
        <v>1475060000000</v>
      </c>
      <c r="E354" s="7" t="n">
        <f aca="false">'종목 기본정보'!E$2*'일자별 주가'!E354</f>
        <v>111877000000</v>
      </c>
      <c r="F354" s="7" t="n">
        <f aca="false">'종목 기본정보'!F$2*'일자별 주가'!F354</f>
        <v>2618422000000</v>
      </c>
      <c r="G354" s="7" t="n">
        <f aca="false">SUM(B354:F354)</f>
        <v>4505329000000</v>
      </c>
      <c r="H354" s="9" t="n">
        <f aca="false">G354*100/G$2</f>
        <v>237.122578947368</v>
      </c>
    </row>
    <row r="355" customFormat="false" ht="13.8" hidden="false" customHeight="false" outlineLevel="0" collapsed="false">
      <c r="A355" s="0" t="n">
        <v>354</v>
      </c>
      <c r="B355" s="7" t="n">
        <f aca="false">'종목 기본정보'!B$2*'일자별 주가'!B355</f>
        <v>167990000000</v>
      </c>
      <c r="C355" s="7" t="n">
        <f aca="false">'종목 기본정보'!C$2*'일자별 주가'!C355</f>
        <v>134090000000</v>
      </c>
      <c r="D355" s="7" t="n">
        <f aca="false">'종목 기본정보'!D$2*'일자별 주가'!D355</f>
        <v>1475260000000</v>
      </c>
      <c r="E355" s="7" t="n">
        <f aca="false">'종목 기본정보'!E$2*'일자별 주가'!E355</f>
        <v>110102000000</v>
      </c>
      <c r="F355" s="7" t="n">
        <f aca="false">'종목 기본정보'!F$2*'일자별 주가'!F355</f>
        <v>2558290000000</v>
      </c>
      <c r="G355" s="7" t="n">
        <f aca="false">SUM(B355:F355)</f>
        <v>4445732000000</v>
      </c>
      <c r="H355" s="9" t="n">
        <f aca="false">G355*100/G$2</f>
        <v>233.985894736842</v>
      </c>
    </row>
    <row r="356" customFormat="false" ht="13.8" hidden="false" customHeight="false" outlineLevel="0" collapsed="false">
      <c r="A356" s="0" t="n">
        <v>355</v>
      </c>
      <c r="B356" s="7" t="n">
        <f aca="false">'종목 기본정보'!B$2*'일자별 주가'!B356</f>
        <v>171790000000</v>
      </c>
      <c r="C356" s="7" t="n">
        <f aca="false">'종목 기본정보'!C$2*'일자별 주가'!C356</f>
        <v>135425000000</v>
      </c>
      <c r="D356" s="7" t="n">
        <f aca="false">'종목 기본정보'!D$2*'일자별 주가'!D356</f>
        <v>1507920000000</v>
      </c>
      <c r="E356" s="7" t="n">
        <f aca="false">'종목 기본정보'!E$2*'일자별 주가'!E356</f>
        <v>113371000000</v>
      </c>
      <c r="F356" s="7" t="n">
        <f aca="false">'종목 기본정보'!F$2*'일자별 주가'!F356</f>
        <v>2591019000000</v>
      </c>
      <c r="G356" s="7" t="n">
        <f aca="false">SUM(B356:F356)</f>
        <v>4519525000000</v>
      </c>
      <c r="H356" s="9" t="n">
        <f aca="false">G356*100/G$2</f>
        <v>237.869736842105</v>
      </c>
    </row>
    <row r="357" customFormat="false" ht="13.8" hidden="false" customHeight="false" outlineLevel="0" collapsed="false">
      <c r="A357" s="0" t="n">
        <v>356</v>
      </c>
      <c r="B357" s="7" t="n">
        <f aca="false">'종목 기본정보'!B$2*'일자별 주가'!B357</f>
        <v>176900000000</v>
      </c>
      <c r="C357" s="7" t="n">
        <f aca="false">'종목 기본정보'!C$2*'일자별 주가'!C357</f>
        <v>135790000000</v>
      </c>
      <c r="D357" s="7" t="n">
        <f aca="false">'종목 기본정보'!D$2*'일자별 주가'!D357</f>
        <v>1478040000000</v>
      </c>
      <c r="E357" s="7" t="n">
        <f aca="false">'종목 기본정보'!E$2*'일자별 주가'!E357</f>
        <v>110190000000</v>
      </c>
      <c r="F357" s="7" t="n">
        <f aca="false">'종목 기본정보'!F$2*'일자별 주가'!F357</f>
        <v>2607717000000</v>
      </c>
      <c r="G357" s="7" t="n">
        <f aca="false">SUM(B357:F357)</f>
        <v>4508637000000</v>
      </c>
      <c r="H357" s="9" t="n">
        <f aca="false">G357*100/G$2</f>
        <v>237.296684210526</v>
      </c>
    </row>
    <row r="358" customFormat="false" ht="13.8" hidden="false" customHeight="false" outlineLevel="0" collapsed="false">
      <c r="A358" s="0" t="n">
        <v>357</v>
      </c>
      <c r="B358" s="7" t="n">
        <f aca="false">'종목 기본정보'!B$2*'일자별 주가'!B358</f>
        <v>177920000000</v>
      </c>
      <c r="C358" s="7" t="n">
        <f aca="false">'종목 기본정보'!C$2*'일자별 주가'!C358</f>
        <v>137370000000</v>
      </c>
      <c r="D358" s="7" t="n">
        <f aca="false">'종목 기본정보'!D$2*'일자별 주가'!D358</f>
        <v>1453880000000</v>
      </c>
      <c r="E358" s="7" t="n">
        <f aca="false">'종목 기본정보'!E$2*'일자별 주가'!E358</f>
        <v>111290000000</v>
      </c>
      <c r="F358" s="7" t="n">
        <f aca="false">'종목 기본정보'!F$2*'일자별 주가'!F358</f>
        <v>2558290000000</v>
      </c>
      <c r="G358" s="7" t="n">
        <f aca="false">SUM(B358:F358)</f>
        <v>4438750000000</v>
      </c>
      <c r="H358" s="9" t="n">
        <f aca="false">G358*100/G$2</f>
        <v>233.618421052632</v>
      </c>
    </row>
    <row r="359" customFormat="false" ht="13.8" hidden="false" customHeight="false" outlineLevel="0" collapsed="false">
      <c r="A359" s="0" t="n">
        <v>358</v>
      </c>
      <c r="B359" s="7" t="n">
        <f aca="false">'종목 기본정보'!B$2*'일자별 주가'!B359</f>
        <v>174760000000</v>
      </c>
      <c r="C359" s="7" t="n">
        <f aca="false">'종목 기본정보'!C$2*'일자별 주가'!C359</f>
        <v>133420000000</v>
      </c>
      <c r="D359" s="7" t="n">
        <f aca="false">'종목 기본정보'!D$2*'일자별 주가'!D359</f>
        <v>1440800000000</v>
      </c>
      <c r="E359" s="7" t="n">
        <f aca="false">'종목 기본정보'!E$2*'일자별 주가'!E359</f>
        <v>110564000000</v>
      </c>
      <c r="F359" s="7" t="n">
        <f aca="false">'종목 기본정보'!F$2*'일자별 주가'!F359</f>
        <v>2584717000000</v>
      </c>
      <c r="G359" s="7" t="n">
        <f aca="false">SUM(B359:F359)</f>
        <v>4444261000000</v>
      </c>
      <c r="H359" s="9" t="n">
        <f aca="false">G359*100/G$2</f>
        <v>233.908473684211</v>
      </c>
    </row>
    <row r="360" customFormat="false" ht="13.8" hidden="false" customHeight="false" outlineLevel="0" collapsed="false">
      <c r="A360" s="0" t="n">
        <v>359</v>
      </c>
      <c r="B360" s="7" t="n">
        <f aca="false">'종목 기본정보'!B$2*'일자별 주가'!B360</f>
        <v>174650000000</v>
      </c>
      <c r="C360" s="7" t="n">
        <f aca="false">'종목 기본정보'!C$2*'일자별 주가'!C360</f>
        <v>137785000000</v>
      </c>
      <c r="D360" s="7" t="n">
        <f aca="false">'종목 기본정보'!D$2*'일자별 주가'!D360</f>
        <v>1480400000000</v>
      </c>
      <c r="E360" s="7" t="n">
        <f aca="false">'종목 기본정보'!E$2*'일자별 주가'!E360</f>
        <v>112694000000</v>
      </c>
      <c r="F360" s="7" t="n">
        <f aca="false">'종목 기본정보'!F$2*'일자별 주가'!F360</f>
        <v>2594127000000</v>
      </c>
      <c r="G360" s="7" t="n">
        <f aca="false">SUM(B360:F360)</f>
        <v>4499656000000</v>
      </c>
      <c r="H360" s="9" t="n">
        <f aca="false">G360*100/G$2</f>
        <v>236.824</v>
      </c>
    </row>
    <row r="361" customFormat="false" ht="13.8" hidden="false" customHeight="false" outlineLevel="0" collapsed="false">
      <c r="A361" s="0" t="n">
        <v>360</v>
      </c>
      <c r="B361" s="7" t="n">
        <f aca="false">'종목 기본정보'!B$2*'일자별 주가'!B361</f>
        <v>171240000000</v>
      </c>
      <c r="C361" s="7" t="n">
        <f aca="false">'종목 기본정보'!C$2*'일자별 주가'!C361</f>
        <v>139300000000</v>
      </c>
      <c r="D361" s="7" t="n">
        <f aca="false">'종목 기본정보'!D$2*'일자별 주가'!D361</f>
        <v>1513480000000</v>
      </c>
      <c r="E361" s="7" t="n">
        <f aca="false">'종목 기본정보'!E$2*'일자별 주가'!E361</f>
        <v>113529000000</v>
      </c>
      <c r="F361" s="7" t="n">
        <f aca="false">'종목 기본정보'!F$2*'일자별 주가'!F361</f>
        <v>2613843000000</v>
      </c>
      <c r="G361" s="7" t="n">
        <f aca="false">SUM(B361:F361)</f>
        <v>4551392000000</v>
      </c>
      <c r="H361" s="9" t="n">
        <f aca="false">G361*100/G$2</f>
        <v>239.546947368421</v>
      </c>
    </row>
    <row r="362" customFormat="false" ht="13.8" hidden="false" customHeight="false" outlineLevel="0" collapsed="false">
      <c r="A362" s="0" t="n">
        <v>361</v>
      </c>
      <c r="B362" s="7" t="n">
        <f aca="false">'종목 기본정보'!B$2*'일자별 주가'!B362</f>
        <v>176840000000</v>
      </c>
      <c r="C362" s="7" t="n">
        <f aca="false">'종목 기본정보'!C$2*'일자별 주가'!C362</f>
        <v>140140000000</v>
      </c>
      <c r="D362" s="7" t="n">
        <f aca="false">'종목 기본정보'!D$2*'일자별 주가'!D362</f>
        <v>1555580000000</v>
      </c>
      <c r="E362" s="7" t="n">
        <f aca="false">'종목 기본정보'!E$2*'일자별 주가'!E362</f>
        <v>114079000000</v>
      </c>
      <c r="F362" s="7" t="n">
        <f aca="false">'종목 기본정보'!F$2*'일자별 주가'!F362</f>
        <v>2677241000000</v>
      </c>
      <c r="G362" s="7" t="n">
        <f aca="false">SUM(B362:F362)</f>
        <v>4663880000000</v>
      </c>
      <c r="H362" s="9" t="n">
        <f aca="false">G362*100/G$2</f>
        <v>245.467368421053</v>
      </c>
    </row>
    <row r="363" customFormat="false" ht="13.8" hidden="false" customHeight="false" outlineLevel="0" collapsed="false">
      <c r="A363" s="0" t="n">
        <v>362</v>
      </c>
      <c r="B363" s="7" t="n">
        <f aca="false">'종목 기본정보'!B$2*'일자별 주가'!B363</f>
        <v>175070000000</v>
      </c>
      <c r="C363" s="7" t="n">
        <f aca="false">'종목 기본정보'!C$2*'일자별 주가'!C363</f>
        <v>139100000000</v>
      </c>
      <c r="D363" s="7" t="n">
        <f aca="false">'종목 기본정보'!D$2*'일자별 주가'!D363</f>
        <v>1510300000000</v>
      </c>
      <c r="E363" s="7" t="n">
        <f aca="false">'종목 기본정보'!E$2*'일자별 주가'!E363</f>
        <v>111405000000</v>
      </c>
      <c r="F363" s="7" t="n">
        <f aca="false">'종목 기본정보'!F$2*'일자별 주가'!F363</f>
        <v>2729062000000</v>
      </c>
      <c r="G363" s="7" t="n">
        <f aca="false">SUM(B363:F363)</f>
        <v>4664937000000</v>
      </c>
      <c r="H363" s="9" t="n">
        <f aca="false">G363*100/G$2</f>
        <v>245.523</v>
      </c>
    </row>
    <row r="364" customFormat="false" ht="13.8" hidden="false" customHeight="false" outlineLevel="0" collapsed="false">
      <c r="A364" s="0" t="n">
        <v>363</v>
      </c>
      <c r="B364" s="7" t="n">
        <f aca="false">'종목 기본정보'!B$2*'일자별 주가'!B364</f>
        <v>171650000000</v>
      </c>
      <c r="C364" s="7" t="n">
        <f aca="false">'종목 기본정보'!C$2*'일자별 주가'!C364</f>
        <v>135985000000</v>
      </c>
      <c r="D364" s="7" t="n">
        <f aca="false">'종목 기본정보'!D$2*'일자별 주가'!D364</f>
        <v>1490620000000</v>
      </c>
      <c r="E364" s="7" t="n">
        <f aca="false">'종목 기본정보'!E$2*'일자별 주가'!E364</f>
        <v>110488000000</v>
      </c>
      <c r="F364" s="7" t="n">
        <f aca="false">'종목 기본정보'!F$2*'일자별 주가'!F364</f>
        <v>2786924000000</v>
      </c>
      <c r="G364" s="7" t="n">
        <f aca="false">SUM(B364:F364)</f>
        <v>4695667000000</v>
      </c>
      <c r="H364" s="9" t="n">
        <f aca="false">G364*100/G$2</f>
        <v>247.140368421053</v>
      </c>
    </row>
    <row r="365" customFormat="false" ht="13.8" hidden="false" customHeight="false" outlineLevel="0" collapsed="false">
      <c r="A365" s="0" t="n">
        <v>364</v>
      </c>
      <c r="B365" s="7" t="n">
        <f aca="false">'종목 기본정보'!B$2*'일자별 주가'!B365</f>
        <v>173360000000</v>
      </c>
      <c r="C365" s="7" t="n">
        <f aca="false">'종목 기본정보'!C$2*'일자별 주가'!C365</f>
        <v>138565000000</v>
      </c>
      <c r="D365" s="7" t="n">
        <f aca="false">'종목 기본정보'!D$2*'일자별 주가'!D365</f>
        <v>1535120000000</v>
      </c>
      <c r="E365" s="7" t="n">
        <f aca="false">'종목 기본정보'!E$2*'일자별 주가'!E365</f>
        <v>109211000000</v>
      </c>
      <c r="F365" s="7" t="n">
        <f aca="false">'종목 기본정보'!F$2*'일자별 주가'!F365</f>
        <v>2807906000000</v>
      </c>
      <c r="G365" s="7" t="n">
        <f aca="false">SUM(B365:F365)</f>
        <v>4764162000000</v>
      </c>
      <c r="H365" s="9" t="n">
        <f aca="false">G365*100/G$2</f>
        <v>250.745368421053</v>
      </c>
    </row>
    <row r="366" customFormat="false" ht="13.8" hidden="false" customHeight="false" outlineLevel="0" collapsed="false">
      <c r="A366" s="0" t="n">
        <v>365</v>
      </c>
      <c r="B366" s="7" t="n">
        <f aca="false">'종목 기본정보'!B$2*'일자별 주가'!B366</f>
        <v>173740000000</v>
      </c>
      <c r="C366" s="7" t="n">
        <f aca="false">'종목 기본정보'!C$2*'일자별 주가'!C366</f>
        <v>140070000000</v>
      </c>
      <c r="D366" s="7" t="n">
        <f aca="false">'종목 기본정보'!D$2*'일자별 주가'!D366</f>
        <v>1498600000000</v>
      </c>
      <c r="E366" s="7" t="n">
        <f aca="false">'종목 기본정보'!E$2*'일자별 주가'!E366</f>
        <v>110410000000</v>
      </c>
      <c r="F366" s="7" t="n">
        <f aca="false">'종목 기본정보'!F$2*'일자별 주가'!F366</f>
        <v>2824748000000</v>
      </c>
      <c r="G366" s="7" t="n">
        <f aca="false">SUM(B366:F366)</f>
        <v>4747568000000</v>
      </c>
      <c r="H366" s="9" t="n">
        <f aca="false">G366*100/G$2</f>
        <v>249.872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2018-01-21T11:44:56Z</dcterms:created>
  <dc:creator>Yong Whoan Kim</dc:creator>
  <dc:description/>
  <dc:language>ko-KR</dc:language>
  <cp:lastModifiedBy/>
  <dcterms:modified xsi:type="dcterms:W3CDTF">2022-01-14T08:28:06Z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